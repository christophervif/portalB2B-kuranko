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484885bc04b09691/Downloads/auditoria-v3/plantillas/"/>
    </mc:Choice>
  </mc:AlternateContent>
  <xr:revisionPtr revIDLastSave="230" documentId="8_{64E3D72E-BB7F-45D5-9540-09A6FF3E047C}" xr6:coauthVersionLast="47" xr6:coauthVersionMax="47" xr10:uidLastSave="{000C6505-916B-4CF0-A73E-9318411CE9DF}"/>
  <bookViews>
    <workbookView xWindow="-120" yWindow="-120" windowWidth="29040" windowHeight="15720" xr2:uid="{9A7D6B71-C3AB-42BE-AE46-6D92F4E80A97}"/>
  </bookViews>
  <sheets>
    <sheet name="Para woocommerce" sheetId="1" r:id="rId1"/>
    <sheet name="Sistema" sheetId="2" r:id="rId2"/>
    <sheet name="Info" sheetId="3" r:id="rId3"/>
    <sheet name="Valores" sheetId="4" r:id="rId4"/>
  </sheets>
  <definedNames>
    <definedName name="_xlnm._FilterDatabase" localSheetId="0" hidden="1">'Para woocommerce'!$A$1:$CD$303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2" i="1" l="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2" i="1"/>
  <c r="A3" i="1"/>
  <c r="B3" i="1"/>
  <c r="C3" i="1"/>
  <c r="D3" i="1"/>
  <c r="E3" i="1"/>
  <c r="G3" i="1"/>
  <c r="J3" i="1"/>
  <c r="M3" i="1"/>
  <c r="P3" i="1"/>
  <c r="Q3" i="1"/>
  <c r="R3" i="1"/>
  <c r="H3" i="1" s="1"/>
  <c r="T3" i="1"/>
  <c r="U3" i="1"/>
  <c r="V3" i="1"/>
  <c r="W3" i="1"/>
  <c r="Z3" i="1"/>
  <c r="AA3" i="1"/>
  <c r="AC3" i="1"/>
  <c r="AE3" i="1"/>
  <c r="AH3" i="1"/>
  <c r="AQ3" i="1"/>
  <c r="AR3" i="1"/>
  <c r="AS3" i="1"/>
  <c r="AT3" i="1"/>
  <c r="AU3" i="1"/>
  <c r="AV3" i="1"/>
  <c r="AW3" i="1"/>
  <c r="AX3" i="1"/>
  <c r="AY3" i="1"/>
  <c r="AZ3" i="1"/>
  <c r="BA3" i="1"/>
  <c r="BB3" i="1"/>
  <c r="BC3" i="1"/>
  <c r="BD3" i="1"/>
  <c r="BE3" i="1"/>
  <c r="BF3" i="1"/>
  <c r="BG3" i="1"/>
  <c r="BH3" i="1"/>
  <c r="BI3" i="1"/>
  <c r="BJ3" i="1"/>
  <c r="BK3" i="1"/>
  <c r="BL3" i="1"/>
  <c r="BM3" i="1"/>
  <c r="BN3" i="1"/>
  <c r="BO3" i="1"/>
  <c r="BP3" i="1"/>
  <c r="BQ3" i="1"/>
  <c r="BR3" i="1"/>
  <c r="BS3" i="1"/>
  <c r="BT3" i="1"/>
  <c r="BU3" i="1"/>
  <c r="BV3" i="1"/>
  <c r="BW3" i="1"/>
  <c r="BX3" i="1"/>
  <c r="BY3" i="1"/>
  <c r="BZ3" i="1"/>
  <c r="CA3" i="1"/>
  <c r="CB3" i="1"/>
  <c r="CC3" i="1"/>
  <c r="CD3" i="1"/>
  <c r="A4" i="1"/>
  <c r="B4" i="1"/>
  <c r="C4" i="1"/>
  <c r="D4" i="1"/>
  <c r="E4" i="1"/>
  <c r="G4" i="1"/>
  <c r="J4" i="1"/>
  <c r="M4" i="1"/>
  <c r="P4" i="1"/>
  <c r="Q4" i="1"/>
  <c r="R4" i="1"/>
  <c r="H4" i="1" s="1"/>
  <c r="T4" i="1"/>
  <c r="U4" i="1"/>
  <c r="V4" i="1"/>
  <c r="W4" i="1"/>
  <c r="Z4" i="1"/>
  <c r="AA4" i="1"/>
  <c r="AC4" i="1"/>
  <c r="AE4" i="1"/>
  <c r="AH4" i="1"/>
  <c r="AQ4" i="1"/>
  <c r="AR4" i="1"/>
  <c r="AS4" i="1"/>
  <c r="AT4" i="1"/>
  <c r="AU4" i="1"/>
  <c r="AV4" i="1"/>
  <c r="AW4" i="1"/>
  <c r="AX4" i="1"/>
  <c r="AY4" i="1"/>
  <c r="AZ4" i="1"/>
  <c r="BA4" i="1"/>
  <c r="BB4" i="1"/>
  <c r="BC4" i="1"/>
  <c r="BD4" i="1"/>
  <c r="BE4" i="1"/>
  <c r="BF4" i="1"/>
  <c r="BG4" i="1"/>
  <c r="BH4" i="1"/>
  <c r="BI4" i="1"/>
  <c r="BJ4" i="1"/>
  <c r="BK4" i="1"/>
  <c r="BL4" i="1"/>
  <c r="BM4" i="1"/>
  <c r="BN4" i="1"/>
  <c r="BO4" i="1"/>
  <c r="BP4" i="1"/>
  <c r="BQ4" i="1"/>
  <c r="BR4" i="1"/>
  <c r="BS4" i="1"/>
  <c r="BT4" i="1"/>
  <c r="BU4" i="1"/>
  <c r="BV4" i="1"/>
  <c r="BW4" i="1"/>
  <c r="BX4" i="1"/>
  <c r="BY4" i="1"/>
  <c r="BZ4" i="1"/>
  <c r="CA4" i="1"/>
  <c r="CB4" i="1"/>
  <c r="CC4" i="1"/>
  <c r="CD4" i="1"/>
  <c r="A5" i="1"/>
  <c r="B5" i="1"/>
  <c r="C5" i="1"/>
  <c r="D5" i="1"/>
  <c r="E5" i="1"/>
  <c r="G5" i="1"/>
  <c r="J5" i="1"/>
  <c r="M5" i="1"/>
  <c r="P5" i="1"/>
  <c r="Q5" i="1"/>
  <c r="R5" i="1"/>
  <c r="H5" i="1" s="1"/>
  <c r="T5" i="1"/>
  <c r="U5" i="1"/>
  <c r="V5" i="1"/>
  <c r="W5" i="1"/>
  <c r="Z5" i="1"/>
  <c r="AA5" i="1"/>
  <c r="AC5" i="1"/>
  <c r="AE5" i="1"/>
  <c r="AH5" i="1"/>
  <c r="AQ5" i="1"/>
  <c r="AR5" i="1"/>
  <c r="AS5" i="1"/>
  <c r="AT5" i="1"/>
  <c r="AU5" i="1"/>
  <c r="AV5" i="1"/>
  <c r="AW5" i="1"/>
  <c r="AX5" i="1"/>
  <c r="AY5" i="1"/>
  <c r="AZ5" i="1"/>
  <c r="BA5" i="1"/>
  <c r="BB5" i="1"/>
  <c r="BC5" i="1"/>
  <c r="BD5" i="1"/>
  <c r="BE5" i="1"/>
  <c r="BF5" i="1"/>
  <c r="BG5" i="1"/>
  <c r="BH5" i="1"/>
  <c r="BI5" i="1"/>
  <c r="BJ5" i="1"/>
  <c r="BK5" i="1"/>
  <c r="BL5" i="1"/>
  <c r="BM5" i="1"/>
  <c r="BN5" i="1"/>
  <c r="BO5" i="1"/>
  <c r="BP5" i="1"/>
  <c r="BQ5" i="1"/>
  <c r="BR5" i="1"/>
  <c r="BS5" i="1"/>
  <c r="BT5" i="1"/>
  <c r="BU5" i="1"/>
  <c r="BV5" i="1"/>
  <c r="BW5" i="1"/>
  <c r="BX5" i="1"/>
  <c r="BY5" i="1"/>
  <c r="BZ5" i="1"/>
  <c r="CA5" i="1"/>
  <c r="CB5" i="1"/>
  <c r="CC5" i="1"/>
  <c r="CD5" i="1"/>
  <c r="A6" i="1"/>
  <c r="B6" i="1"/>
  <c r="C6" i="1"/>
  <c r="D6" i="1"/>
  <c r="E6" i="1"/>
  <c r="G6" i="1"/>
  <c r="J6" i="1"/>
  <c r="M6" i="1"/>
  <c r="P6" i="1"/>
  <c r="Q6" i="1"/>
  <c r="R6" i="1"/>
  <c r="H6" i="1" s="1"/>
  <c r="T6" i="1"/>
  <c r="U6" i="1"/>
  <c r="V6" i="1"/>
  <c r="W6" i="1"/>
  <c r="Z6" i="1"/>
  <c r="AA6" i="1"/>
  <c r="AC6" i="1"/>
  <c r="AE6" i="1"/>
  <c r="AH6" i="1"/>
  <c r="AQ6" i="1"/>
  <c r="AR6" i="1"/>
  <c r="AS6" i="1"/>
  <c r="AT6" i="1"/>
  <c r="AU6" i="1"/>
  <c r="AV6" i="1"/>
  <c r="AW6" i="1"/>
  <c r="AX6" i="1"/>
  <c r="AY6" i="1"/>
  <c r="AZ6" i="1"/>
  <c r="BA6" i="1"/>
  <c r="BB6" i="1"/>
  <c r="BC6" i="1"/>
  <c r="BD6" i="1"/>
  <c r="BE6" i="1"/>
  <c r="BF6" i="1"/>
  <c r="BG6" i="1"/>
  <c r="BH6" i="1"/>
  <c r="BI6" i="1"/>
  <c r="BJ6" i="1"/>
  <c r="BK6" i="1"/>
  <c r="BL6" i="1"/>
  <c r="BM6" i="1"/>
  <c r="BN6" i="1"/>
  <c r="BO6" i="1"/>
  <c r="BP6" i="1"/>
  <c r="BQ6" i="1"/>
  <c r="BR6" i="1"/>
  <c r="BS6" i="1"/>
  <c r="BT6" i="1"/>
  <c r="BU6" i="1"/>
  <c r="BV6" i="1"/>
  <c r="BW6" i="1"/>
  <c r="BX6" i="1"/>
  <c r="BY6" i="1"/>
  <c r="BZ6" i="1"/>
  <c r="CA6" i="1"/>
  <c r="CB6" i="1"/>
  <c r="CC6" i="1"/>
  <c r="CD6" i="1"/>
  <c r="A7" i="1"/>
  <c r="B7" i="1"/>
  <c r="C7" i="1"/>
  <c r="D7" i="1"/>
  <c r="E7" i="1"/>
  <c r="G7" i="1"/>
  <c r="J7" i="1"/>
  <c r="M7" i="1"/>
  <c r="P7" i="1"/>
  <c r="Q7" i="1"/>
  <c r="R7" i="1"/>
  <c r="H7" i="1" s="1"/>
  <c r="T7" i="1"/>
  <c r="U7" i="1"/>
  <c r="V7" i="1"/>
  <c r="W7" i="1"/>
  <c r="Z7" i="1"/>
  <c r="AA7" i="1"/>
  <c r="AC7" i="1"/>
  <c r="AE7" i="1"/>
  <c r="AH7" i="1"/>
  <c r="AQ7" i="1"/>
  <c r="AR7" i="1"/>
  <c r="AS7" i="1"/>
  <c r="AT7" i="1"/>
  <c r="AU7" i="1"/>
  <c r="AV7" i="1"/>
  <c r="AW7" i="1"/>
  <c r="AX7" i="1"/>
  <c r="AY7" i="1"/>
  <c r="AZ7" i="1"/>
  <c r="BA7" i="1"/>
  <c r="BB7" i="1"/>
  <c r="BC7" i="1"/>
  <c r="BD7" i="1"/>
  <c r="BE7" i="1"/>
  <c r="BF7" i="1"/>
  <c r="BG7" i="1"/>
  <c r="BH7" i="1"/>
  <c r="BI7" i="1"/>
  <c r="BJ7" i="1"/>
  <c r="BK7" i="1"/>
  <c r="BL7" i="1"/>
  <c r="BM7" i="1"/>
  <c r="BN7" i="1"/>
  <c r="BO7" i="1"/>
  <c r="BP7" i="1"/>
  <c r="BQ7" i="1"/>
  <c r="BR7" i="1"/>
  <c r="BS7" i="1"/>
  <c r="BT7" i="1"/>
  <c r="BU7" i="1"/>
  <c r="BV7" i="1"/>
  <c r="BW7" i="1"/>
  <c r="BX7" i="1"/>
  <c r="BY7" i="1"/>
  <c r="BZ7" i="1"/>
  <c r="CA7" i="1"/>
  <c r="CB7" i="1"/>
  <c r="CC7" i="1"/>
  <c r="CD7" i="1"/>
  <c r="A8" i="1"/>
  <c r="B8" i="1"/>
  <c r="C8" i="1"/>
  <c r="D8" i="1"/>
  <c r="E8" i="1"/>
  <c r="G8" i="1"/>
  <c r="J8" i="1"/>
  <c r="M8" i="1"/>
  <c r="P8" i="1"/>
  <c r="Q8" i="1"/>
  <c r="R8" i="1"/>
  <c r="H8" i="1" s="1"/>
  <c r="T8" i="1"/>
  <c r="U8" i="1"/>
  <c r="V8" i="1"/>
  <c r="W8" i="1"/>
  <c r="Z8" i="1"/>
  <c r="AA8" i="1"/>
  <c r="AC8" i="1"/>
  <c r="AE8" i="1"/>
  <c r="AH8" i="1"/>
  <c r="AQ8" i="1"/>
  <c r="AR8" i="1"/>
  <c r="AS8" i="1"/>
  <c r="AT8" i="1"/>
  <c r="AU8" i="1"/>
  <c r="AV8" i="1"/>
  <c r="AW8" i="1"/>
  <c r="AX8" i="1"/>
  <c r="AY8" i="1"/>
  <c r="AZ8" i="1"/>
  <c r="BA8" i="1"/>
  <c r="BB8" i="1"/>
  <c r="BC8" i="1"/>
  <c r="BD8" i="1"/>
  <c r="BE8" i="1"/>
  <c r="BF8" i="1"/>
  <c r="BG8" i="1"/>
  <c r="BH8" i="1"/>
  <c r="BI8" i="1"/>
  <c r="BJ8" i="1"/>
  <c r="BK8" i="1"/>
  <c r="BL8" i="1"/>
  <c r="BM8" i="1"/>
  <c r="BN8" i="1"/>
  <c r="BO8" i="1"/>
  <c r="BP8" i="1"/>
  <c r="BQ8" i="1"/>
  <c r="BR8" i="1"/>
  <c r="BS8" i="1"/>
  <c r="BT8" i="1"/>
  <c r="BU8" i="1"/>
  <c r="BV8" i="1"/>
  <c r="BW8" i="1"/>
  <c r="BX8" i="1"/>
  <c r="BY8" i="1"/>
  <c r="BZ8" i="1"/>
  <c r="CA8" i="1"/>
  <c r="CB8" i="1"/>
  <c r="CC8" i="1"/>
  <c r="CD8" i="1"/>
  <c r="A9" i="1"/>
  <c r="B9" i="1"/>
  <c r="C9" i="1"/>
  <c r="D9" i="1"/>
  <c r="E9" i="1"/>
  <c r="G9" i="1"/>
  <c r="J9" i="1"/>
  <c r="M9" i="1"/>
  <c r="P9" i="1"/>
  <c r="Q9" i="1"/>
  <c r="R9" i="1"/>
  <c r="H9" i="1" s="1"/>
  <c r="T9" i="1"/>
  <c r="U9" i="1"/>
  <c r="V9" i="1"/>
  <c r="W9" i="1"/>
  <c r="Z9" i="1"/>
  <c r="AA9" i="1"/>
  <c r="AC9" i="1"/>
  <c r="AE9" i="1"/>
  <c r="AH9" i="1"/>
  <c r="AQ9" i="1"/>
  <c r="AR9" i="1"/>
  <c r="AS9" i="1"/>
  <c r="AT9" i="1"/>
  <c r="AU9" i="1"/>
  <c r="AV9" i="1"/>
  <c r="AW9" i="1"/>
  <c r="AX9" i="1"/>
  <c r="AY9" i="1"/>
  <c r="AZ9" i="1"/>
  <c r="BA9" i="1"/>
  <c r="BB9" i="1"/>
  <c r="BC9" i="1"/>
  <c r="BD9" i="1"/>
  <c r="BE9" i="1"/>
  <c r="BF9" i="1"/>
  <c r="BG9" i="1"/>
  <c r="BH9" i="1"/>
  <c r="BI9" i="1"/>
  <c r="BJ9" i="1"/>
  <c r="BK9" i="1"/>
  <c r="BL9" i="1"/>
  <c r="BM9" i="1"/>
  <c r="BN9" i="1"/>
  <c r="BO9" i="1"/>
  <c r="BP9" i="1"/>
  <c r="BQ9" i="1"/>
  <c r="BR9" i="1"/>
  <c r="BS9" i="1"/>
  <c r="BT9" i="1"/>
  <c r="BU9" i="1"/>
  <c r="BV9" i="1"/>
  <c r="BW9" i="1"/>
  <c r="BX9" i="1"/>
  <c r="BY9" i="1"/>
  <c r="BZ9" i="1"/>
  <c r="CA9" i="1"/>
  <c r="CB9" i="1"/>
  <c r="CC9" i="1"/>
  <c r="CD9" i="1"/>
  <c r="A10" i="1"/>
  <c r="B10" i="1"/>
  <c r="C10" i="1"/>
  <c r="D10" i="1"/>
  <c r="E10" i="1"/>
  <c r="G10" i="1"/>
  <c r="J10" i="1"/>
  <c r="M10" i="1"/>
  <c r="P10" i="1"/>
  <c r="Q10" i="1"/>
  <c r="R10" i="1"/>
  <c r="H10" i="1" s="1"/>
  <c r="T10" i="1"/>
  <c r="U10" i="1"/>
  <c r="V10" i="1"/>
  <c r="W10" i="1"/>
  <c r="Z10" i="1"/>
  <c r="AA10" i="1"/>
  <c r="AC10" i="1"/>
  <c r="AE10" i="1"/>
  <c r="AH10" i="1"/>
  <c r="AQ10" i="1"/>
  <c r="AR10" i="1"/>
  <c r="AS10" i="1"/>
  <c r="AT10" i="1"/>
  <c r="AU10" i="1"/>
  <c r="AV10" i="1"/>
  <c r="AW10" i="1"/>
  <c r="AX10" i="1"/>
  <c r="AY10" i="1"/>
  <c r="AZ10" i="1"/>
  <c r="BA10" i="1"/>
  <c r="BB10" i="1"/>
  <c r="BC10" i="1"/>
  <c r="BD10" i="1"/>
  <c r="BE10" i="1"/>
  <c r="BF10" i="1"/>
  <c r="BG10" i="1"/>
  <c r="BH10" i="1"/>
  <c r="BI10" i="1"/>
  <c r="BJ10" i="1"/>
  <c r="BK10" i="1"/>
  <c r="BL10" i="1"/>
  <c r="BM10" i="1"/>
  <c r="BN10" i="1"/>
  <c r="BO10" i="1"/>
  <c r="BP10" i="1"/>
  <c r="BQ10" i="1"/>
  <c r="BR10" i="1"/>
  <c r="BS10" i="1"/>
  <c r="BT10" i="1"/>
  <c r="BU10" i="1"/>
  <c r="BV10" i="1"/>
  <c r="BW10" i="1"/>
  <c r="BX10" i="1"/>
  <c r="BY10" i="1"/>
  <c r="BZ10" i="1"/>
  <c r="CA10" i="1"/>
  <c r="CB10" i="1"/>
  <c r="CC10" i="1"/>
  <c r="CD10" i="1"/>
  <c r="A11" i="1"/>
  <c r="B11" i="1"/>
  <c r="C11" i="1"/>
  <c r="D11" i="1"/>
  <c r="E11" i="1"/>
  <c r="G11" i="1"/>
  <c r="J11" i="1"/>
  <c r="M11" i="1"/>
  <c r="P11" i="1"/>
  <c r="Q11" i="1"/>
  <c r="R11" i="1"/>
  <c r="H11" i="1" s="1"/>
  <c r="T11" i="1"/>
  <c r="U11" i="1"/>
  <c r="V11" i="1"/>
  <c r="W11" i="1"/>
  <c r="Z11" i="1"/>
  <c r="AA11" i="1"/>
  <c r="AC11" i="1"/>
  <c r="AE11" i="1"/>
  <c r="AH11" i="1"/>
  <c r="AQ11" i="1"/>
  <c r="AR11" i="1"/>
  <c r="AS11" i="1"/>
  <c r="AT11" i="1"/>
  <c r="AU11" i="1"/>
  <c r="AV11" i="1"/>
  <c r="AW11" i="1"/>
  <c r="AX11" i="1"/>
  <c r="AY11" i="1"/>
  <c r="AZ11" i="1"/>
  <c r="BA11" i="1"/>
  <c r="BB11" i="1"/>
  <c r="BC11" i="1"/>
  <c r="BD11" i="1"/>
  <c r="BE11" i="1"/>
  <c r="BF11" i="1"/>
  <c r="BG11" i="1"/>
  <c r="BH11" i="1"/>
  <c r="BI11" i="1"/>
  <c r="BJ11" i="1"/>
  <c r="BK11" i="1"/>
  <c r="BL11" i="1"/>
  <c r="BM11" i="1"/>
  <c r="BN11" i="1"/>
  <c r="BO11" i="1"/>
  <c r="BP11" i="1"/>
  <c r="BQ11" i="1"/>
  <c r="BR11" i="1"/>
  <c r="BS11" i="1"/>
  <c r="BT11" i="1"/>
  <c r="BU11" i="1"/>
  <c r="BV11" i="1"/>
  <c r="BW11" i="1"/>
  <c r="BX11" i="1"/>
  <c r="BY11" i="1"/>
  <c r="BZ11" i="1"/>
  <c r="CA11" i="1"/>
  <c r="CB11" i="1"/>
  <c r="CC11" i="1"/>
  <c r="CD11" i="1"/>
  <c r="A12" i="1"/>
  <c r="B12" i="1"/>
  <c r="C12" i="1"/>
  <c r="D12" i="1"/>
  <c r="E12" i="1"/>
  <c r="G12" i="1"/>
  <c r="J12" i="1"/>
  <c r="M12" i="1"/>
  <c r="P12" i="1"/>
  <c r="Q12" i="1"/>
  <c r="R12" i="1"/>
  <c r="H12" i="1" s="1"/>
  <c r="T12" i="1"/>
  <c r="U12" i="1"/>
  <c r="V12" i="1"/>
  <c r="W12" i="1"/>
  <c r="Z12" i="1"/>
  <c r="AA12" i="1"/>
  <c r="AC12" i="1"/>
  <c r="AE12" i="1"/>
  <c r="AH12" i="1"/>
  <c r="AQ12" i="1"/>
  <c r="AR12" i="1"/>
  <c r="AS12" i="1"/>
  <c r="AT12" i="1"/>
  <c r="AU12" i="1"/>
  <c r="AV12" i="1"/>
  <c r="AW12" i="1"/>
  <c r="AX12" i="1"/>
  <c r="AY12" i="1"/>
  <c r="AZ12" i="1"/>
  <c r="BA12" i="1"/>
  <c r="BB12" i="1"/>
  <c r="BC12" i="1"/>
  <c r="BD12" i="1"/>
  <c r="BE12" i="1"/>
  <c r="BF12" i="1"/>
  <c r="BG12" i="1"/>
  <c r="BH12" i="1"/>
  <c r="BI12" i="1"/>
  <c r="BJ12" i="1"/>
  <c r="BK12" i="1"/>
  <c r="BL12" i="1"/>
  <c r="BM12" i="1"/>
  <c r="BN12" i="1"/>
  <c r="BO12" i="1"/>
  <c r="BP12" i="1"/>
  <c r="BQ12" i="1"/>
  <c r="BR12" i="1"/>
  <c r="BS12" i="1"/>
  <c r="BT12" i="1"/>
  <c r="BU12" i="1"/>
  <c r="BV12" i="1"/>
  <c r="BW12" i="1"/>
  <c r="BX12" i="1"/>
  <c r="BY12" i="1"/>
  <c r="BZ12" i="1"/>
  <c r="CA12" i="1"/>
  <c r="CB12" i="1"/>
  <c r="CC12" i="1"/>
  <c r="CD12" i="1"/>
  <c r="A13" i="1"/>
  <c r="B13" i="1"/>
  <c r="C13" i="1"/>
  <c r="D13" i="1"/>
  <c r="E13" i="1"/>
  <c r="G13" i="1"/>
  <c r="J13" i="1"/>
  <c r="M13" i="1"/>
  <c r="P13" i="1"/>
  <c r="Q13" i="1"/>
  <c r="R13" i="1"/>
  <c r="H13" i="1" s="1"/>
  <c r="T13" i="1"/>
  <c r="U13" i="1"/>
  <c r="V13" i="1"/>
  <c r="W13" i="1"/>
  <c r="Z13" i="1"/>
  <c r="AA13" i="1"/>
  <c r="AC13" i="1"/>
  <c r="AE13" i="1"/>
  <c r="AH13" i="1"/>
  <c r="AQ13" i="1"/>
  <c r="AR13" i="1"/>
  <c r="AS13" i="1"/>
  <c r="AT13" i="1"/>
  <c r="AU13" i="1"/>
  <c r="AV13" i="1"/>
  <c r="AW13" i="1"/>
  <c r="AX13" i="1"/>
  <c r="AY13" i="1"/>
  <c r="AZ13" i="1"/>
  <c r="BA13" i="1"/>
  <c r="BB13" i="1"/>
  <c r="BC13" i="1"/>
  <c r="BD13" i="1"/>
  <c r="BE13" i="1"/>
  <c r="BF13" i="1"/>
  <c r="BG13" i="1"/>
  <c r="BH13" i="1"/>
  <c r="BI13" i="1"/>
  <c r="BJ13" i="1"/>
  <c r="BK13" i="1"/>
  <c r="BL13" i="1"/>
  <c r="BM13" i="1"/>
  <c r="BN13" i="1"/>
  <c r="BO13" i="1"/>
  <c r="BP13" i="1"/>
  <c r="BQ13" i="1"/>
  <c r="BR13" i="1"/>
  <c r="BS13" i="1"/>
  <c r="BT13" i="1"/>
  <c r="BU13" i="1"/>
  <c r="BV13" i="1"/>
  <c r="BW13" i="1"/>
  <c r="BX13" i="1"/>
  <c r="BY13" i="1"/>
  <c r="BZ13" i="1"/>
  <c r="CA13" i="1"/>
  <c r="CB13" i="1"/>
  <c r="CC13" i="1"/>
  <c r="CD13" i="1"/>
  <c r="A14" i="1"/>
  <c r="B14" i="1"/>
  <c r="C14" i="1"/>
  <c r="D14" i="1"/>
  <c r="E14" i="1"/>
  <c r="G14" i="1"/>
  <c r="J14" i="1"/>
  <c r="M14" i="1"/>
  <c r="P14" i="1"/>
  <c r="Q14" i="1"/>
  <c r="R14" i="1"/>
  <c r="H14" i="1" s="1"/>
  <c r="T14" i="1"/>
  <c r="U14" i="1"/>
  <c r="V14" i="1"/>
  <c r="W14" i="1"/>
  <c r="Z14" i="1"/>
  <c r="AA14" i="1"/>
  <c r="AC14" i="1"/>
  <c r="AE14" i="1"/>
  <c r="AH14" i="1"/>
  <c r="AQ14" i="1"/>
  <c r="AR14" i="1"/>
  <c r="AS14" i="1"/>
  <c r="AT14" i="1"/>
  <c r="AU14" i="1"/>
  <c r="AV14" i="1"/>
  <c r="AW14" i="1"/>
  <c r="AX14" i="1"/>
  <c r="AY14" i="1"/>
  <c r="AZ14" i="1"/>
  <c r="BA14" i="1"/>
  <c r="BB14" i="1"/>
  <c r="BC14" i="1"/>
  <c r="BD14" i="1"/>
  <c r="BE14" i="1"/>
  <c r="BF14" i="1"/>
  <c r="BG14" i="1"/>
  <c r="BH14" i="1"/>
  <c r="BI14" i="1"/>
  <c r="BJ14" i="1"/>
  <c r="BK14" i="1"/>
  <c r="BL14" i="1"/>
  <c r="BM14" i="1"/>
  <c r="BN14" i="1"/>
  <c r="BO14" i="1"/>
  <c r="BP14" i="1"/>
  <c r="BQ14" i="1"/>
  <c r="BR14" i="1"/>
  <c r="BS14" i="1"/>
  <c r="BT14" i="1"/>
  <c r="BU14" i="1"/>
  <c r="BV14" i="1"/>
  <c r="BW14" i="1"/>
  <c r="BX14" i="1"/>
  <c r="BY14" i="1"/>
  <c r="BZ14" i="1"/>
  <c r="CA14" i="1"/>
  <c r="CB14" i="1"/>
  <c r="CC14" i="1"/>
  <c r="CD14" i="1"/>
  <c r="A15" i="1"/>
  <c r="B15" i="1"/>
  <c r="C15" i="1"/>
  <c r="D15" i="1"/>
  <c r="E15" i="1"/>
  <c r="G15" i="1"/>
  <c r="J15" i="1"/>
  <c r="M15" i="1"/>
  <c r="P15" i="1"/>
  <c r="Q15" i="1"/>
  <c r="R15" i="1"/>
  <c r="H15" i="1" s="1"/>
  <c r="T15" i="1"/>
  <c r="U15" i="1"/>
  <c r="V15" i="1"/>
  <c r="W15" i="1"/>
  <c r="Z15" i="1"/>
  <c r="AA15" i="1"/>
  <c r="AC15" i="1"/>
  <c r="AE15" i="1"/>
  <c r="AH15" i="1"/>
  <c r="AQ15" i="1"/>
  <c r="AR15" i="1"/>
  <c r="AS15" i="1"/>
  <c r="AT15" i="1"/>
  <c r="AU15" i="1"/>
  <c r="AV15" i="1"/>
  <c r="AW15" i="1"/>
  <c r="AX15" i="1"/>
  <c r="AY15" i="1"/>
  <c r="AZ15" i="1"/>
  <c r="BA15" i="1"/>
  <c r="BB15" i="1"/>
  <c r="BC15" i="1"/>
  <c r="BD15" i="1"/>
  <c r="BE15" i="1"/>
  <c r="BF15" i="1"/>
  <c r="BG15" i="1"/>
  <c r="BH15" i="1"/>
  <c r="BI15" i="1"/>
  <c r="BJ15" i="1"/>
  <c r="BK15" i="1"/>
  <c r="BL15" i="1"/>
  <c r="BM15" i="1"/>
  <c r="BN15" i="1"/>
  <c r="BO15" i="1"/>
  <c r="BP15" i="1"/>
  <c r="BQ15" i="1"/>
  <c r="BR15" i="1"/>
  <c r="BS15" i="1"/>
  <c r="BT15" i="1"/>
  <c r="BU15" i="1"/>
  <c r="BV15" i="1"/>
  <c r="BW15" i="1"/>
  <c r="BX15" i="1"/>
  <c r="BY15" i="1"/>
  <c r="BZ15" i="1"/>
  <c r="CA15" i="1"/>
  <c r="CB15" i="1"/>
  <c r="CC15" i="1"/>
  <c r="CD15" i="1"/>
  <c r="A16" i="1"/>
  <c r="B16" i="1"/>
  <c r="C16" i="1"/>
  <c r="D16" i="1"/>
  <c r="E16" i="1"/>
  <c r="G16" i="1"/>
  <c r="J16" i="1"/>
  <c r="M16" i="1"/>
  <c r="P16" i="1"/>
  <c r="Q16" i="1"/>
  <c r="R16" i="1"/>
  <c r="H16" i="1" s="1"/>
  <c r="T16" i="1"/>
  <c r="U16" i="1"/>
  <c r="V16" i="1"/>
  <c r="W16" i="1"/>
  <c r="Z16" i="1"/>
  <c r="AA16" i="1"/>
  <c r="AC16" i="1"/>
  <c r="AE16" i="1"/>
  <c r="AH16" i="1"/>
  <c r="AQ16" i="1"/>
  <c r="AR16" i="1"/>
  <c r="AS16" i="1"/>
  <c r="AT16" i="1"/>
  <c r="AU16" i="1"/>
  <c r="AV16" i="1"/>
  <c r="AW16" i="1"/>
  <c r="AX16" i="1"/>
  <c r="AY16" i="1"/>
  <c r="AZ16" i="1"/>
  <c r="BA16" i="1"/>
  <c r="BB16" i="1"/>
  <c r="BC16" i="1"/>
  <c r="BD16" i="1"/>
  <c r="BE16" i="1"/>
  <c r="BF16" i="1"/>
  <c r="BG16" i="1"/>
  <c r="BH16" i="1"/>
  <c r="BI16" i="1"/>
  <c r="BJ16" i="1"/>
  <c r="BK16" i="1"/>
  <c r="BL16" i="1"/>
  <c r="BM16" i="1"/>
  <c r="BN16" i="1"/>
  <c r="BO16" i="1"/>
  <c r="BP16" i="1"/>
  <c r="BQ16" i="1"/>
  <c r="BR16" i="1"/>
  <c r="BS16" i="1"/>
  <c r="BT16" i="1"/>
  <c r="BU16" i="1"/>
  <c r="BV16" i="1"/>
  <c r="BW16" i="1"/>
  <c r="BX16" i="1"/>
  <c r="BY16" i="1"/>
  <c r="BZ16" i="1"/>
  <c r="CA16" i="1"/>
  <c r="CB16" i="1"/>
  <c r="CC16" i="1"/>
  <c r="CD16" i="1"/>
  <c r="A17" i="1"/>
  <c r="B17" i="1"/>
  <c r="C17" i="1"/>
  <c r="D17" i="1"/>
  <c r="E17" i="1"/>
  <c r="G17" i="1"/>
  <c r="J17" i="1"/>
  <c r="M17" i="1"/>
  <c r="P17" i="1"/>
  <c r="Q17" i="1"/>
  <c r="R17" i="1"/>
  <c r="H17" i="1" s="1"/>
  <c r="T17" i="1"/>
  <c r="U17" i="1"/>
  <c r="V17" i="1"/>
  <c r="W17" i="1"/>
  <c r="Z17" i="1"/>
  <c r="AA17" i="1"/>
  <c r="AC17" i="1"/>
  <c r="AE17" i="1"/>
  <c r="AH17" i="1"/>
  <c r="AQ17" i="1"/>
  <c r="AR17" i="1"/>
  <c r="AS17" i="1"/>
  <c r="AT17" i="1"/>
  <c r="AU17" i="1"/>
  <c r="AV17" i="1"/>
  <c r="AW17" i="1"/>
  <c r="AX17" i="1"/>
  <c r="AY17" i="1"/>
  <c r="AZ17" i="1"/>
  <c r="BA17" i="1"/>
  <c r="BB17" i="1"/>
  <c r="BC17" i="1"/>
  <c r="BD17" i="1"/>
  <c r="BE17" i="1"/>
  <c r="BF17" i="1"/>
  <c r="BG17" i="1"/>
  <c r="BH17" i="1"/>
  <c r="BI17" i="1"/>
  <c r="BJ17" i="1"/>
  <c r="BK17" i="1"/>
  <c r="BL17" i="1"/>
  <c r="BM17" i="1"/>
  <c r="BN17" i="1"/>
  <c r="BO17" i="1"/>
  <c r="BP17" i="1"/>
  <c r="BQ17" i="1"/>
  <c r="BR17" i="1"/>
  <c r="BS17" i="1"/>
  <c r="BT17" i="1"/>
  <c r="BU17" i="1"/>
  <c r="BV17" i="1"/>
  <c r="BW17" i="1"/>
  <c r="BX17" i="1"/>
  <c r="BY17" i="1"/>
  <c r="BZ17" i="1"/>
  <c r="CA17" i="1"/>
  <c r="CB17" i="1"/>
  <c r="CC17" i="1"/>
  <c r="CD17" i="1"/>
  <c r="A18" i="1"/>
  <c r="B18" i="1"/>
  <c r="C18" i="1"/>
  <c r="D18" i="1"/>
  <c r="E18" i="1"/>
  <c r="G18" i="1"/>
  <c r="J18" i="1"/>
  <c r="M18" i="1"/>
  <c r="P18" i="1"/>
  <c r="Q18" i="1"/>
  <c r="R18" i="1"/>
  <c r="H18" i="1" s="1"/>
  <c r="T18" i="1"/>
  <c r="U18" i="1"/>
  <c r="V18" i="1"/>
  <c r="W18" i="1"/>
  <c r="Z18" i="1"/>
  <c r="AA18" i="1"/>
  <c r="AC18" i="1"/>
  <c r="AE18" i="1"/>
  <c r="AH18" i="1"/>
  <c r="AQ18" i="1"/>
  <c r="AR18" i="1"/>
  <c r="AS18" i="1"/>
  <c r="AT18" i="1"/>
  <c r="AU18" i="1"/>
  <c r="AV18" i="1"/>
  <c r="AW18" i="1"/>
  <c r="AX18" i="1"/>
  <c r="AY18" i="1"/>
  <c r="AZ18" i="1"/>
  <c r="BA18" i="1"/>
  <c r="BB18" i="1"/>
  <c r="BC18" i="1"/>
  <c r="BD18" i="1"/>
  <c r="BE18" i="1"/>
  <c r="BF18" i="1"/>
  <c r="BG18" i="1"/>
  <c r="BH18" i="1"/>
  <c r="BI18" i="1"/>
  <c r="BJ18" i="1"/>
  <c r="BK18" i="1"/>
  <c r="BL18" i="1"/>
  <c r="BM18" i="1"/>
  <c r="BN18" i="1"/>
  <c r="BO18" i="1"/>
  <c r="BP18" i="1"/>
  <c r="BQ18" i="1"/>
  <c r="BR18" i="1"/>
  <c r="BS18" i="1"/>
  <c r="BT18" i="1"/>
  <c r="BU18" i="1"/>
  <c r="BV18" i="1"/>
  <c r="BW18" i="1"/>
  <c r="BX18" i="1"/>
  <c r="BY18" i="1"/>
  <c r="BZ18" i="1"/>
  <c r="CA18" i="1"/>
  <c r="CB18" i="1"/>
  <c r="CC18" i="1"/>
  <c r="CD18" i="1"/>
  <c r="A19" i="1"/>
  <c r="B19" i="1"/>
  <c r="C19" i="1"/>
  <c r="D19" i="1"/>
  <c r="E19" i="1"/>
  <c r="G19" i="1"/>
  <c r="J19" i="1"/>
  <c r="M19" i="1"/>
  <c r="P19" i="1"/>
  <c r="Q19" i="1"/>
  <c r="R19" i="1"/>
  <c r="H19" i="1" s="1"/>
  <c r="T19" i="1"/>
  <c r="U19" i="1"/>
  <c r="V19" i="1"/>
  <c r="W19" i="1"/>
  <c r="Z19" i="1"/>
  <c r="AA19" i="1"/>
  <c r="AC19" i="1"/>
  <c r="AE19" i="1"/>
  <c r="AH19" i="1"/>
  <c r="AQ19" i="1"/>
  <c r="AR19" i="1"/>
  <c r="AS19" i="1"/>
  <c r="AT19" i="1"/>
  <c r="AU19" i="1"/>
  <c r="AV19" i="1"/>
  <c r="AW19" i="1"/>
  <c r="AX19" i="1"/>
  <c r="AY19" i="1"/>
  <c r="AZ19" i="1"/>
  <c r="BA19" i="1"/>
  <c r="BB19" i="1"/>
  <c r="BC19" i="1"/>
  <c r="BD19" i="1"/>
  <c r="BE19" i="1"/>
  <c r="BF19" i="1"/>
  <c r="BG19" i="1"/>
  <c r="BH19" i="1"/>
  <c r="BI19" i="1"/>
  <c r="BJ19" i="1"/>
  <c r="BK19" i="1"/>
  <c r="BL19" i="1"/>
  <c r="BM19" i="1"/>
  <c r="BN19" i="1"/>
  <c r="BO19" i="1"/>
  <c r="BP19" i="1"/>
  <c r="BQ19" i="1"/>
  <c r="BR19" i="1"/>
  <c r="BS19" i="1"/>
  <c r="BT19" i="1"/>
  <c r="BU19" i="1"/>
  <c r="BV19" i="1"/>
  <c r="BW19" i="1"/>
  <c r="BX19" i="1"/>
  <c r="BY19" i="1"/>
  <c r="BZ19" i="1"/>
  <c r="CA19" i="1"/>
  <c r="CB19" i="1"/>
  <c r="CC19" i="1"/>
  <c r="CD19" i="1"/>
  <c r="A20" i="1"/>
  <c r="B20" i="1"/>
  <c r="C20" i="1"/>
  <c r="D20" i="1"/>
  <c r="E20" i="1"/>
  <c r="G20" i="1"/>
  <c r="J20" i="1"/>
  <c r="M20" i="1"/>
  <c r="P20" i="1"/>
  <c r="Q20" i="1"/>
  <c r="R20" i="1"/>
  <c r="H20" i="1" s="1"/>
  <c r="T20" i="1"/>
  <c r="U20" i="1"/>
  <c r="V20" i="1"/>
  <c r="W20" i="1"/>
  <c r="Z20" i="1"/>
  <c r="AA20" i="1"/>
  <c r="AC20" i="1"/>
  <c r="AE20" i="1"/>
  <c r="AH20" i="1"/>
  <c r="AQ20" i="1"/>
  <c r="AR20" i="1"/>
  <c r="AS20" i="1"/>
  <c r="AT20" i="1"/>
  <c r="AU20" i="1"/>
  <c r="AV20" i="1"/>
  <c r="AW20" i="1"/>
  <c r="AX20" i="1"/>
  <c r="AY20" i="1"/>
  <c r="AZ20" i="1"/>
  <c r="BA20" i="1"/>
  <c r="BB20" i="1"/>
  <c r="BC20" i="1"/>
  <c r="BD20" i="1"/>
  <c r="BE20" i="1"/>
  <c r="BF20" i="1"/>
  <c r="BG20" i="1"/>
  <c r="BH20" i="1"/>
  <c r="BI20" i="1"/>
  <c r="BJ20" i="1"/>
  <c r="BK20" i="1"/>
  <c r="BL20" i="1"/>
  <c r="BM20" i="1"/>
  <c r="BN20" i="1"/>
  <c r="BO20" i="1"/>
  <c r="BP20" i="1"/>
  <c r="BQ20" i="1"/>
  <c r="BR20" i="1"/>
  <c r="BS20" i="1"/>
  <c r="BT20" i="1"/>
  <c r="BU20" i="1"/>
  <c r="BV20" i="1"/>
  <c r="BW20" i="1"/>
  <c r="BX20" i="1"/>
  <c r="BY20" i="1"/>
  <c r="BZ20" i="1"/>
  <c r="CA20" i="1"/>
  <c r="CB20" i="1"/>
  <c r="CC20" i="1"/>
  <c r="CD20" i="1"/>
  <c r="A21" i="1"/>
  <c r="B21" i="1"/>
  <c r="C21" i="1"/>
  <c r="D21" i="1"/>
  <c r="E21" i="1"/>
  <c r="G21" i="1"/>
  <c r="J21" i="1"/>
  <c r="M21" i="1"/>
  <c r="P21" i="1"/>
  <c r="Q21" i="1"/>
  <c r="R21" i="1"/>
  <c r="H21" i="1" s="1"/>
  <c r="T21" i="1"/>
  <c r="U21" i="1"/>
  <c r="V21" i="1"/>
  <c r="W21" i="1"/>
  <c r="Z21" i="1"/>
  <c r="AA21" i="1"/>
  <c r="AC21" i="1"/>
  <c r="AE21" i="1"/>
  <c r="AH21" i="1"/>
  <c r="AQ21" i="1"/>
  <c r="AR21" i="1"/>
  <c r="AS21" i="1"/>
  <c r="AT21" i="1"/>
  <c r="AU21" i="1"/>
  <c r="AV21" i="1"/>
  <c r="AW21" i="1"/>
  <c r="AX21" i="1"/>
  <c r="AY21" i="1"/>
  <c r="AZ21" i="1"/>
  <c r="BA21" i="1"/>
  <c r="BB21" i="1"/>
  <c r="BC21" i="1"/>
  <c r="BD21" i="1"/>
  <c r="BE21" i="1"/>
  <c r="BF21" i="1"/>
  <c r="BG21" i="1"/>
  <c r="BH21" i="1"/>
  <c r="BI21" i="1"/>
  <c r="BJ21" i="1"/>
  <c r="BK21" i="1"/>
  <c r="BL21" i="1"/>
  <c r="BM21" i="1"/>
  <c r="BN21" i="1"/>
  <c r="BO21" i="1"/>
  <c r="BP21" i="1"/>
  <c r="BQ21" i="1"/>
  <c r="BR21" i="1"/>
  <c r="BS21" i="1"/>
  <c r="BT21" i="1"/>
  <c r="BU21" i="1"/>
  <c r="BV21" i="1"/>
  <c r="BW21" i="1"/>
  <c r="BX21" i="1"/>
  <c r="BY21" i="1"/>
  <c r="BZ21" i="1"/>
  <c r="CA21" i="1"/>
  <c r="CB21" i="1"/>
  <c r="CC21" i="1"/>
  <c r="CD21" i="1"/>
  <c r="A22" i="1"/>
  <c r="B22" i="1"/>
  <c r="C22" i="1"/>
  <c r="D22" i="1"/>
  <c r="E22" i="1"/>
  <c r="G22" i="1"/>
  <c r="J22" i="1"/>
  <c r="M22" i="1"/>
  <c r="P22" i="1"/>
  <c r="Q22" i="1"/>
  <c r="R22" i="1"/>
  <c r="T22" i="1"/>
  <c r="U22" i="1"/>
  <c r="V22" i="1"/>
  <c r="W22" i="1"/>
  <c r="Z22" i="1"/>
  <c r="AA22" i="1"/>
  <c r="AC22" i="1"/>
  <c r="AE22" i="1"/>
  <c r="AH22" i="1"/>
  <c r="AQ22" i="1"/>
  <c r="AR22" i="1"/>
  <c r="AS22" i="1"/>
  <c r="AT22" i="1"/>
  <c r="AU22" i="1"/>
  <c r="AV22" i="1"/>
  <c r="AW22" i="1"/>
  <c r="AX22" i="1"/>
  <c r="AY22" i="1"/>
  <c r="AZ22" i="1"/>
  <c r="BA22" i="1"/>
  <c r="BB22" i="1"/>
  <c r="BC22" i="1"/>
  <c r="BD22" i="1"/>
  <c r="BE22" i="1"/>
  <c r="BF22" i="1"/>
  <c r="BG22" i="1"/>
  <c r="BH22" i="1"/>
  <c r="BI22" i="1"/>
  <c r="BJ22" i="1"/>
  <c r="BK22" i="1"/>
  <c r="BL22" i="1"/>
  <c r="BM22" i="1"/>
  <c r="BN22" i="1"/>
  <c r="BO22" i="1"/>
  <c r="BP22" i="1"/>
  <c r="BQ22" i="1"/>
  <c r="BR22" i="1"/>
  <c r="BS22" i="1"/>
  <c r="BT22" i="1"/>
  <c r="BU22" i="1"/>
  <c r="BV22" i="1"/>
  <c r="BW22" i="1"/>
  <c r="BX22" i="1"/>
  <c r="BY22" i="1"/>
  <c r="BZ22" i="1"/>
  <c r="CA22" i="1"/>
  <c r="CB22" i="1"/>
  <c r="CC22" i="1"/>
  <c r="CD22" i="1"/>
  <c r="A23" i="1"/>
  <c r="B23" i="1"/>
  <c r="C23" i="1"/>
  <c r="D23" i="1"/>
  <c r="E23" i="1"/>
  <c r="G23" i="1"/>
  <c r="J23" i="1"/>
  <c r="M23" i="1"/>
  <c r="P23" i="1"/>
  <c r="F23" i="1" s="1"/>
  <c r="Q23" i="1"/>
  <c r="R23" i="1"/>
  <c r="H23" i="1" s="1"/>
  <c r="T23" i="1"/>
  <c r="U23" i="1"/>
  <c r="V23" i="1"/>
  <c r="W23" i="1"/>
  <c r="Z23" i="1"/>
  <c r="AA23" i="1"/>
  <c r="AC23" i="1"/>
  <c r="AE23" i="1"/>
  <c r="AH23" i="1"/>
  <c r="AQ23" i="1"/>
  <c r="AR23" i="1"/>
  <c r="AS23" i="1"/>
  <c r="AT23" i="1"/>
  <c r="AU23" i="1"/>
  <c r="AV23" i="1"/>
  <c r="AW23" i="1"/>
  <c r="AX23" i="1"/>
  <c r="AY23" i="1"/>
  <c r="AZ23" i="1"/>
  <c r="BA23" i="1"/>
  <c r="BB23" i="1"/>
  <c r="BC23" i="1"/>
  <c r="BD23" i="1"/>
  <c r="BE23" i="1"/>
  <c r="BF23" i="1"/>
  <c r="BG23" i="1"/>
  <c r="BH23" i="1"/>
  <c r="BI23" i="1"/>
  <c r="BJ23" i="1"/>
  <c r="BK23" i="1"/>
  <c r="BL23" i="1"/>
  <c r="BM23" i="1"/>
  <c r="BN23" i="1"/>
  <c r="BO23" i="1"/>
  <c r="BP23" i="1"/>
  <c r="BQ23" i="1"/>
  <c r="BR23" i="1"/>
  <c r="BS23" i="1"/>
  <c r="BT23" i="1"/>
  <c r="BU23" i="1"/>
  <c r="BV23" i="1"/>
  <c r="BW23" i="1"/>
  <c r="BX23" i="1"/>
  <c r="BY23" i="1"/>
  <c r="BZ23" i="1"/>
  <c r="CA23" i="1"/>
  <c r="CB23" i="1"/>
  <c r="CC23" i="1"/>
  <c r="CD23" i="1"/>
  <c r="A24" i="1"/>
  <c r="B24" i="1"/>
  <c r="C24" i="1"/>
  <c r="D24" i="1"/>
  <c r="E24" i="1"/>
  <c r="G24" i="1"/>
  <c r="J24" i="1"/>
  <c r="M24" i="1"/>
  <c r="P24" i="1"/>
  <c r="Q24" i="1"/>
  <c r="R24" i="1"/>
  <c r="H24" i="1" s="1"/>
  <c r="T24" i="1"/>
  <c r="U24" i="1"/>
  <c r="V24" i="1"/>
  <c r="W24" i="1"/>
  <c r="Z24" i="1"/>
  <c r="AA24" i="1"/>
  <c r="AC24" i="1"/>
  <c r="AE24" i="1"/>
  <c r="AH24" i="1"/>
  <c r="AQ24" i="1"/>
  <c r="AR24" i="1"/>
  <c r="AS24" i="1"/>
  <c r="AT24" i="1"/>
  <c r="AU24" i="1"/>
  <c r="AV24" i="1"/>
  <c r="AW24" i="1"/>
  <c r="AX24" i="1"/>
  <c r="AY24" i="1"/>
  <c r="AZ24" i="1"/>
  <c r="BA24" i="1"/>
  <c r="BB24" i="1"/>
  <c r="BC24" i="1"/>
  <c r="BD24" i="1"/>
  <c r="BE24" i="1"/>
  <c r="BF24" i="1"/>
  <c r="BG24" i="1"/>
  <c r="BH24" i="1"/>
  <c r="BI24" i="1"/>
  <c r="BJ24" i="1"/>
  <c r="BK24" i="1"/>
  <c r="BL24" i="1"/>
  <c r="BM24" i="1"/>
  <c r="BN24" i="1"/>
  <c r="BO24" i="1"/>
  <c r="BP24" i="1"/>
  <c r="BQ24" i="1"/>
  <c r="BR24" i="1"/>
  <c r="BS24" i="1"/>
  <c r="BT24" i="1"/>
  <c r="BU24" i="1"/>
  <c r="BV24" i="1"/>
  <c r="BW24" i="1"/>
  <c r="BX24" i="1"/>
  <c r="BY24" i="1"/>
  <c r="BZ24" i="1"/>
  <c r="CA24" i="1"/>
  <c r="CB24" i="1"/>
  <c r="CC24" i="1"/>
  <c r="CD24" i="1"/>
  <c r="A25" i="1"/>
  <c r="B25" i="1"/>
  <c r="C25" i="1"/>
  <c r="D25" i="1"/>
  <c r="E25" i="1"/>
  <c r="G25" i="1"/>
  <c r="J25" i="1"/>
  <c r="M25" i="1"/>
  <c r="P25" i="1"/>
  <c r="Q25" i="1"/>
  <c r="R25" i="1"/>
  <c r="H25" i="1" s="1"/>
  <c r="T25" i="1"/>
  <c r="U25" i="1"/>
  <c r="V25" i="1"/>
  <c r="W25" i="1"/>
  <c r="Z25" i="1"/>
  <c r="AA25" i="1"/>
  <c r="AC25" i="1"/>
  <c r="AE25" i="1"/>
  <c r="AH25" i="1"/>
  <c r="AQ25" i="1"/>
  <c r="AR25" i="1"/>
  <c r="AS25" i="1"/>
  <c r="AT25" i="1"/>
  <c r="AU25" i="1"/>
  <c r="AV25" i="1"/>
  <c r="AW25" i="1"/>
  <c r="AX25" i="1"/>
  <c r="AY25" i="1"/>
  <c r="AZ25" i="1"/>
  <c r="BA25" i="1"/>
  <c r="BB25" i="1"/>
  <c r="BC25" i="1"/>
  <c r="BD25" i="1"/>
  <c r="BE25" i="1"/>
  <c r="BF25" i="1"/>
  <c r="BG25" i="1"/>
  <c r="BH25" i="1"/>
  <c r="BI25" i="1"/>
  <c r="BJ25" i="1"/>
  <c r="BK25" i="1"/>
  <c r="BL25" i="1"/>
  <c r="BM25" i="1"/>
  <c r="BN25" i="1"/>
  <c r="BO25" i="1"/>
  <c r="BP25" i="1"/>
  <c r="BQ25" i="1"/>
  <c r="BR25" i="1"/>
  <c r="BS25" i="1"/>
  <c r="BT25" i="1"/>
  <c r="BU25" i="1"/>
  <c r="BV25" i="1"/>
  <c r="BW25" i="1"/>
  <c r="BX25" i="1"/>
  <c r="BY25" i="1"/>
  <c r="BZ25" i="1"/>
  <c r="CA25" i="1"/>
  <c r="CB25" i="1"/>
  <c r="CC25" i="1"/>
  <c r="CD25" i="1"/>
  <c r="A26" i="1"/>
  <c r="B26" i="1"/>
  <c r="C26" i="1"/>
  <c r="D26" i="1"/>
  <c r="E26" i="1"/>
  <c r="G26" i="1"/>
  <c r="J26" i="1"/>
  <c r="M26" i="1"/>
  <c r="P26" i="1"/>
  <c r="Q26" i="1"/>
  <c r="R26" i="1"/>
  <c r="H26" i="1" s="1"/>
  <c r="T26" i="1"/>
  <c r="U26" i="1"/>
  <c r="V26" i="1"/>
  <c r="W26" i="1"/>
  <c r="Z26" i="1"/>
  <c r="AA26" i="1"/>
  <c r="AC26" i="1"/>
  <c r="AE26" i="1"/>
  <c r="AH26" i="1"/>
  <c r="AQ26" i="1"/>
  <c r="AR26" i="1"/>
  <c r="AS26" i="1"/>
  <c r="AT26" i="1"/>
  <c r="AU26" i="1"/>
  <c r="AV26" i="1"/>
  <c r="AW26" i="1"/>
  <c r="AX26" i="1"/>
  <c r="AY26" i="1"/>
  <c r="AZ26" i="1"/>
  <c r="BA26" i="1"/>
  <c r="BB26" i="1"/>
  <c r="BC26" i="1"/>
  <c r="BD26" i="1"/>
  <c r="BE26" i="1"/>
  <c r="BF26" i="1"/>
  <c r="BG26" i="1"/>
  <c r="BH26" i="1"/>
  <c r="BI26" i="1"/>
  <c r="BJ26" i="1"/>
  <c r="BK26" i="1"/>
  <c r="BL26" i="1"/>
  <c r="BM26" i="1"/>
  <c r="BN26" i="1"/>
  <c r="BO26" i="1"/>
  <c r="BP26" i="1"/>
  <c r="BQ26" i="1"/>
  <c r="BR26" i="1"/>
  <c r="BS26" i="1"/>
  <c r="BT26" i="1"/>
  <c r="BU26" i="1"/>
  <c r="BV26" i="1"/>
  <c r="BW26" i="1"/>
  <c r="BX26" i="1"/>
  <c r="BY26" i="1"/>
  <c r="BZ26" i="1"/>
  <c r="CA26" i="1"/>
  <c r="CB26" i="1"/>
  <c r="CC26" i="1"/>
  <c r="CD26" i="1"/>
  <c r="A27" i="1"/>
  <c r="B27" i="1"/>
  <c r="C27" i="1"/>
  <c r="D27" i="1"/>
  <c r="E27" i="1"/>
  <c r="G27" i="1"/>
  <c r="J27" i="1"/>
  <c r="M27" i="1"/>
  <c r="P27" i="1"/>
  <c r="Q27" i="1"/>
  <c r="R27" i="1"/>
  <c r="H27" i="1" s="1"/>
  <c r="T27" i="1"/>
  <c r="U27" i="1"/>
  <c r="V27" i="1"/>
  <c r="W27" i="1"/>
  <c r="Z27" i="1"/>
  <c r="AA27" i="1"/>
  <c r="AC27" i="1"/>
  <c r="AE27" i="1"/>
  <c r="AH27" i="1"/>
  <c r="AQ27" i="1"/>
  <c r="AR27" i="1"/>
  <c r="AS27" i="1"/>
  <c r="AT27" i="1"/>
  <c r="AU27" i="1"/>
  <c r="AV27" i="1"/>
  <c r="AW27" i="1"/>
  <c r="AX27" i="1"/>
  <c r="AY27" i="1"/>
  <c r="AZ27" i="1"/>
  <c r="BA27" i="1"/>
  <c r="BB27" i="1"/>
  <c r="BC27" i="1"/>
  <c r="BD27" i="1"/>
  <c r="BE27" i="1"/>
  <c r="BF27" i="1"/>
  <c r="BG27" i="1"/>
  <c r="BH27" i="1"/>
  <c r="BI27" i="1"/>
  <c r="BJ27" i="1"/>
  <c r="BK27" i="1"/>
  <c r="BL27" i="1"/>
  <c r="BM27" i="1"/>
  <c r="BN27" i="1"/>
  <c r="BO27" i="1"/>
  <c r="BP27" i="1"/>
  <c r="BQ27" i="1"/>
  <c r="BR27" i="1"/>
  <c r="BS27" i="1"/>
  <c r="BT27" i="1"/>
  <c r="BU27" i="1"/>
  <c r="BV27" i="1"/>
  <c r="BW27" i="1"/>
  <c r="BX27" i="1"/>
  <c r="BY27" i="1"/>
  <c r="BZ27" i="1"/>
  <c r="CA27" i="1"/>
  <c r="CB27" i="1"/>
  <c r="CC27" i="1"/>
  <c r="CD27" i="1"/>
  <c r="A28" i="1"/>
  <c r="B28" i="1"/>
  <c r="C28" i="1"/>
  <c r="D28" i="1"/>
  <c r="E28" i="1"/>
  <c r="G28" i="1"/>
  <c r="J28" i="1"/>
  <c r="M28" i="1"/>
  <c r="P28" i="1"/>
  <c r="Q28" i="1"/>
  <c r="R28" i="1"/>
  <c r="H28" i="1" s="1"/>
  <c r="T28" i="1"/>
  <c r="U28" i="1"/>
  <c r="V28" i="1"/>
  <c r="W28" i="1"/>
  <c r="Z28" i="1"/>
  <c r="AA28" i="1"/>
  <c r="AC28" i="1"/>
  <c r="AE28" i="1"/>
  <c r="AH28" i="1"/>
  <c r="AQ28" i="1"/>
  <c r="AR28" i="1"/>
  <c r="AS28" i="1"/>
  <c r="AT28" i="1"/>
  <c r="AU28" i="1"/>
  <c r="AV28" i="1"/>
  <c r="AW28" i="1"/>
  <c r="AX28" i="1"/>
  <c r="AY28" i="1"/>
  <c r="AZ28" i="1"/>
  <c r="BA28" i="1"/>
  <c r="BB28" i="1"/>
  <c r="BC28" i="1"/>
  <c r="BD28" i="1"/>
  <c r="BE28" i="1"/>
  <c r="BF28" i="1"/>
  <c r="BG28" i="1"/>
  <c r="BH28" i="1"/>
  <c r="BI28" i="1"/>
  <c r="BJ28" i="1"/>
  <c r="BK28" i="1"/>
  <c r="BL28" i="1"/>
  <c r="BM28" i="1"/>
  <c r="BN28" i="1"/>
  <c r="BO28" i="1"/>
  <c r="BP28" i="1"/>
  <c r="BQ28" i="1"/>
  <c r="BR28" i="1"/>
  <c r="BS28" i="1"/>
  <c r="BT28" i="1"/>
  <c r="BU28" i="1"/>
  <c r="BV28" i="1"/>
  <c r="BW28" i="1"/>
  <c r="BX28" i="1"/>
  <c r="BY28" i="1"/>
  <c r="BZ28" i="1"/>
  <c r="CA28" i="1"/>
  <c r="CB28" i="1"/>
  <c r="CC28" i="1"/>
  <c r="CD28" i="1"/>
  <c r="A29" i="1"/>
  <c r="B29" i="1"/>
  <c r="C29" i="1"/>
  <c r="D29" i="1"/>
  <c r="E29" i="1"/>
  <c r="G29" i="1"/>
  <c r="J29" i="1"/>
  <c r="M29" i="1"/>
  <c r="P29" i="1"/>
  <c r="Q29" i="1"/>
  <c r="R29" i="1"/>
  <c r="H29" i="1" s="1"/>
  <c r="T29" i="1"/>
  <c r="U29" i="1"/>
  <c r="V29" i="1"/>
  <c r="W29" i="1"/>
  <c r="Z29" i="1"/>
  <c r="AA29" i="1"/>
  <c r="AC29" i="1"/>
  <c r="AE29" i="1"/>
  <c r="AH29" i="1"/>
  <c r="AQ29" i="1"/>
  <c r="AR29" i="1"/>
  <c r="AS29" i="1"/>
  <c r="AT29" i="1"/>
  <c r="AU29" i="1"/>
  <c r="AV29" i="1"/>
  <c r="AW29" i="1"/>
  <c r="AX29" i="1"/>
  <c r="AY29" i="1"/>
  <c r="AZ29" i="1"/>
  <c r="BA29" i="1"/>
  <c r="BB29" i="1"/>
  <c r="BC29" i="1"/>
  <c r="BD29" i="1"/>
  <c r="BE29" i="1"/>
  <c r="BF29" i="1"/>
  <c r="BG29" i="1"/>
  <c r="BH29" i="1"/>
  <c r="BI29" i="1"/>
  <c r="BJ29" i="1"/>
  <c r="BK29" i="1"/>
  <c r="BL29" i="1"/>
  <c r="BM29" i="1"/>
  <c r="BN29" i="1"/>
  <c r="BO29" i="1"/>
  <c r="BP29" i="1"/>
  <c r="BQ29" i="1"/>
  <c r="BR29" i="1"/>
  <c r="BS29" i="1"/>
  <c r="BT29" i="1"/>
  <c r="BU29" i="1"/>
  <c r="BV29" i="1"/>
  <c r="BW29" i="1"/>
  <c r="BX29" i="1"/>
  <c r="BY29" i="1"/>
  <c r="BZ29" i="1"/>
  <c r="CA29" i="1"/>
  <c r="CB29" i="1"/>
  <c r="CC29" i="1"/>
  <c r="CD29" i="1"/>
  <c r="A30" i="1"/>
  <c r="B30" i="1"/>
  <c r="C30" i="1"/>
  <c r="D30" i="1"/>
  <c r="E30" i="1"/>
  <c r="G30" i="1"/>
  <c r="J30" i="1"/>
  <c r="M30" i="1"/>
  <c r="P30" i="1"/>
  <c r="Q30" i="1"/>
  <c r="R30" i="1"/>
  <c r="H30" i="1" s="1"/>
  <c r="T30" i="1"/>
  <c r="U30" i="1"/>
  <c r="V30" i="1"/>
  <c r="W30" i="1"/>
  <c r="Z30" i="1"/>
  <c r="AA30" i="1"/>
  <c r="AC30" i="1"/>
  <c r="AE30" i="1"/>
  <c r="AH30" i="1"/>
  <c r="AQ30" i="1"/>
  <c r="AR30" i="1"/>
  <c r="AS30" i="1"/>
  <c r="AT30" i="1"/>
  <c r="AU30" i="1"/>
  <c r="AV30" i="1"/>
  <c r="AW30" i="1"/>
  <c r="AX30" i="1"/>
  <c r="AY30" i="1"/>
  <c r="AZ30" i="1"/>
  <c r="BA30" i="1"/>
  <c r="BB30" i="1"/>
  <c r="BC30" i="1"/>
  <c r="BD30" i="1"/>
  <c r="BE30" i="1"/>
  <c r="BF30" i="1"/>
  <c r="BG30" i="1"/>
  <c r="BH30" i="1"/>
  <c r="BI30" i="1"/>
  <c r="BJ30" i="1"/>
  <c r="BK30" i="1"/>
  <c r="BL30" i="1"/>
  <c r="BM30" i="1"/>
  <c r="BN30" i="1"/>
  <c r="BO30" i="1"/>
  <c r="BP30" i="1"/>
  <c r="BQ30" i="1"/>
  <c r="BR30" i="1"/>
  <c r="BS30" i="1"/>
  <c r="BT30" i="1"/>
  <c r="BU30" i="1"/>
  <c r="BV30" i="1"/>
  <c r="BW30" i="1"/>
  <c r="BX30" i="1"/>
  <c r="BY30" i="1"/>
  <c r="BZ30" i="1"/>
  <c r="CA30" i="1"/>
  <c r="CB30" i="1"/>
  <c r="CC30" i="1"/>
  <c r="CD30" i="1"/>
  <c r="A31" i="1"/>
  <c r="B31" i="1"/>
  <c r="C31" i="1"/>
  <c r="D31" i="1"/>
  <c r="E31" i="1"/>
  <c r="G31" i="1"/>
  <c r="J31" i="1"/>
  <c r="M31" i="1"/>
  <c r="P31" i="1"/>
  <c r="Q31" i="1"/>
  <c r="R31" i="1"/>
  <c r="H31" i="1" s="1"/>
  <c r="T31" i="1"/>
  <c r="U31" i="1"/>
  <c r="V31" i="1"/>
  <c r="W31" i="1"/>
  <c r="Z31" i="1"/>
  <c r="AA31" i="1"/>
  <c r="AC31" i="1"/>
  <c r="AE31" i="1"/>
  <c r="AH31" i="1"/>
  <c r="AQ31" i="1"/>
  <c r="AR31" i="1"/>
  <c r="AS31" i="1"/>
  <c r="AT31" i="1"/>
  <c r="AU31" i="1"/>
  <c r="AV31" i="1"/>
  <c r="AW31" i="1"/>
  <c r="AX31" i="1"/>
  <c r="AY31" i="1"/>
  <c r="AZ31" i="1"/>
  <c r="BA31" i="1"/>
  <c r="BB31" i="1"/>
  <c r="BC31" i="1"/>
  <c r="BD31" i="1"/>
  <c r="BE31" i="1"/>
  <c r="BF31" i="1"/>
  <c r="BG31" i="1"/>
  <c r="BH31" i="1"/>
  <c r="BI31" i="1"/>
  <c r="BJ31" i="1"/>
  <c r="BK31" i="1"/>
  <c r="BL31" i="1"/>
  <c r="BM31" i="1"/>
  <c r="BN31" i="1"/>
  <c r="BO31" i="1"/>
  <c r="BP31" i="1"/>
  <c r="BQ31" i="1"/>
  <c r="BR31" i="1"/>
  <c r="BS31" i="1"/>
  <c r="BT31" i="1"/>
  <c r="BU31" i="1"/>
  <c r="BV31" i="1"/>
  <c r="BW31" i="1"/>
  <c r="BX31" i="1"/>
  <c r="BY31" i="1"/>
  <c r="BZ31" i="1"/>
  <c r="CA31" i="1"/>
  <c r="CB31" i="1"/>
  <c r="CC31" i="1"/>
  <c r="CD31" i="1"/>
  <c r="A32" i="1"/>
  <c r="B32" i="1"/>
  <c r="C32" i="1"/>
  <c r="D32" i="1"/>
  <c r="E32" i="1"/>
  <c r="G32" i="1"/>
  <c r="J32" i="1"/>
  <c r="M32" i="1"/>
  <c r="P32" i="1"/>
  <c r="Q32" i="1"/>
  <c r="R32" i="1"/>
  <c r="H32" i="1" s="1"/>
  <c r="T32" i="1"/>
  <c r="U32" i="1"/>
  <c r="V32" i="1"/>
  <c r="W32" i="1"/>
  <c r="Z32" i="1"/>
  <c r="AA32" i="1"/>
  <c r="AC32" i="1"/>
  <c r="AE32" i="1"/>
  <c r="AH32" i="1"/>
  <c r="AQ32" i="1"/>
  <c r="AR32" i="1"/>
  <c r="AS32" i="1"/>
  <c r="AT32" i="1"/>
  <c r="AU32" i="1"/>
  <c r="AV32" i="1"/>
  <c r="AW32" i="1"/>
  <c r="AX32" i="1"/>
  <c r="AY32" i="1"/>
  <c r="AZ32" i="1"/>
  <c r="BA32" i="1"/>
  <c r="BB32" i="1"/>
  <c r="BC32" i="1"/>
  <c r="BD32" i="1"/>
  <c r="BE32" i="1"/>
  <c r="BF32" i="1"/>
  <c r="BG32" i="1"/>
  <c r="BH32" i="1"/>
  <c r="BI32" i="1"/>
  <c r="BJ32" i="1"/>
  <c r="BK32" i="1"/>
  <c r="BL32" i="1"/>
  <c r="BM32" i="1"/>
  <c r="BN32" i="1"/>
  <c r="BO32" i="1"/>
  <c r="BP32" i="1"/>
  <c r="BQ32" i="1"/>
  <c r="BR32" i="1"/>
  <c r="BS32" i="1"/>
  <c r="BT32" i="1"/>
  <c r="BU32" i="1"/>
  <c r="BV32" i="1"/>
  <c r="BW32" i="1"/>
  <c r="BX32" i="1"/>
  <c r="BY32" i="1"/>
  <c r="BZ32" i="1"/>
  <c r="CA32" i="1"/>
  <c r="CB32" i="1"/>
  <c r="CC32" i="1"/>
  <c r="CD32" i="1"/>
  <c r="A33" i="1"/>
  <c r="B33" i="1"/>
  <c r="C33" i="1"/>
  <c r="D33" i="1"/>
  <c r="E33" i="1"/>
  <c r="G33" i="1"/>
  <c r="J33" i="1"/>
  <c r="M33" i="1"/>
  <c r="P33" i="1"/>
  <c r="Q33" i="1"/>
  <c r="R33" i="1"/>
  <c r="H33" i="1" s="1"/>
  <c r="T33" i="1"/>
  <c r="U33" i="1"/>
  <c r="V33" i="1"/>
  <c r="W33" i="1"/>
  <c r="Z33" i="1"/>
  <c r="AA33" i="1"/>
  <c r="AC33" i="1"/>
  <c r="AE33" i="1"/>
  <c r="AH33" i="1"/>
  <c r="AQ33" i="1"/>
  <c r="AR33" i="1"/>
  <c r="AS33" i="1"/>
  <c r="AT33" i="1"/>
  <c r="AU33" i="1"/>
  <c r="AV33" i="1"/>
  <c r="AW33" i="1"/>
  <c r="AX33" i="1"/>
  <c r="AY33" i="1"/>
  <c r="AZ33" i="1"/>
  <c r="BA33" i="1"/>
  <c r="BB33" i="1"/>
  <c r="BC33" i="1"/>
  <c r="BD33" i="1"/>
  <c r="BE33" i="1"/>
  <c r="BF33" i="1"/>
  <c r="BG33" i="1"/>
  <c r="BH33" i="1"/>
  <c r="BI33" i="1"/>
  <c r="BJ33" i="1"/>
  <c r="BK33" i="1"/>
  <c r="BL33" i="1"/>
  <c r="BM33" i="1"/>
  <c r="BN33" i="1"/>
  <c r="BO33" i="1"/>
  <c r="BP33" i="1"/>
  <c r="BQ33" i="1"/>
  <c r="BR33" i="1"/>
  <c r="BS33" i="1"/>
  <c r="BT33" i="1"/>
  <c r="BU33" i="1"/>
  <c r="BV33" i="1"/>
  <c r="BW33" i="1"/>
  <c r="BX33" i="1"/>
  <c r="BY33" i="1"/>
  <c r="BZ33" i="1"/>
  <c r="CA33" i="1"/>
  <c r="CB33" i="1"/>
  <c r="CC33" i="1"/>
  <c r="CD33" i="1"/>
  <c r="A34" i="1"/>
  <c r="B34" i="1"/>
  <c r="C34" i="1"/>
  <c r="D34" i="1"/>
  <c r="E34" i="1"/>
  <c r="G34" i="1"/>
  <c r="J34" i="1"/>
  <c r="M34" i="1"/>
  <c r="P34" i="1"/>
  <c r="Q34" i="1"/>
  <c r="R34" i="1"/>
  <c r="H34" i="1" s="1"/>
  <c r="T34" i="1"/>
  <c r="U34" i="1"/>
  <c r="V34" i="1"/>
  <c r="W34" i="1"/>
  <c r="Z34" i="1"/>
  <c r="AA34" i="1"/>
  <c r="AC34" i="1"/>
  <c r="AE34" i="1"/>
  <c r="AH34" i="1"/>
  <c r="AQ34" i="1"/>
  <c r="AR34" i="1"/>
  <c r="AS34" i="1"/>
  <c r="AT34" i="1"/>
  <c r="AU34" i="1"/>
  <c r="AV34" i="1"/>
  <c r="AW34" i="1"/>
  <c r="AX34" i="1"/>
  <c r="AY34" i="1"/>
  <c r="AZ34" i="1"/>
  <c r="BA34" i="1"/>
  <c r="BB34" i="1"/>
  <c r="BC34" i="1"/>
  <c r="BD34" i="1"/>
  <c r="BE34" i="1"/>
  <c r="BF34" i="1"/>
  <c r="BG34" i="1"/>
  <c r="BH34" i="1"/>
  <c r="BI34" i="1"/>
  <c r="BJ34" i="1"/>
  <c r="BK34" i="1"/>
  <c r="BL34" i="1"/>
  <c r="BM34" i="1"/>
  <c r="BN34" i="1"/>
  <c r="BO34" i="1"/>
  <c r="BP34" i="1"/>
  <c r="BQ34" i="1"/>
  <c r="BR34" i="1"/>
  <c r="BS34" i="1"/>
  <c r="BT34" i="1"/>
  <c r="BU34" i="1"/>
  <c r="BV34" i="1"/>
  <c r="BW34" i="1"/>
  <c r="BX34" i="1"/>
  <c r="BY34" i="1"/>
  <c r="BZ34" i="1"/>
  <c r="CA34" i="1"/>
  <c r="CB34" i="1"/>
  <c r="CC34" i="1"/>
  <c r="CD34" i="1"/>
  <c r="A35" i="1"/>
  <c r="B35" i="1"/>
  <c r="C35" i="1"/>
  <c r="D35" i="1"/>
  <c r="E35" i="1"/>
  <c r="G35" i="1"/>
  <c r="J35" i="1"/>
  <c r="M35" i="1"/>
  <c r="P35" i="1"/>
  <c r="Q35" i="1"/>
  <c r="R35" i="1"/>
  <c r="H35" i="1" s="1"/>
  <c r="T35" i="1"/>
  <c r="U35" i="1"/>
  <c r="V35" i="1"/>
  <c r="W35" i="1"/>
  <c r="Z35" i="1"/>
  <c r="AA35" i="1"/>
  <c r="AC35" i="1"/>
  <c r="AE35" i="1"/>
  <c r="AH35" i="1"/>
  <c r="AQ35" i="1"/>
  <c r="AR35" i="1"/>
  <c r="AS35" i="1"/>
  <c r="AT35" i="1"/>
  <c r="AU35" i="1"/>
  <c r="AV35" i="1"/>
  <c r="AW35" i="1"/>
  <c r="AX35" i="1"/>
  <c r="AY35" i="1"/>
  <c r="AZ35" i="1"/>
  <c r="BA35" i="1"/>
  <c r="BB35" i="1"/>
  <c r="BC35" i="1"/>
  <c r="BD35" i="1"/>
  <c r="BE35" i="1"/>
  <c r="BF35" i="1"/>
  <c r="BG35" i="1"/>
  <c r="BH35" i="1"/>
  <c r="BI35" i="1"/>
  <c r="BJ35" i="1"/>
  <c r="BK35" i="1"/>
  <c r="BL35" i="1"/>
  <c r="BM35" i="1"/>
  <c r="BN35" i="1"/>
  <c r="BO35" i="1"/>
  <c r="BP35" i="1"/>
  <c r="BQ35" i="1"/>
  <c r="BR35" i="1"/>
  <c r="BS35" i="1"/>
  <c r="BT35" i="1"/>
  <c r="BU35" i="1"/>
  <c r="BV35" i="1"/>
  <c r="BW35" i="1"/>
  <c r="BX35" i="1"/>
  <c r="BY35" i="1"/>
  <c r="BZ35" i="1"/>
  <c r="CA35" i="1"/>
  <c r="CB35" i="1"/>
  <c r="CC35" i="1"/>
  <c r="CD35" i="1"/>
  <c r="A36" i="1"/>
  <c r="B36" i="1"/>
  <c r="C36" i="1"/>
  <c r="D36" i="1"/>
  <c r="E36" i="1"/>
  <c r="G36" i="1"/>
  <c r="J36" i="1"/>
  <c r="M36" i="1"/>
  <c r="P36" i="1"/>
  <c r="Q36" i="1"/>
  <c r="R36" i="1"/>
  <c r="H36" i="1" s="1"/>
  <c r="T36" i="1"/>
  <c r="U36" i="1"/>
  <c r="V36" i="1"/>
  <c r="W36" i="1"/>
  <c r="Z36" i="1"/>
  <c r="AA36" i="1"/>
  <c r="AC36" i="1"/>
  <c r="AE36" i="1"/>
  <c r="AH36" i="1"/>
  <c r="AQ36" i="1"/>
  <c r="AR36" i="1"/>
  <c r="AS36" i="1"/>
  <c r="AT36" i="1"/>
  <c r="AU36" i="1"/>
  <c r="AV36" i="1"/>
  <c r="AW36" i="1"/>
  <c r="AX36" i="1"/>
  <c r="AY36" i="1"/>
  <c r="AZ36" i="1"/>
  <c r="BA36" i="1"/>
  <c r="BB36" i="1"/>
  <c r="BC36" i="1"/>
  <c r="BD36" i="1"/>
  <c r="BE36" i="1"/>
  <c r="BF36" i="1"/>
  <c r="BG36" i="1"/>
  <c r="BH36" i="1"/>
  <c r="BI36" i="1"/>
  <c r="BJ36" i="1"/>
  <c r="BK36" i="1"/>
  <c r="BL36" i="1"/>
  <c r="BM36" i="1"/>
  <c r="BN36" i="1"/>
  <c r="BO36" i="1"/>
  <c r="BP36" i="1"/>
  <c r="BQ36" i="1"/>
  <c r="BR36" i="1"/>
  <c r="BS36" i="1"/>
  <c r="BT36" i="1"/>
  <c r="BU36" i="1"/>
  <c r="BV36" i="1"/>
  <c r="BW36" i="1"/>
  <c r="BX36" i="1"/>
  <c r="BY36" i="1"/>
  <c r="BZ36" i="1"/>
  <c r="CA36" i="1"/>
  <c r="CB36" i="1"/>
  <c r="CC36" i="1"/>
  <c r="CD36" i="1"/>
  <c r="A37" i="1"/>
  <c r="B37" i="1"/>
  <c r="C37" i="1"/>
  <c r="D37" i="1"/>
  <c r="E37" i="1"/>
  <c r="G37" i="1"/>
  <c r="J37" i="1"/>
  <c r="M37" i="1"/>
  <c r="P37" i="1"/>
  <c r="Q37" i="1"/>
  <c r="R37" i="1"/>
  <c r="H37" i="1" s="1"/>
  <c r="T37" i="1"/>
  <c r="U37" i="1"/>
  <c r="V37" i="1"/>
  <c r="W37" i="1"/>
  <c r="Z37" i="1"/>
  <c r="AA37" i="1"/>
  <c r="AC37" i="1"/>
  <c r="AE37" i="1"/>
  <c r="AH37" i="1"/>
  <c r="AQ37" i="1"/>
  <c r="AR37" i="1"/>
  <c r="AS37" i="1"/>
  <c r="AT37" i="1"/>
  <c r="AU37" i="1"/>
  <c r="AV37" i="1"/>
  <c r="AW37" i="1"/>
  <c r="AX37" i="1"/>
  <c r="AY37" i="1"/>
  <c r="AZ37" i="1"/>
  <c r="BA37" i="1"/>
  <c r="BB37" i="1"/>
  <c r="BC37" i="1"/>
  <c r="BD37" i="1"/>
  <c r="BE37" i="1"/>
  <c r="BF37" i="1"/>
  <c r="BG37" i="1"/>
  <c r="BH37" i="1"/>
  <c r="BI37" i="1"/>
  <c r="BJ37" i="1"/>
  <c r="BK37" i="1"/>
  <c r="BL37" i="1"/>
  <c r="BM37" i="1"/>
  <c r="BN37" i="1"/>
  <c r="BO37" i="1"/>
  <c r="BP37" i="1"/>
  <c r="BQ37" i="1"/>
  <c r="BR37" i="1"/>
  <c r="BS37" i="1"/>
  <c r="BT37" i="1"/>
  <c r="BU37" i="1"/>
  <c r="BV37" i="1"/>
  <c r="BW37" i="1"/>
  <c r="BX37" i="1"/>
  <c r="BY37" i="1"/>
  <c r="BZ37" i="1"/>
  <c r="CA37" i="1"/>
  <c r="CB37" i="1"/>
  <c r="CC37" i="1"/>
  <c r="CD37" i="1"/>
  <c r="A38" i="1"/>
  <c r="B38" i="1"/>
  <c r="C38" i="1"/>
  <c r="D38" i="1"/>
  <c r="E38" i="1"/>
  <c r="G38" i="1"/>
  <c r="I38" i="1"/>
  <c r="J38" i="1"/>
  <c r="M38" i="1"/>
  <c r="P38" i="1"/>
  <c r="F38" i="1" s="1"/>
  <c r="Q38" i="1"/>
  <c r="R38" i="1"/>
  <c r="H38" i="1" s="1"/>
  <c r="T38" i="1"/>
  <c r="U38" i="1"/>
  <c r="V38" i="1"/>
  <c r="W38" i="1"/>
  <c r="Z38" i="1"/>
  <c r="AA38" i="1"/>
  <c r="AC38" i="1"/>
  <c r="AE38" i="1"/>
  <c r="AH38" i="1"/>
  <c r="AQ38" i="1"/>
  <c r="AR38" i="1"/>
  <c r="AS38" i="1"/>
  <c r="AT38" i="1"/>
  <c r="AU38" i="1"/>
  <c r="AV38" i="1"/>
  <c r="AW38" i="1"/>
  <c r="AX38" i="1"/>
  <c r="AY38" i="1"/>
  <c r="AZ38" i="1"/>
  <c r="BA38" i="1"/>
  <c r="BB38" i="1"/>
  <c r="BC38" i="1"/>
  <c r="BD38" i="1"/>
  <c r="BE38" i="1"/>
  <c r="BF38" i="1"/>
  <c r="BG38" i="1"/>
  <c r="BH38" i="1"/>
  <c r="BI38" i="1"/>
  <c r="BJ38" i="1"/>
  <c r="BK38" i="1"/>
  <c r="BL38" i="1"/>
  <c r="BM38" i="1"/>
  <c r="BN38" i="1"/>
  <c r="BO38" i="1"/>
  <c r="BP38" i="1"/>
  <c r="BQ38" i="1"/>
  <c r="BR38" i="1"/>
  <c r="BS38" i="1"/>
  <c r="BT38" i="1"/>
  <c r="BU38" i="1"/>
  <c r="BV38" i="1"/>
  <c r="BW38" i="1"/>
  <c r="BX38" i="1"/>
  <c r="BY38" i="1"/>
  <c r="BZ38" i="1"/>
  <c r="CA38" i="1"/>
  <c r="CB38" i="1"/>
  <c r="CC38" i="1"/>
  <c r="CD38" i="1"/>
  <c r="A39" i="1"/>
  <c r="B39" i="1"/>
  <c r="C39" i="1"/>
  <c r="D39" i="1"/>
  <c r="E39" i="1"/>
  <c r="G39" i="1"/>
  <c r="J39" i="1"/>
  <c r="M39" i="1"/>
  <c r="P39" i="1"/>
  <c r="Q39" i="1"/>
  <c r="R39" i="1"/>
  <c r="H39" i="1" s="1"/>
  <c r="T39" i="1"/>
  <c r="U39" i="1"/>
  <c r="V39" i="1"/>
  <c r="W39" i="1"/>
  <c r="Z39" i="1"/>
  <c r="AA39" i="1"/>
  <c r="AC39" i="1"/>
  <c r="AE39" i="1"/>
  <c r="AH39"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BR39" i="1"/>
  <c r="BS39" i="1"/>
  <c r="BT39" i="1"/>
  <c r="BU39" i="1"/>
  <c r="BV39" i="1"/>
  <c r="BW39" i="1"/>
  <c r="BX39" i="1"/>
  <c r="BY39" i="1"/>
  <c r="BZ39" i="1"/>
  <c r="CA39" i="1"/>
  <c r="CB39" i="1"/>
  <c r="CC39" i="1"/>
  <c r="CD39" i="1"/>
  <c r="A40" i="1"/>
  <c r="B40" i="1"/>
  <c r="C40" i="1"/>
  <c r="D40" i="1"/>
  <c r="E40" i="1"/>
  <c r="G40" i="1"/>
  <c r="J40" i="1"/>
  <c r="M40" i="1"/>
  <c r="P40" i="1"/>
  <c r="Q40" i="1"/>
  <c r="R40" i="1"/>
  <c r="H40" i="1" s="1"/>
  <c r="T40" i="1"/>
  <c r="U40" i="1"/>
  <c r="V40" i="1"/>
  <c r="W40" i="1"/>
  <c r="Z40" i="1"/>
  <c r="AA40" i="1"/>
  <c r="AC40" i="1"/>
  <c r="AE40" i="1"/>
  <c r="AH40" i="1"/>
  <c r="AQ40" i="1"/>
  <c r="AR40" i="1"/>
  <c r="AS40" i="1"/>
  <c r="AT40" i="1"/>
  <c r="AU40" i="1"/>
  <c r="AV40" i="1"/>
  <c r="AW40" i="1"/>
  <c r="AX40" i="1"/>
  <c r="AY40" i="1"/>
  <c r="AZ40" i="1"/>
  <c r="BA40" i="1"/>
  <c r="BB40" i="1"/>
  <c r="BC40" i="1"/>
  <c r="BD40" i="1"/>
  <c r="BE40" i="1"/>
  <c r="BF40" i="1"/>
  <c r="BG40" i="1"/>
  <c r="BH40" i="1"/>
  <c r="BI40" i="1"/>
  <c r="BJ40" i="1"/>
  <c r="BK40" i="1"/>
  <c r="BL40" i="1"/>
  <c r="BM40" i="1"/>
  <c r="BN40" i="1"/>
  <c r="BO40" i="1"/>
  <c r="BP40" i="1"/>
  <c r="BQ40" i="1"/>
  <c r="BR40" i="1"/>
  <c r="BS40" i="1"/>
  <c r="BT40" i="1"/>
  <c r="BU40" i="1"/>
  <c r="BV40" i="1"/>
  <c r="BW40" i="1"/>
  <c r="BX40" i="1"/>
  <c r="BY40" i="1"/>
  <c r="BZ40" i="1"/>
  <c r="CA40" i="1"/>
  <c r="CB40" i="1"/>
  <c r="CC40" i="1"/>
  <c r="CD40" i="1"/>
  <c r="A41" i="1"/>
  <c r="B41" i="1"/>
  <c r="C41" i="1"/>
  <c r="D41" i="1"/>
  <c r="E41" i="1"/>
  <c r="G41" i="1"/>
  <c r="J41" i="1"/>
  <c r="M41" i="1"/>
  <c r="P41" i="1"/>
  <c r="Q41" i="1"/>
  <c r="R41" i="1"/>
  <c r="H41" i="1" s="1"/>
  <c r="T41" i="1"/>
  <c r="U41" i="1"/>
  <c r="V41" i="1"/>
  <c r="W41" i="1"/>
  <c r="Z41" i="1"/>
  <c r="AA41" i="1"/>
  <c r="AC41" i="1"/>
  <c r="AE41" i="1"/>
  <c r="AH41" i="1"/>
  <c r="AQ41" i="1"/>
  <c r="AR41" i="1"/>
  <c r="AS41" i="1"/>
  <c r="AT41" i="1"/>
  <c r="AU41" i="1"/>
  <c r="AV41" i="1"/>
  <c r="AW41" i="1"/>
  <c r="AX41" i="1"/>
  <c r="AY41" i="1"/>
  <c r="AZ41" i="1"/>
  <c r="BA41" i="1"/>
  <c r="BB41" i="1"/>
  <c r="BC41" i="1"/>
  <c r="BD41" i="1"/>
  <c r="BE41" i="1"/>
  <c r="BF41" i="1"/>
  <c r="BG41" i="1"/>
  <c r="BH41" i="1"/>
  <c r="BI41" i="1"/>
  <c r="BJ41" i="1"/>
  <c r="BK41" i="1"/>
  <c r="BL41" i="1"/>
  <c r="BM41" i="1"/>
  <c r="BN41" i="1"/>
  <c r="BO41" i="1"/>
  <c r="BP41" i="1"/>
  <c r="BQ41" i="1"/>
  <c r="BR41" i="1"/>
  <c r="BS41" i="1"/>
  <c r="BT41" i="1"/>
  <c r="BU41" i="1"/>
  <c r="BV41" i="1"/>
  <c r="BW41" i="1"/>
  <c r="BX41" i="1"/>
  <c r="BY41" i="1"/>
  <c r="BZ41" i="1"/>
  <c r="CA41" i="1"/>
  <c r="CB41" i="1"/>
  <c r="CC41" i="1"/>
  <c r="CD41" i="1"/>
  <c r="A42" i="1"/>
  <c r="B42" i="1"/>
  <c r="C42" i="1"/>
  <c r="D42" i="1"/>
  <c r="E42" i="1"/>
  <c r="G42" i="1"/>
  <c r="J42" i="1"/>
  <c r="M42" i="1"/>
  <c r="P42" i="1"/>
  <c r="Q42" i="1"/>
  <c r="R42" i="1"/>
  <c r="H42" i="1" s="1"/>
  <c r="T42" i="1"/>
  <c r="U42" i="1"/>
  <c r="V42" i="1"/>
  <c r="W42" i="1"/>
  <c r="Z42" i="1"/>
  <c r="AA42" i="1"/>
  <c r="AC42" i="1"/>
  <c r="AE42" i="1"/>
  <c r="AH42" i="1"/>
  <c r="AQ42" i="1"/>
  <c r="AR42" i="1"/>
  <c r="AS42" i="1"/>
  <c r="AT42" i="1"/>
  <c r="AU42" i="1"/>
  <c r="AV42" i="1"/>
  <c r="AW42" i="1"/>
  <c r="AX42" i="1"/>
  <c r="AY42" i="1"/>
  <c r="AZ42" i="1"/>
  <c r="BA42" i="1"/>
  <c r="BB42" i="1"/>
  <c r="BC42" i="1"/>
  <c r="BD42" i="1"/>
  <c r="BE42" i="1"/>
  <c r="BF42" i="1"/>
  <c r="BG42" i="1"/>
  <c r="BH42" i="1"/>
  <c r="BI42" i="1"/>
  <c r="BJ42" i="1"/>
  <c r="BK42" i="1"/>
  <c r="BL42" i="1"/>
  <c r="BM42" i="1"/>
  <c r="BN42" i="1"/>
  <c r="BO42" i="1"/>
  <c r="BP42" i="1"/>
  <c r="BQ42" i="1"/>
  <c r="BR42" i="1"/>
  <c r="BS42" i="1"/>
  <c r="BT42" i="1"/>
  <c r="BU42" i="1"/>
  <c r="BV42" i="1"/>
  <c r="BW42" i="1"/>
  <c r="BX42" i="1"/>
  <c r="BY42" i="1"/>
  <c r="BZ42" i="1"/>
  <c r="CA42" i="1"/>
  <c r="CB42" i="1"/>
  <c r="CC42" i="1"/>
  <c r="CD42" i="1"/>
  <c r="A43" i="1"/>
  <c r="B43" i="1"/>
  <c r="C43" i="1"/>
  <c r="D43" i="1"/>
  <c r="E43" i="1"/>
  <c r="G43" i="1"/>
  <c r="J43" i="1"/>
  <c r="M43" i="1"/>
  <c r="P43" i="1"/>
  <c r="Q43" i="1"/>
  <c r="R43" i="1"/>
  <c r="H43" i="1" s="1"/>
  <c r="T43" i="1"/>
  <c r="U43" i="1"/>
  <c r="V43" i="1"/>
  <c r="W43" i="1"/>
  <c r="Z43" i="1"/>
  <c r="AA43" i="1"/>
  <c r="AC43" i="1"/>
  <c r="AE43" i="1"/>
  <c r="AH43" i="1"/>
  <c r="AQ43" i="1"/>
  <c r="AR43" i="1"/>
  <c r="AS43" i="1"/>
  <c r="AT43" i="1"/>
  <c r="AU43" i="1"/>
  <c r="AV43" i="1"/>
  <c r="AW43" i="1"/>
  <c r="AX43" i="1"/>
  <c r="AY43" i="1"/>
  <c r="AZ43" i="1"/>
  <c r="BA43" i="1"/>
  <c r="BB43" i="1"/>
  <c r="BC43" i="1"/>
  <c r="BD43" i="1"/>
  <c r="BE43" i="1"/>
  <c r="BF43" i="1"/>
  <c r="BG43" i="1"/>
  <c r="BH43" i="1"/>
  <c r="BI43" i="1"/>
  <c r="BJ43" i="1"/>
  <c r="BK43" i="1"/>
  <c r="BL43" i="1"/>
  <c r="BM43" i="1"/>
  <c r="BN43" i="1"/>
  <c r="BO43" i="1"/>
  <c r="BP43" i="1"/>
  <c r="BQ43" i="1"/>
  <c r="BR43" i="1"/>
  <c r="BS43" i="1"/>
  <c r="BT43" i="1"/>
  <c r="BU43" i="1"/>
  <c r="BV43" i="1"/>
  <c r="BW43" i="1"/>
  <c r="BX43" i="1"/>
  <c r="BY43" i="1"/>
  <c r="BZ43" i="1"/>
  <c r="CA43" i="1"/>
  <c r="CB43" i="1"/>
  <c r="CC43" i="1"/>
  <c r="CD43" i="1"/>
  <c r="A44" i="1"/>
  <c r="B44" i="1"/>
  <c r="C44" i="1"/>
  <c r="D44" i="1"/>
  <c r="E44" i="1"/>
  <c r="G44" i="1"/>
  <c r="J44" i="1"/>
  <c r="M44" i="1"/>
  <c r="P44" i="1"/>
  <c r="Q44" i="1"/>
  <c r="R44" i="1"/>
  <c r="H44" i="1" s="1"/>
  <c r="T44" i="1"/>
  <c r="U44" i="1"/>
  <c r="V44" i="1"/>
  <c r="W44" i="1"/>
  <c r="Z44" i="1"/>
  <c r="AA44" i="1"/>
  <c r="AC44" i="1"/>
  <c r="AE44" i="1"/>
  <c r="AH44" i="1"/>
  <c r="AQ44" i="1"/>
  <c r="AR44" i="1"/>
  <c r="AS44" i="1"/>
  <c r="AT44" i="1"/>
  <c r="AU44" i="1"/>
  <c r="AV44" i="1"/>
  <c r="AW44" i="1"/>
  <c r="AX44" i="1"/>
  <c r="AY44" i="1"/>
  <c r="AZ44" i="1"/>
  <c r="BA44" i="1"/>
  <c r="BB44" i="1"/>
  <c r="BC44" i="1"/>
  <c r="BD44" i="1"/>
  <c r="BE44" i="1"/>
  <c r="BF44" i="1"/>
  <c r="BG44" i="1"/>
  <c r="BH44" i="1"/>
  <c r="BI44" i="1"/>
  <c r="BJ44" i="1"/>
  <c r="BK44" i="1"/>
  <c r="BL44" i="1"/>
  <c r="BM44" i="1"/>
  <c r="BN44" i="1"/>
  <c r="BO44" i="1"/>
  <c r="BP44" i="1"/>
  <c r="BQ44" i="1"/>
  <c r="BR44" i="1"/>
  <c r="BS44" i="1"/>
  <c r="BT44" i="1"/>
  <c r="BU44" i="1"/>
  <c r="BV44" i="1"/>
  <c r="BW44" i="1"/>
  <c r="BX44" i="1"/>
  <c r="BY44" i="1"/>
  <c r="BZ44" i="1"/>
  <c r="CA44" i="1"/>
  <c r="CB44" i="1"/>
  <c r="CC44" i="1"/>
  <c r="CD44" i="1"/>
  <c r="A45" i="1"/>
  <c r="B45" i="1"/>
  <c r="C45" i="1"/>
  <c r="D45" i="1"/>
  <c r="E45" i="1"/>
  <c r="G45" i="1"/>
  <c r="J45" i="1"/>
  <c r="M45" i="1"/>
  <c r="P45" i="1"/>
  <c r="Q45" i="1"/>
  <c r="R45" i="1"/>
  <c r="H45" i="1" s="1"/>
  <c r="T45" i="1"/>
  <c r="U45" i="1"/>
  <c r="V45" i="1"/>
  <c r="W45" i="1"/>
  <c r="Z45" i="1"/>
  <c r="AA45" i="1"/>
  <c r="AC45" i="1"/>
  <c r="AE45" i="1"/>
  <c r="AH45" i="1"/>
  <c r="AQ45" i="1"/>
  <c r="AR45" i="1"/>
  <c r="AS45" i="1"/>
  <c r="AT45" i="1"/>
  <c r="AU45" i="1"/>
  <c r="AV45" i="1"/>
  <c r="AW45" i="1"/>
  <c r="AX45" i="1"/>
  <c r="AY45" i="1"/>
  <c r="AZ45" i="1"/>
  <c r="BA45" i="1"/>
  <c r="BB45" i="1"/>
  <c r="BC45" i="1"/>
  <c r="BD45" i="1"/>
  <c r="BE45" i="1"/>
  <c r="BF45" i="1"/>
  <c r="BG45" i="1"/>
  <c r="BH45" i="1"/>
  <c r="BI45" i="1"/>
  <c r="BJ45" i="1"/>
  <c r="BK45" i="1"/>
  <c r="BL45" i="1"/>
  <c r="BM45" i="1"/>
  <c r="BN45" i="1"/>
  <c r="BO45" i="1"/>
  <c r="BP45" i="1"/>
  <c r="BQ45" i="1"/>
  <c r="BR45" i="1"/>
  <c r="BS45" i="1"/>
  <c r="BT45" i="1"/>
  <c r="BU45" i="1"/>
  <c r="BV45" i="1"/>
  <c r="BW45" i="1"/>
  <c r="BX45" i="1"/>
  <c r="BY45" i="1"/>
  <c r="BZ45" i="1"/>
  <c r="CA45" i="1"/>
  <c r="CB45" i="1"/>
  <c r="CC45" i="1"/>
  <c r="CD45" i="1"/>
  <c r="A46" i="1"/>
  <c r="B46" i="1"/>
  <c r="C46" i="1"/>
  <c r="D46" i="1"/>
  <c r="E46" i="1"/>
  <c r="G46" i="1"/>
  <c r="J46" i="1"/>
  <c r="M46" i="1"/>
  <c r="P46" i="1"/>
  <c r="Q46" i="1"/>
  <c r="R46" i="1"/>
  <c r="H46" i="1" s="1"/>
  <c r="T46" i="1"/>
  <c r="U46" i="1"/>
  <c r="V46" i="1"/>
  <c r="W46" i="1"/>
  <c r="Z46" i="1"/>
  <c r="AA46" i="1"/>
  <c r="AC46" i="1"/>
  <c r="AE46" i="1"/>
  <c r="AH46" i="1"/>
  <c r="AQ46" i="1"/>
  <c r="AR46" i="1"/>
  <c r="AS46" i="1"/>
  <c r="AT46" i="1"/>
  <c r="AU46" i="1"/>
  <c r="AV46" i="1"/>
  <c r="AW46" i="1"/>
  <c r="AX46" i="1"/>
  <c r="AY46" i="1"/>
  <c r="AZ46" i="1"/>
  <c r="BA46" i="1"/>
  <c r="BB46" i="1"/>
  <c r="BC46" i="1"/>
  <c r="BD46" i="1"/>
  <c r="BE46" i="1"/>
  <c r="BF46" i="1"/>
  <c r="BG46" i="1"/>
  <c r="BH46" i="1"/>
  <c r="BI46" i="1"/>
  <c r="BJ46" i="1"/>
  <c r="BK46" i="1"/>
  <c r="BL46" i="1"/>
  <c r="BM46" i="1"/>
  <c r="BN46" i="1"/>
  <c r="BO46" i="1"/>
  <c r="BP46" i="1"/>
  <c r="BQ46" i="1"/>
  <c r="BR46" i="1"/>
  <c r="BS46" i="1"/>
  <c r="BT46" i="1"/>
  <c r="BU46" i="1"/>
  <c r="BV46" i="1"/>
  <c r="BW46" i="1"/>
  <c r="BX46" i="1"/>
  <c r="BY46" i="1"/>
  <c r="BZ46" i="1"/>
  <c r="CA46" i="1"/>
  <c r="CB46" i="1"/>
  <c r="CC46" i="1"/>
  <c r="CD46" i="1"/>
  <c r="A47" i="1"/>
  <c r="B47" i="1"/>
  <c r="C47" i="1"/>
  <c r="D47" i="1"/>
  <c r="E47" i="1"/>
  <c r="G47" i="1"/>
  <c r="J47" i="1"/>
  <c r="M47" i="1"/>
  <c r="P47" i="1"/>
  <c r="Q47" i="1"/>
  <c r="R47" i="1"/>
  <c r="H47" i="1" s="1"/>
  <c r="T47" i="1"/>
  <c r="U47" i="1"/>
  <c r="V47" i="1"/>
  <c r="W47" i="1"/>
  <c r="Z47" i="1"/>
  <c r="AA47" i="1"/>
  <c r="AC47" i="1"/>
  <c r="AE47" i="1"/>
  <c r="AH47" i="1"/>
  <c r="AQ47" i="1"/>
  <c r="AR47" i="1"/>
  <c r="AS47" i="1"/>
  <c r="AT47" i="1"/>
  <c r="AU47" i="1"/>
  <c r="AV47" i="1"/>
  <c r="AW47" i="1"/>
  <c r="AX47" i="1"/>
  <c r="AY47" i="1"/>
  <c r="AZ47" i="1"/>
  <c r="BA47" i="1"/>
  <c r="BB47" i="1"/>
  <c r="BC47" i="1"/>
  <c r="BD47" i="1"/>
  <c r="BE47" i="1"/>
  <c r="BF47" i="1"/>
  <c r="BG47" i="1"/>
  <c r="BH47" i="1"/>
  <c r="BI47" i="1"/>
  <c r="BJ47" i="1"/>
  <c r="BK47" i="1"/>
  <c r="BL47" i="1"/>
  <c r="BM47" i="1"/>
  <c r="BN47" i="1"/>
  <c r="BO47" i="1"/>
  <c r="BP47" i="1"/>
  <c r="BQ47" i="1"/>
  <c r="BR47" i="1"/>
  <c r="BS47" i="1"/>
  <c r="BT47" i="1"/>
  <c r="BU47" i="1"/>
  <c r="BV47" i="1"/>
  <c r="BW47" i="1"/>
  <c r="BX47" i="1"/>
  <c r="BY47" i="1"/>
  <c r="BZ47" i="1"/>
  <c r="CA47" i="1"/>
  <c r="CB47" i="1"/>
  <c r="CC47" i="1"/>
  <c r="CD47" i="1"/>
  <c r="A48" i="1"/>
  <c r="B48" i="1"/>
  <c r="C48" i="1"/>
  <c r="D48" i="1"/>
  <c r="E48" i="1"/>
  <c r="G48" i="1"/>
  <c r="J48" i="1"/>
  <c r="M48" i="1"/>
  <c r="P48" i="1"/>
  <c r="Q48" i="1"/>
  <c r="R48" i="1"/>
  <c r="H48" i="1" s="1"/>
  <c r="T48" i="1"/>
  <c r="U48" i="1"/>
  <c r="V48" i="1"/>
  <c r="W48" i="1"/>
  <c r="Z48" i="1"/>
  <c r="AA48" i="1"/>
  <c r="AC48" i="1"/>
  <c r="AE48" i="1"/>
  <c r="AH48" i="1"/>
  <c r="AQ48" i="1"/>
  <c r="AR48" i="1"/>
  <c r="AS48" i="1"/>
  <c r="AT48" i="1"/>
  <c r="AU48" i="1"/>
  <c r="AV48" i="1"/>
  <c r="AW48" i="1"/>
  <c r="AX48" i="1"/>
  <c r="AY48" i="1"/>
  <c r="AZ48" i="1"/>
  <c r="BA48" i="1"/>
  <c r="BB48" i="1"/>
  <c r="BC48" i="1"/>
  <c r="BD48" i="1"/>
  <c r="BE48" i="1"/>
  <c r="BF48" i="1"/>
  <c r="BG48" i="1"/>
  <c r="BH48" i="1"/>
  <c r="BI48" i="1"/>
  <c r="BJ48" i="1"/>
  <c r="BK48" i="1"/>
  <c r="BL48" i="1"/>
  <c r="BM48" i="1"/>
  <c r="BN48" i="1"/>
  <c r="BO48" i="1"/>
  <c r="BP48" i="1"/>
  <c r="BQ48" i="1"/>
  <c r="BR48" i="1"/>
  <c r="BS48" i="1"/>
  <c r="BT48" i="1"/>
  <c r="BU48" i="1"/>
  <c r="BV48" i="1"/>
  <c r="BW48" i="1"/>
  <c r="BX48" i="1"/>
  <c r="BY48" i="1"/>
  <c r="BZ48" i="1"/>
  <c r="CA48" i="1"/>
  <c r="CB48" i="1"/>
  <c r="CC48" i="1"/>
  <c r="CD48" i="1"/>
  <c r="A49" i="1"/>
  <c r="B49" i="1"/>
  <c r="C49" i="1"/>
  <c r="D49" i="1"/>
  <c r="E49" i="1"/>
  <c r="G49" i="1"/>
  <c r="J49" i="1"/>
  <c r="M49" i="1"/>
  <c r="P49" i="1"/>
  <c r="Q49" i="1"/>
  <c r="R49" i="1"/>
  <c r="H49" i="1" s="1"/>
  <c r="T49" i="1"/>
  <c r="U49" i="1"/>
  <c r="V49" i="1"/>
  <c r="W49" i="1"/>
  <c r="Z49" i="1"/>
  <c r="AA49" i="1"/>
  <c r="AC49" i="1"/>
  <c r="AE49" i="1"/>
  <c r="AH49" i="1"/>
  <c r="AQ49" i="1"/>
  <c r="AR49" i="1"/>
  <c r="AS49" i="1"/>
  <c r="AT49" i="1"/>
  <c r="AU49" i="1"/>
  <c r="AV49" i="1"/>
  <c r="AW49" i="1"/>
  <c r="AX49" i="1"/>
  <c r="AY49" i="1"/>
  <c r="AZ49" i="1"/>
  <c r="BA49" i="1"/>
  <c r="BB49" i="1"/>
  <c r="BC49" i="1"/>
  <c r="BD49" i="1"/>
  <c r="BE49" i="1"/>
  <c r="BF49" i="1"/>
  <c r="BG49" i="1"/>
  <c r="BH49" i="1"/>
  <c r="BI49" i="1"/>
  <c r="BJ49" i="1"/>
  <c r="BK49" i="1"/>
  <c r="BL49" i="1"/>
  <c r="BM49" i="1"/>
  <c r="BN49" i="1"/>
  <c r="BO49" i="1"/>
  <c r="BP49" i="1"/>
  <c r="BQ49" i="1"/>
  <c r="BR49" i="1"/>
  <c r="BS49" i="1"/>
  <c r="BT49" i="1"/>
  <c r="BU49" i="1"/>
  <c r="BV49" i="1"/>
  <c r="BW49" i="1"/>
  <c r="BX49" i="1"/>
  <c r="BY49" i="1"/>
  <c r="BZ49" i="1"/>
  <c r="CA49" i="1"/>
  <c r="CB49" i="1"/>
  <c r="CC49" i="1"/>
  <c r="CD49" i="1"/>
  <c r="A50" i="1"/>
  <c r="B50" i="1"/>
  <c r="C50" i="1"/>
  <c r="D50" i="1"/>
  <c r="E50" i="1"/>
  <c r="G50" i="1"/>
  <c r="J50" i="1"/>
  <c r="M50" i="1"/>
  <c r="P50" i="1"/>
  <c r="Q50" i="1"/>
  <c r="R50" i="1"/>
  <c r="H50" i="1" s="1"/>
  <c r="T50" i="1"/>
  <c r="U50" i="1"/>
  <c r="V50" i="1"/>
  <c r="W50" i="1"/>
  <c r="Z50" i="1"/>
  <c r="AA50" i="1"/>
  <c r="AC50" i="1"/>
  <c r="AE50" i="1"/>
  <c r="AH50" i="1"/>
  <c r="AQ50" i="1"/>
  <c r="AR50" i="1"/>
  <c r="AS50" i="1"/>
  <c r="AT50" i="1"/>
  <c r="AU50" i="1"/>
  <c r="AV50" i="1"/>
  <c r="AW50" i="1"/>
  <c r="AX50" i="1"/>
  <c r="AY50" i="1"/>
  <c r="AZ50" i="1"/>
  <c r="BA50" i="1"/>
  <c r="BB50" i="1"/>
  <c r="BC50" i="1"/>
  <c r="BD50" i="1"/>
  <c r="BE50" i="1"/>
  <c r="BF50" i="1"/>
  <c r="BG50" i="1"/>
  <c r="BH50" i="1"/>
  <c r="BI50" i="1"/>
  <c r="BJ50" i="1"/>
  <c r="BK50" i="1"/>
  <c r="BL50" i="1"/>
  <c r="BM50" i="1"/>
  <c r="BN50" i="1"/>
  <c r="BO50" i="1"/>
  <c r="BP50" i="1"/>
  <c r="BQ50" i="1"/>
  <c r="BR50" i="1"/>
  <c r="BS50" i="1"/>
  <c r="BT50" i="1"/>
  <c r="BU50" i="1"/>
  <c r="BV50" i="1"/>
  <c r="BW50" i="1"/>
  <c r="BX50" i="1"/>
  <c r="BY50" i="1"/>
  <c r="BZ50" i="1"/>
  <c r="CA50" i="1"/>
  <c r="CB50" i="1"/>
  <c r="CC50" i="1"/>
  <c r="CD50" i="1"/>
  <c r="A51" i="1"/>
  <c r="B51" i="1"/>
  <c r="C51" i="1"/>
  <c r="D51" i="1"/>
  <c r="E51" i="1"/>
  <c r="G51" i="1"/>
  <c r="J51" i="1"/>
  <c r="M51" i="1"/>
  <c r="P51" i="1"/>
  <c r="Q51" i="1"/>
  <c r="R51" i="1"/>
  <c r="H51" i="1" s="1"/>
  <c r="T51" i="1"/>
  <c r="U51" i="1"/>
  <c r="V51" i="1"/>
  <c r="W51" i="1"/>
  <c r="Z51" i="1"/>
  <c r="AA51" i="1"/>
  <c r="AC51" i="1"/>
  <c r="AE51" i="1"/>
  <c r="AH51" i="1"/>
  <c r="AQ51" i="1"/>
  <c r="AR51" i="1"/>
  <c r="AS51" i="1"/>
  <c r="AT51" i="1"/>
  <c r="AU51" i="1"/>
  <c r="AV51" i="1"/>
  <c r="AW51" i="1"/>
  <c r="AX51" i="1"/>
  <c r="AY51" i="1"/>
  <c r="AZ51" i="1"/>
  <c r="BA51" i="1"/>
  <c r="BB51" i="1"/>
  <c r="BC51" i="1"/>
  <c r="BD51" i="1"/>
  <c r="BE51" i="1"/>
  <c r="BF51" i="1"/>
  <c r="BG51" i="1"/>
  <c r="BH51" i="1"/>
  <c r="BI51" i="1"/>
  <c r="BJ51" i="1"/>
  <c r="BK51" i="1"/>
  <c r="BL51" i="1"/>
  <c r="BM51" i="1"/>
  <c r="BN51" i="1"/>
  <c r="BO51" i="1"/>
  <c r="BP51" i="1"/>
  <c r="BQ51" i="1"/>
  <c r="BR51" i="1"/>
  <c r="BS51" i="1"/>
  <c r="BT51" i="1"/>
  <c r="BU51" i="1"/>
  <c r="BV51" i="1"/>
  <c r="BW51" i="1"/>
  <c r="BX51" i="1"/>
  <c r="BY51" i="1"/>
  <c r="BZ51" i="1"/>
  <c r="CA51" i="1"/>
  <c r="CB51" i="1"/>
  <c r="CC51" i="1"/>
  <c r="CD51" i="1"/>
  <c r="A52" i="1"/>
  <c r="B52" i="1"/>
  <c r="C52" i="1"/>
  <c r="D52" i="1"/>
  <c r="E52" i="1"/>
  <c r="G52" i="1"/>
  <c r="J52" i="1"/>
  <c r="M52" i="1"/>
  <c r="P52" i="1"/>
  <c r="Q52" i="1"/>
  <c r="R52" i="1"/>
  <c r="H52" i="1" s="1"/>
  <c r="T52" i="1"/>
  <c r="U52" i="1"/>
  <c r="V52" i="1"/>
  <c r="W52" i="1"/>
  <c r="Z52" i="1"/>
  <c r="AA52" i="1"/>
  <c r="AC52" i="1"/>
  <c r="AE52" i="1"/>
  <c r="AH52" i="1"/>
  <c r="AQ52" i="1"/>
  <c r="AR52" i="1"/>
  <c r="AS52" i="1"/>
  <c r="AT52" i="1"/>
  <c r="AU52" i="1"/>
  <c r="AV52" i="1"/>
  <c r="AW52" i="1"/>
  <c r="AX52" i="1"/>
  <c r="AY52" i="1"/>
  <c r="AZ52" i="1"/>
  <c r="BA52" i="1"/>
  <c r="BB52" i="1"/>
  <c r="BC52" i="1"/>
  <c r="BD52" i="1"/>
  <c r="BE52" i="1"/>
  <c r="BF52" i="1"/>
  <c r="BG52" i="1"/>
  <c r="BH52" i="1"/>
  <c r="BI52" i="1"/>
  <c r="BJ52" i="1"/>
  <c r="BK52" i="1"/>
  <c r="BL52" i="1"/>
  <c r="BM52" i="1"/>
  <c r="BN52" i="1"/>
  <c r="BO52" i="1"/>
  <c r="BP52" i="1"/>
  <c r="BQ52" i="1"/>
  <c r="BR52" i="1"/>
  <c r="BS52" i="1"/>
  <c r="BT52" i="1"/>
  <c r="BU52" i="1"/>
  <c r="BV52" i="1"/>
  <c r="BW52" i="1"/>
  <c r="BX52" i="1"/>
  <c r="BY52" i="1"/>
  <c r="BZ52" i="1"/>
  <c r="CA52" i="1"/>
  <c r="CB52" i="1"/>
  <c r="CC52" i="1"/>
  <c r="CD52" i="1"/>
  <c r="A53" i="1"/>
  <c r="B53" i="1"/>
  <c r="C53" i="1"/>
  <c r="D53" i="1"/>
  <c r="E53" i="1"/>
  <c r="G53" i="1"/>
  <c r="J53" i="1"/>
  <c r="M53" i="1"/>
  <c r="P53" i="1"/>
  <c r="Q53" i="1"/>
  <c r="R53" i="1"/>
  <c r="H53" i="1" s="1"/>
  <c r="T53" i="1"/>
  <c r="U53" i="1"/>
  <c r="V53" i="1"/>
  <c r="W53" i="1"/>
  <c r="Z53" i="1"/>
  <c r="AA53" i="1"/>
  <c r="AC53" i="1"/>
  <c r="AE53" i="1"/>
  <c r="AH53" i="1"/>
  <c r="AQ53" i="1"/>
  <c r="AR53" i="1"/>
  <c r="AS53" i="1"/>
  <c r="AT53" i="1"/>
  <c r="AU53" i="1"/>
  <c r="AV53" i="1"/>
  <c r="AW53" i="1"/>
  <c r="AX53" i="1"/>
  <c r="AY53" i="1"/>
  <c r="AZ53" i="1"/>
  <c r="BA53" i="1"/>
  <c r="BB53" i="1"/>
  <c r="BC53" i="1"/>
  <c r="BD53" i="1"/>
  <c r="BE53" i="1"/>
  <c r="BF53" i="1"/>
  <c r="BG53" i="1"/>
  <c r="BH53" i="1"/>
  <c r="BI53" i="1"/>
  <c r="BJ53" i="1"/>
  <c r="BK53" i="1"/>
  <c r="BL53" i="1"/>
  <c r="BM53" i="1"/>
  <c r="BN53" i="1"/>
  <c r="BO53" i="1"/>
  <c r="BP53" i="1"/>
  <c r="BQ53" i="1"/>
  <c r="BR53" i="1"/>
  <c r="BS53" i="1"/>
  <c r="BT53" i="1"/>
  <c r="BU53" i="1"/>
  <c r="BV53" i="1"/>
  <c r="BW53" i="1"/>
  <c r="BX53" i="1"/>
  <c r="BY53" i="1"/>
  <c r="BZ53" i="1"/>
  <c r="CA53" i="1"/>
  <c r="CB53" i="1"/>
  <c r="CC53" i="1"/>
  <c r="CD53" i="1"/>
  <c r="A54" i="1"/>
  <c r="B54" i="1"/>
  <c r="C54" i="1"/>
  <c r="D54" i="1"/>
  <c r="E54" i="1"/>
  <c r="G54" i="1"/>
  <c r="J54" i="1"/>
  <c r="M54" i="1"/>
  <c r="P54" i="1"/>
  <c r="Q54" i="1"/>
  <c r="R54" i="1"/>
  <c r="H54" i="1" s="1"/>
  <c r="T54" i="1"/>
  <c r="U54" i="1"/>
  <c r="V54" i="1"/>
  <c r="W54" i="1"/>
  <c r="Z54" i="1"/>
  <c r="AA54" i="1"/>
  <c r="AC54" i="1"/>
  <c r="AE54" i="1"/>
  <c r="AH54" i="1"/>
  <c r="AQ54" i="1"/>
  <c r="AR54" i="1"/>
  <c r="AS54" i="1"/>
  <c r="AT54" i="1"/>
  <c r="AU54" i="1"/>
  <c r="AV54" i="1"/>
  <c r="AW54" i="1"/>
  <c r="AX54" i="1"/>
  <c r="AY54" i="1"/>
  <c r="AZ54" i="1"/>
  <c r="BA54" i="1"/>
  <c r="BB54" i="1"/>
  <c r="BC54" i="1"/>
  <c r="BD54" i="1"/>
  <c r="BE54" i="1"/>
  <c r="BF54" i="1"/>
  <c r="BG54" i="1"/>
  <c r="BH54" i="1"/>
  <c r="BI54" i="1"/>
  <c r="BJ54" i="1"/>
  <c r="BK54" i="1"/>
  <c r="BL54" i="1"/>
  <c r="BM54" i="1"/>
  <c r="BN54" i="1"/>
  <c r="BO54" i="1"/>
  <c r="BP54" i="1"/>
  <c r="BQ54" i="1"/>
  <c r="BR54" i="1"/>
  <c r="BS54" i="1"/>
  <c r="BT54" i="1"/>
  <c r="BU54" i="1"/>
  <c r="BV54" i="1"/>
  <c r="BW54" i="1"/>
  <c r="BX54" i="1"/>
  <c r="BY54" i="1"/>
  <c r="BZ54" i="1"/>
  <c r="CA54" i="1"/>
  <c r="CB54" i="1"/>
  <c r="CC54" i="1"/>
  <c r="CD54" i="1"/>
  <c r="A55" i="1"/>
  <c r="B55" i="1"/>
  <c r="C55" i="1"/>
  <c r="D55" i="1"/>
  <c r="E55" i="1"/>
  <c r="G55" i="1"/>
  <c r="J55" i="1"/>
  <c r="M55" i="1"/>
  <c r="P55" i="1"/>
  <c r="Q55" i="1"/>
  <c r="R55" i="1"/>
  <c r="H55" i="1" s="1"/>
  <c r="T55" i="1"/>
  <c r="U55" i="1"/>
  <c r="V55" i="1"/>
  <c r="W55" i="1"/>
  <c r="Z55" i="1"/>
  <c r="AA55" i="1"/>
  <c r="AC55" i="1"/>
  <c r="AE55" i="1"/>
  <c r="AH55" i="1"/>
  <c r="AQ55" i="1"/>
  <c r="AR55" i="1"/>
  <c r="AS55" i="1"/>
  <c r="AT55" i="1"/>
  <c r="AU55" i="1"/>
  <c r="AV55" i="1"/>
  <c r="AW55" i="1"/>
  <c r="AX55" i="1"/>
  <c r="AY55" i="1"/>
  <c r="AZ55" i="1"/>
  <c r="BA55" i="1"/>
  <c r="BB55" i="1"/>
  <c r="BC55" i="1"/>
  <c r="BD55" i="1"/>
  <c r="BE55" i="1"/>
  <c r="BF55" i="1"/>
  <c r="BG55" i="1"/>
  <c r="BH55" i="1"/>
  <c r="BI55" i="1"/>
  <c r="BJ55" i="1"/>
  <c r="BK55" i="1"/>
  <c r="BL55" i="1"/>
  <c r="BM55" i="1"/>
  <c r="BN55" i="1"/>
  <c r="BO55" i="1"/>
  <c r="BP55" i="1"/>
  <c r="BQ55" i="1"/>
  <c r="BR55" i="1"/>
  <c r="BS55" i="1"/>
  <c r="BT55" i="1"/>
  <c r="BU55" i="1"/>
  <c r="BV55" i="1"/>
  <c r="BW55" i="1"/>
  <c r="BX55" i="1"/>
  <c r="BY55" i="1"/>
  <c r="BZ55" i="1"/>
  <c r="CA55" i="1"/>
  <c r="CB55" i="1"/>
  <c r="CC55" i="1"/>
  <c r="CD55" i="1"/>
  <c r="A56" i="1"/>
  <c r="B56" i="1"/>
  <c r="C56" i="1"/>
  <c r="D56" i="1"/>
  <c r="E56" i="1"/>
  <c r="G56" i="1"/>
  <c r="J56" i="1"/>
  <c r="M56" i="1"/>
  <c r="P56" i="1"/>
  <c r="Q56" i="1"/>
  <c r="R56" i="1"/>
  <c r="H56" i="1" s="1"/>
  <c r="T56" i="1"/>
  <c r="U56" i="1"/>
  <c r="V56" i="1"/>
  <c r="W56" i="1"/>
  <c r="Z56" i="1"/>
  <c r="AA56" i="1"/>
  <c r="AC56" i="1"/>
  <c r="AE56" i="1"/>
  <c r="AH56" i="1"/>
  <c r="AQ56" i="1"/>
  <c r="AR56" i="1"/>
  <c r="AS56" i="1"/>
  <c r="AT56" i="1"/>
  <c r="AU56" i="1"/>
  <c r="AV56" i="1"/>
  <c r="AW56" i="1"/>
  <c r="AX56" i="1"/>
  <c r="AY56" i="1"/>
  <c r="AZ56" i="1"/>
  <c r="BA56" i="1"/>
  <c r="BB56" i="1"/>
  <c r="BC56" i="1"/>
  <c r="BD56" i="1"/>
  <c r="BE56" i="1"/>
  <c r="BF56" i="1"/>
  <c r="BG56" i="1"/>
  <c r="BH56" i="1"/>
  <c r="BI56" i="1"/>
  <c r="BJ56" i="1"/>
  <c r="BK56" i="1"/>
  <c r="BL56" i="1"/>
  <c r="BM56" i="1"/>
  <c r="BN56" i="1"/>
  <c r="BO56" i="1"/>
  <c r="BP56" i="1"/>
  <c r="BQ56" i="1"/>
  <c r="BR56" i="1"/>
  <c r="BS56" i="1"/>
  <c r="BT56" i="1"/>
  <c r="BU56" i="1"/>
  <c r="BV56" i="1"/>
  <c r="BW56" i="1"/>
  <c r="BX56" i="1"/>
  <c r="BY56" i="1"/>
  <c r="BZ56" i="1"/>
  <c r="CA56" i="1"/>
  <c r="CB56" i="1"/>
  <c r="CC56" i="1"/>
  <c r="CD56" i="1"/>
  <c r="A57" i="1"/>
  <c r="B57" i="1"/>
  <c r="C57" i="1"/>
  <c r="D57" i="1"/>
  <c r="E57" i="1"/>
  <c r="G57" i="1"/>
  <c r="J57" i="1"/>
  <c r="M57" i="1"/>
  <c r="P57" i="1"/>
  <c r="Q57" i="1"/>
  <c r="R57" i="1"/>
  <c r="H57" i="1" s="1"/>
  <c r="T57" i="1"/>
  <c r="U57" i="1"/>
  <c r="V57" i="1"/>
  <c r="W57" i="1"/>
  <c r="Z57" i="1"/>
  <c r="AA57" i="1"/>
  <c r="AC57" i="1"/>
  <c r="AE57" i="1"/>
  <c r="AH57" i="1"/>
  <c r="AQ57" i="1"/>
  <c r="AR57" i="1"/>
  <c r="AS57" i="1"/>
  <c r="AT57" i="1"/>
  <c r="AU57" i="1"/>
  <c r="AV57" i="1"/>
  <c r="AW57" i="1"/>
  <c r="AX57" i="1"/>
  <c r="AY57" i="1"/>
  <c r="AZ57" i="1"/>
  <c r="BA57" i="1"/>
  <c r="BB57" i="1"/>
  <c r="BC57" i="1"/>
  <c r="BD57" i="1"/>
  <c r="BE57" i="1"/>
  <c r="BF57" i="1"/>
  <c r="BG57" i="1"/>
  <c r="BH57" i="1"/>
  <c r="BI57" i="1"/>
  <c r="BJ57" i="1"/>
  <c r="BK57" i="1"/>
  <c r="BL57" i="1"/>
  <c r="BM57" i="1"/>
  <c r="BN57" i="1"/>
  <c r="BO57" i="1"/>
  <c r="BP57" i="1"/>
  <c r="BQ57" i="1"/>
  <c r="BR57" i="1"/>
  <c r="BS57" i="1"/>
  <c r="BT57" i="1"/>
  <c r="BU57" i="1"/>
  <c r="BV57" i="1"/>
  <c r="BW57" i="1"/>
  <c r="BX57" i="1"/>
  <c r="BY57" i="1"/>
  <c r="BZ57" i="1"/>
  <c r="CA57" i="1"/>
  <c r="CB57" i="1"/>
  <c r="CC57" i="1"/>
  <c r="CD57" i="1"/>
  <c r="A58" i="1"/>
  <c r="B58" i="1"/>
  <c r="C58" i="1"/>
  <c r="D58" i="1"/>
  <c r="E58" i="1"/>
  <c r="G58" i="1"/>
  <c r="J58" i="1"/>
  <c r="M58" i="1"/>
  <c r="P58" i="1"/>
  <c r="Q58" i="1"/>
  <c r="R58" i="1"/>
  <c r="H58" i="1" s="1"/>
  <c r="T58" i="1"/>
  <c r="U58" i="1"/>
  <c r="V58" i="1"/>
  <c r="W58" i="1"/>
  <c r="Z58" i="1"/>
  <c r="AA58" i="1"/>
  <c r="AC58" i="1"/>
  <c r="AE58" i="1"/>
  <c r="AH58" i="1"/>
  <c r="AQ58" i="1"/>
  <c r="AR58" i="1"/>
  <c r="AS58" i="1"/>
  <c r="AT58" i="1"/>
  <c r="AU58" i="1"/>
  <c r="AV58" i="1"/>
  <c r="AW58" i="1"/>
  <c r="AX58" i="1"/>
  <c r="AY58" i="1"/>
  <c r="AZ58" i="1"/>
  <c r="BA58" i="1"/>
  <c r="BB58" i="1"/>
  <c r="BC58" i="1"/>
  <c r="BD58" i="1"/>
  <c r="BE58" i="1"/>
  <c r="BF58" i="1"/>
  <c r="BG58" i="1"/>
  <c r="BH58" i="1"/>
  <c r="BI58" i="1"/>
  <c r="BJ58" i="1"/>
  <c r="BK58" i="1"/>
  <c r="BL58" i="1"/>
  <c r="BM58" i="1"/>
  <c r="BN58" i="1"/>
  <c r="BO58" i="1"/>
  <c r="BP58" i="1"/>
  <c r="BQ58" i="1"/>
  <c r="BR58" i="1"/>
  <c r="BS58" i="1"/>
  <c r="BT58" i="1"/>
  <c r="BU58" i="1"/>
  <c r="BV58" i="1"/>
  <c r="BW58" i="1"/>
  <c r="BX58" i="1"/>
  <c r="BY58" i="1"/>
  <c r="BZ58" i="1"/>
  <c r="CA58" i="1"/>
  <c r="CB58" i="1"/>
  <c r="CC58" i="1"/>
  <c r="CD58" i="1"/>
  <c r="A59" i="1"/>
  <c r="B59" i="1"/>
  <c r="C59" i="1"/>
  <c r="D59" i="1"/>
  <c r="E59" i="1"/>
  <c r="G59" i="1"/>
  <c r="J59" i="1"/>
  <c r="M59" i="1"/>
  <c r="P59" i="1"/>
  <c r="Q59" i="1"/>
  <c r="R59" i="1"/>
  <c r="H59" i="1" s="1"/>
  <c r="T59" i="1"/>
  <c r="U59" i="1"/>
  <c r="V59" i="1"/>
  <c r="W59" i="1"/>
  <c r="Z59" i="1"/>
  <c r="AA59" i="1"/>
  <c r="AC59" i="1"/>
  <c r="AE59" i="1"/>
  <c r="AH59" i="1"/>
  <c r="AQ59" i="1"/>
  <c r="AR59" i="1"/>
  <c r="AS59" i="1"/>
  <c r="AT59" i="1"/>
  <c r="AU59" i="1"/>
  <c r="AV59" i="1"/>
  <c r="AW59" i="1"/>
  <c r="AX59" i="1"/>
  <c r="AY59" i="1"/>
  <c r="AZ59" i="1"/>
  <c r="BA59" i="1"/>
  <c r="BB59" i="1"/>
  <c r="BC59" i="1"/>
  <c r="BD59" i="1"/>
  <c r="BE59" i="1"/>
  <c r="BF59" i="1"/>
  <c r="BG59" i="1"/>
  <c r="BH59" i="1"/>
  <c r="BI59" i="1"/>
  <c r="BJ59" i="1"/>
  <c r="BK59" i="1"/>
  <c r="BL59" i="1"/>
  <c r="BM59" i="1"/>
  <c r="BN59" i="1"/>
  <c r="BO59" i="1"/>
  <c r="BP59" i="1"/>
  <c r="BQ59" i="1"/>
  <c r="BR59" i="1"/>
  <c r="BS59" i="1"/>
  <c r="BT59" i="1"/>
  <c r="BU59" i="1"/>
  <c r="BV59" i="1"/>
  <c r="BW59" i="1"/>
  <c r="BX59" i="1"/>
  <c r="BY59" i="1"/>
  <c r="BZ59" i="1"/>
  <c r="CA59" i="1"/>
  <c r="CB59" i="1"/>
  <c r="CC59" i="1"/>
  <c r="CD59" i="1"/>
  <c r="A60" i="1"/>
  <c r="B60" i="1"/>
  <c r="C60" i="1"/>
  <c r="D60" i="1"/>
  <c r="E60" i="1"/>
  <c r="G60" i="1"/>
  <c r="J60" i="1"/>
  <c r="M60" i="1"/>
  <c r="P60" i="1"/>
  <c r="Q60" i="1"/>
  <c r="R60" i="1"/>
  <c r="H60" i="1" s="1"/>
  <c r="T60" i="1"/>
  <c r="U60" i="1"/>
  <c r="V60" i="1"/>
  <c r="W60" i="1"/>
  <c r="Z60" i="1"/>
  <c r="AA60" i="1"/>
  <c r="AC60" i="1"/>
  <c r="AE60" i="1"/>
  <c r="AH60" i="1"/>
  <c r="AQ60" i="1"/>
  <c r="AR60" i="1"/>
  <c r="AS60" i="1"/>
  <c r="AT60" i="1"/>
  <c r="AU60" i="1"/>
  <c r="AV60" i="1"/>
  <c r="AW60" i="1"/>
  <c r="AX60" i="1"/>
  <c r="AY60" i="1"/>
  <c r="AZ60" i="1"/>
  <c r="BA60" i="1"/>
  <c r="BB60" i="1"/>
  <c r="BC60" i="1"/>
  <c r="BD60" i="1"/>
  <c r="BE60" i="1"/>
  <c r="BF60" i="1"/>
  <c r="BG60" i="1"/>
  <c r="BH60" i="1"/>
  <c r="BI60" i="1"/>
  <c r="BJ60" i="1"/>
  <c r="BK60" i="1"/>
  <c r="BL60" i="1"/>
  <c r="BM60" i="1"/>
  <c r="BN60" i="1"/>
  <c r="BO60" i="1"/>
  <c r="BP60" i="1"/>
  <c r="BQ60" i="1"/>
  <c r="BR60" i="1"/>
  <c r="BS60" i="1"/>
  <c r="BT60" i="1"/>
  <c r="BU60" i="1"/>
  <c r="BV60" i="1"/>
  <c r="BW60" i="1"/>
  <c r="BX60" i="1"/>
  <c r="BY60" i="1"/>
  <c r="BZ60" i="1"/>
  <c r="CA60" i="1"/>
  <c r="CB60" i="1"/>
  <c r="CC60" i="1"/>
  <c r="CD60" i="1"/>
  <c r="A61" i="1"/>
  <c r="B61" i="1"/>
  <c r="C61" i="1"/>
  <c r="D61" i="1"/>
  <c r="E61" i="1"/>
  <c r="G61" i="1"/>
  <c r="J61" i="1"/>
  <c r="M61" i="1"/>
  <c r="P61" i="1"/>
  <c r="Q61" i="1"/>
  <c r="R61" i="1"/>
  <c r="H61" i="1" s="1"/>
  <c r="T61" i="1"/>
  <c r="U61" i="1"/>
  <c r="V61" i="1"/>
  <c r="W61" i="1"/>
  <c r="Z61" i="1"/>
  <c r="AA61" i="1"/>
  <c r="AC61" i="1"/>
  <c r="AE61" i="1"/>
  <c r="AH61" i="1"/>
  <c r="AQ61" i="1"/>
  <c r="AR61" i="1"/>
  <c r="AS61" i="1"/>
  <c r="AT61" i="1"/>
  <c r="AU61" i="1"/>
  <c r="AV61" i="1"/>
  <c r="AW61" i="1"/>
  <c r="AX61" i="1"/>
  <c r="AY61" i="1"/>
  <c r="AZ61" i="1"/>
  <c r="BA61" i="1"/>
  <c r="BB61" i="1"/>
  <c r="BC61" i="1"/>
  <c r="BD61" i="1"/>
  <c r="BE61" i="1"/>
  <c r="BF61" i="1"/>
  <c r="BG61" i="1"/>
  <c r="BH61" i="1"/>
  <c r="BI61" i="1"/>
  <c r="BJ61" i="1"/>
  <c r="BK61" i="1"/>
  <c r="BL61" i="1"/>
  <c r="BM61" i="1"/>
  <c r="BN61" i="1"/>
  <c r="BO61" i="1"/>
  <c r="BP61" i="1"/>
  <c r="BQ61" i="1"/>
  <c r="BR61" i="1"/>
  <c r="BS61" i="1"/>
  <c r="BT61" i="1"/>
  <c r="BU61" i="1"/>
  <c r="BV61" i="1"/>
  <c r="BW61" i="1"/>
  <c r="BX61" i="1"/>
  <c r="BY61" i="1"/>
  <c r="BZ61" i="1"/>
  <c r="CA61" i="1"/>
  <c r="CB61" i="1"/>
  <c r="CC61" i="1"/>
  <c r="CD61" i="1"/>
  <c r="A62" i="1"/>
  <c r="B62" i="1"/>
  <c r="C62" i="1"/>
  <c r="D62" i="1"/>
  <c r="E62" i="1"/>
  <c r="G62" i="1"/>
  <c r="J62" i="1"/>
  <c r="M62" i="1"/>
  <c r="P62" i="1"/>
  <c r="Q62" i="1"/>
  <c r="R62" i="1"/>
  <c r="H62" i="1" s="1"/>
  <c r="T62" i="1"/>
  <c r="U62" i="1"/>
  <c r="V62" i="1"/>
  <c r="W62" i="1"/>
  <c r="Z62" i="1"/>
  <c r="AA62" i="1"/>
  <c r="AC62" i="1"/>
  <c r="AE62" i="1"/>
  <c r="AH62" i="1"/>
  <c r="AQ62" i="1"/>
  <c r="AR62" i="1"/>
  <c r="AS62" i="1"/>
  <c r="AT62" i="1"/>
  <c r="AU62" i="1"/>
  <c r="AV62" i="1"/>
  <c r="AW62" i="1"/>
  <c r="AX62" i="1"/>
  <c r="AY62" i="1"/>
  <c r="AZ62" i="1"/>
  <c r="BA62" i="1"/>
  <c r="BB62" i="1"/>
  <c r="BC62" i="1"/>
  <c r="BD62" i="1"/>
  <c r="BE62" i="1"/>
  <c r="BF62" i="1"/>
  <c r="BG62" i="1"/>
  <c r="BH62" i="1"/>
  <c r="BI62" i="1"/>
  <c r="BJ62" i="1"/>
  <c r="BK62" i="1"/>
  <c r="BL62" i="1"/>
  <c r="BM62" i="1"/>
  <c r="BN62" i="1"/>
  <c r="BO62" i="1"/>
  <c r="BP62" i="1"/>
  <c r="BQ62" i="1"/>
  <c r="BR62" i="1"/>
  <c r="BS62" i="1"/>
  <c r="BT62" i="1"/>
  <c r="BU62" i="1"/>
  <c r="BV62" i="1"/>
  <c r="BW62" i="1"/>
  <c r="BX62" i="1"/>
  <c r="BY62" i="1"/>
  <c r="BZ62" i="1"/>
  <c r="CA62" i="1"/>
  <c r="CB62" i="1"/>
  <c r="CC62" i="1"/>
  <c r="CD62" i="1"/>
  <c r="A63" i="1"/>
  <c r="B63" i="1"/>
  <c r="C63" i="1"/>
  <c r="D63" i="1"/>
  <c r="E63" i="1"/>
  <c r="G63" i="1"/>
  <c r="J63" i="1"/>
  <c r="M63" i="1"/>
  <c r="P63" i="1"/>
  <c r="Q63" i="1"/>
  <c r="R63" i="1"/>
  <c r="H63" i="1" s="1"/>
  <c r="T63" i="1"/>
  <c r="U63" i="1"/>
  <c r="V63" i="1"/>
  <c r="W63" i="1"/>
  <c r="Z63" i="1"/>
  <c r="AA63" i="1"/>
  <c r="AC63" i="1"/>
  <c r="AE63" i="1"/>
  <c r="AH63" i="1"/>
  <c r="AQ63" i="1"/>
  <c r="AR63" i="1"/>
  <c r="AS63" i="1"/>
  <c r="AT63" i="1"/>
  <c r="AU63" i="1"/>
  <c r="AV63" i="1"/>
  <c r="AW63" i="1"/>
  <c r="AX63" i="1"/>
  <c r="AY63" i="1"/>
  <c r="AZ63" i="1"/>
  <c r="BA63" i="1"/>
  <c r="BB63" i="1"/>
  <c r="BC63" i="1"/>
  <c r="BD63" i="1"/>
  <c r="BE63" i="1"/>
  <c r="BF63" i="1"/>
  <c r="BG63" i="1"/>
  <c r="BH63" i="1"/>
  <c r="BI63" i="1"/>
  <c r="BJ63" i="1"/>
  <c r="BK63" i="1"/>
  <c r="BL63" i="1"/>
  <c r="BM63" i="1"/>
  <c r="BN63" i="1"/>
  <c r="BO63" i="1"/>
  <c r="BP63" i="1"/>
  <c r="BQ63" i="1"/>
  <c r="BR63" i="1"/>
  <c r="BS63" i="1"/>
  <c r="BT63" i="1"/>
  <c r="BU63" i="1"/>
  <c r="BV63" i="1"/>
  <c r="BW63" i="1"/>
  <c r="BX63" i="1"/>
  <c r="BY63" i="1"/>
  <c r="BZ63" i="1"/>
  <c r="CA63" i="1"/>
  <c r="CB63" i="1"/>
  <c r="CC63" i="1"/>
  <c r="CD63" i="1"/>
  <c r="A64" i="1"/>
  <c r="B64" i="1"/>
  <c r="C64" i="1"/>
  <c r="D64" i="1"/>
  <c r="E64" i="1"/>
  <c r="G64" i="1"/>
  <c r="J64" i="1"/>
  <c r="M64" i="1"/>
  <c r="P64" i="1"/>
  <c r="Q64" i="1"/>
  <c r="R64" i="1"/>
  <c r="H64" i="1" s="1"/>
  <c r="T64" i="1"/>
  <c r="U64" i="1"/>
  <c r="V64" i="1"/>
  <c r="W64" i="1"/>
  <c r="Z64" i="1"/>
  <c r="AA64" i="1"/>
  <c r="AC64" i="1"/>
  <c r="AE64" i="1"/>
  <c r="AH64" i="1"/>
  <c r="AQ64" i="1"/>
  <c r="AR64" i="1"/>
  <c r="AS64" i="1"/>
  <c r="AT64" i="1"/>
  <c r="AU64" i="1"/>
  <c r="AV64" i="1"/>
  <c r="AW64" i="1"/>
  <c r="AX64" i="1"/>
  <c r="AY64" i="1"/>
  <c r="AZ64" i="1"/>
  <c r="BA64" i="1"/>
  <c r="BB64" i="1"/>
  <c r="BC64" i="1"/>
  <c r="BD64" i="1"/>
  <c r="BE64" i="1"/>
  <c r="BF64" i="1"/>
  <c r="BG64" i="1"/>
  <c r="BH64" i="1"/>
  <c r="BI64" i="1"/>
  <c r="BJ64" i="1"/>
  <c r="BK64" i="1"/>
  <c r="BL64" i="1"/>
  <c r="BM64" i="1"/>
  <c r="BN64" i="1"/>
  <c r="BO64" i="1"/>
  <c r="BP64" i="1"/>
  <c r="BQ64" i="1"/>
  <c r="BR64" i="1"/>
  <c r="BS64" i="1"/>
  <c r="BT64" i="1"/>
  <c r="BU64" i="1"/>
  <c r="BV64" i="1"/>
  <c r="BW64" i="1"/>
  <c r="BX64" i="1"/>
  <c r="BY64" i="1"/>
  <c r="BZ64" i="1"/>
  <c r="CA64" i="1"/>
  <c r="CB64" i="1"/>
  <c r="CC64" i="1"/>
  <c r="CD64" i="1"/>
  <c r="A65" i="1"/>
  <c r="B65" i="1"/>
  <c r="C65" i="1"/>
  <c r="D65" i="1"/>
  <c r="E65" i="1"/>
  <c r="G65" i="1"/>
  <c r="J65" i="1"/>
  <c r="M65" i="1"/>
  <c r="P65" i="1"/>
  <c r="Q65" i="1"/>
  <c r="R65" i="1"/>
  <c r="H65" i="1" s="1"/>
  <c r="T65" i="1"/>
  <c r="U65" i="1"/>
  <c r="V65" i="1"/>
  <c r="W65" i="1"/>
  <c r="Z65" i="1"/>
  <c r="AA65" i="1"/>
  <c r="AC65" i="1"/>
  <c r="AE65" i="1"/>
  <c r="AH65" i="1"/>
  <c r="AQ65" i="1"/>
  <c r="AR65" i="1"/>
  <c r="AS65" i="1"/>
  <c r="AT65" i="1"/>
  <c r="AU65" i="1"/>
  <c r="AV65" i="1"/>
  <c r="AW65" i="1"/>
  <c r="AX65" i="1"/>
  <c r="AY65" i="1"/>
  <c r="AZ65" i="1"/>
  <c r="BA65" i="1"/>
  <c r="BB65" i="1"/>
  <c r="BC65" i="1"/>
  <c r="BD65" i="1"/>
  <c r="BE65" i="1"/>
  <c r="BF65" i="1"/>
  <c r="BG65" i="1"/>
  <c r="BH65" i="1"/>
  <c r="BI65" i="1"/>
  <c r="BJ65" i="1"/>
  <c r="BK65" i="1"/>
  <c r="BL65" i="1"/>
  <c r="BM65" i="1"/>
  <c r="BN65" i="1"/>
  <c r="BO65" i="1"/>
  <c r="BP65" i="1"/>
  <c r="BQ65" i="1"/>
  <c r="BR65" i="1"/>
  <c r="BS65" i="1"/>
  <c r="BT65" i="1"/>
  <c r="BU65" i="1"/>
  <c r="BV65" i="1"/>
  <c r="BW65" i="1"/>
  <c r="BX65" i="1"/>
  <c r="BY65" i="1"/>
  <c r="BZ65" i="1"/>
  <c r="CA65" i="1"/>
  <c r="CB65" i="1"/>
  <c r="CC65" i="1"/>
  <c r="CD65" i="1"/>
  <c r="A66" i="1"/>
  <c r="B66" i="1"/>
  <c r="C66" i="1"/>
  <c r="D66" i="1"/>
  <c r="E66" i="1"/>
  <c r="G66" i="1"/>
  <c r="J66" i="1"/>
  <c r="M66" i="1"/>
  <c r="P66" i="1"/>
  <c r="Q66" i="1"/>
  <c r="R66" i="1"/>
  <c r="H66" i="1" s="1"/>
  <c r="T66" i="1"/>
  <c r="U66" i="1"/>
  <c r="V66" i="1"/>
  <c r="W66" i="1"/>
  <c r="Z66" i="1"/>
  <c r="AA66" i="1"/>
  <c r="AC66" i="1"/>
  <c r="AE66" i="1"/>
  <c r="AH66" i="1"/>
  <c r="AQ66" i="1"/>
  <c r="AR66" i="1"/>
  <c r="AS66" i="1"/>
  <c r="AT66" i="1"/>
  <c r="AU66" i="1"/>
  <c r="AV66" i="1"/>
  <c r="AW66" i="1"/>
  <c r="AX66" i="1"/>
  <c r="AY66" i="1"/>
  <c r="AZ66" i="1"/>
  <c r="BA66" i="1"/>
  <c r="BB66" i="1"/>
  <c r="BC66" i="1"/>
  <c r="BD66" i="1"/>
  <c r="BE66" i="1"/>
  <c r="BF66" i="1"/>
  <c r="BG66" i="1"/>
  <c r="BH66" i="1"/>
  <c r="BI66" i="1"/>
  <c r="BJ66" i="1"/>
  <c r="BK66" i="1"/>
  <c r="BL66" i="1"/>
  <c r="BM66" i="1"/>
  <c r="BN66" i="1"/>
  <c r="BO66" i="1"/>
  <c r="BP66" i="1"/>
  <c r="BQ66" i="1"/>
  <c r="BR66" i="1"/>
  <c r="BS66" i="1"/>
  <c r="BT66" i="1"/>
  <c r="BU66" i="1"/>
  <c r="BV66" i="1"/>
  <c r="BW66" i="1"/>
  <c r="BX66" i="1"/>
  <c r="BY66" i="1"/>
  <c r="BZ66" i="1"/>
  <c r="CA66" i="1"/>
  <c r="CB66" i="1"/>
  <c r="CC66" i="1"/>
  <c r="CD66" i="1"/>
  <c r="A67" i="1"/>
  <c r="B67" i="1"/>
  <c r="C67" i="1"/>
  <c r="D67" i="1"/>
  <c r="E67" i="1"/>
  <c r="G67" i="1"/>
  <c r="J67" i="1"/>
  <c r="M67" i="1"/>
  <c r="P67" i="1"/>
  <c r="Q67" i="1"/>
  <c r="R67" i="1"/>
  <c r="H67" i="1" s="1"/>
  <c r="T67" i="1"/>
  <c r="U67" i="1"/>
  <c r="V67" i="1"/>
  <c r="W67" i="1"/>
  <c r="Z67" i="1"/>
  <c r="AA67" i="1"/>
  <c r="AC67" i="1"/>
  <c r="AE67" i="1"/>
  <c r="AH67" i="1"/>
  <c r="AQ67" i="1"/>
  <c r="AR67" i="1"/>
  <c r="AS67" i="1"/>
  <c r="AT67" i="1"/>
  <c r="AU67" i="1"/>
  <c r="AV67" i="1"/>
  <c r="AW67" i="1"/>
  <c r="AX67" i="1"/>
  <c r="AY67" i="1"/>
  <c r="AZ67" i="1"/>
  <c r="BA67" i="1"/>
  <c r="BB67" i="1"/>
  <c r="BC67" i="1"/>
  <c r="BD67" i="1"/>
  <c r="BE67" i="1"/>
  <c r="BF67" i="1"/>
  <c r="BG67" i="1"/>
  <c r="BH67" i="1"/>
  <c r="BI67" i="1"/>
  <c r="BJ67" i="1"/>
  <c r="BK67" i="1"/>
  <c r="BL67" i="1"/>
  <c r="BM67" i="1"/>
  <c r="BN67" i="1"/>
  <c r="BO67" i="1"/>
  <c r="BP67" i="1"/>
  <c r="BQ67" i="1"/>
  <c r="BR67" i="1"/>
  <c r="BS67" i="1"/>
  <c r="BT67" i="1"/>
  <c r="BU67" i="1"/>
  <c r="BV67" i="1"/>
  <c r="BW67" i="1"/>
  <c r="BX67" i="1"/>
  <c r="BY67" i="1"/>
  <c r="BZ67" i="1"/>
  <c r="CA67" i="1"/>
  <c r="CB67" i="1"/>
  <c r="CC67" i="1"/>
  <c r="CD67" i="1"/>
  <c r="A68" i="1"/>
  <c r="B68" i="1"/>
  <c r="C68" i="1"/>
  <c r="D68" i="1"/>
  <c r="E68" i="1"/>
  <c r="G68" i="1"/>
  <c r="J68" i="1"/>
  <c r="M68" i="1"/>
  <c r="P68" i="1"/>
  <c r="Q68" i="1"/>
  <c r="R68" i="1"/>
  <c r="H68" i="1" s="1"/>
  <c r="T68" i="1"/>
  <c r="U68" i="1"/>
  <c r="V68" i="1"/>
  <c r="W68" i="1"/>
  <c r="Z68" i="1"/>
  <c r="AA68" i="1"/>
  <c r="AC68" i="1"/>
  <c r="AE68" i="1"/>
  <c r="AH68" i="1"/>
  <c r="AQ68" i="1"/>
  <c r="AR68" i="1"/>
  <c r="AS68" i="1"/>
  <c r="AT68" i="1"/>
  <c r="AU68" i="1"/>
  <c r="AV68" i="1"/>
  <c r="AW68" i="1"/>
  <c r="AX68" i="1"/>
  <c r="AY68" i="1"/>
  <c r="AZ68" i="1"/>
  <c r="BA68" i="1"/>
  <c r="BB68" i="1"/>
  <c r="BC68" i="1"/>
  <c r="BD68" i="1"/>
  <c r="BE68" i="1"/>
  <c r="BF68" i="1"/>
  <c r="BG68" i="1"/>
  <c r="BH68" i="1"/>
  <c r="BI68" i="1"/>
  <c r="BJ68" i="1"/>
  <c r="BK68" i="1"/>
  <c r="BL68" i="1"/>
  <c r="BM68" i="1"/>
  <c r="BN68" i="1"/>
  <c r="BO68" i="1"/>
  <c r="BP68" i="1"/>
  <c r="BQ68" i="1"/>
  <c r="BR68" i="1"/>
  <c r="BS68" i="1"/>
  <c r="BT68" i="1"/>
  <c r="BU68" i="1"/>
  <c r="BV68" i="1"/>
  <c r="BW68" i="1"/>
  <c r="BX68" i="1"/>
  <c r="BY68" i="1"/>
  <c r="BZ68" i="1"/>
  <c r="CA68" i="1"/>
  <c r="CB68" i="1"/>
  <c r="CC68" i="1"/>
  <c r="CD68" i="1"/>
  <c r="A69" i="1"/>
  <c r="B69" i="1"/>
  <c r="C69" i="1"/>
  <c r="D69" i="1"/>
  <c r="E69" i="1"/>
  <c r="G69" i="1"/>
  <c r="J69" i="1"/>
  <c r="M69" i="1"/>
  <c r="P69" i="1"/>
  <c r="Q69" i="1"/>
  <c r="R69" i="1"/>
  <c r="H69" i="1" s="1"/>
  <c r="T69" i="1"/>
  <c r="U69" i="1"/>
  <c r="V69" i="1"/>
  <c r="W69" i="1"/>
  <c r="Z69" i="1"/>
  <c r="AA69" i="1"/>
  <c r="AC69" i="1"/>
  <c r="AE69" i="1"/>
  <c r="AH69" i="1"/>
  <c r="AQ69" i="1"/>
  <c r="AR69" i="1"/>
  <c r="AS69" i="1"/>
  <c r="AT69" i="1"/>
  <c r="AU69" i="1"/>
  <c r="AV69" i="1"/>
  <c r="AW69" i="1"/>
  <c r="AX69" i="1"/>
  <c r="AY69" i="1"/>
  <c r="AZ69" i="1"/>
  <c r="BA69" i="1"/>
  <c r="BB69" i="1"/>
  <c r="BC69" i="1"/>
  <c r="BD69" i="1"/>
  <c r="BE69" i="1"/>
  <c r="BF69" i="1"/>
  <c r="BG69" i="1"/>
  <c r="BH69" i="1"/>
  <c r="BI69" i="1"/>
  <c r="BJ69" i="1"/>
  <c r="BK69" i="1"/>
  <c r="BL69" i="1"/>
  <c r="BM69" i="1"/>
  <c r="BN69" i="1"/>
  <c r="BO69" i="1"/>
  <c r="BP69" i="1"/>
  <c r="BQ69" i="1"/>
  <c r="BR69" i="1"/>
  <c r="BS69" i="1"/>
  <c r="BT69" i="1"/>
  <c r="BU69" i="1"/>
  <c r="BV69" i="1"/>
  <c r="BW69" i="1"/>
  <c r="BX69" i="1"/>
  <c r="BY69" i="1"/>
  <c r="BZ69" i="1"/>
  <c r="CA69" i="1"/>
  <c r="CB69" i="1"/>
  <c r="CC69" i="1"/>
  <c r="CD69" i="1"/>
  <c r="A70" i="1"/>
  <c r="B70" i="1"/>
  <c r="C70" i="1"/>
  <c r="D70" i="1"/>
  <c r="E70" i="1"/>
  <c r="G70" i="1"/>
  <c r="J70" i="1"/>
  <c r="M70" i="1"/>
  <c r="P70" i="1"/>
  <c r="Q70" i="1"/>
  <c r="R70" i="1"/>
  <c r="H70" i="1" s="1"/>
  <c r="T70" i="1"/>
  <c r="U70" i="1"/>
  <c r="V70" i="1"/>
  <c r="W70" i="1"/>
  <c r="Z70" i="1"/>
  <c r="AA70" i="1"/>
  <c r="AC70" i="1"/>
  <c r="AE70" i="1"/>
  <c r="AH70" i="1"/>
  <c r="AQ70" i="1"/>
  <c r="AR70" i="1"/>
  <c r="AS70" i="1"/>
  <c r="AT70" i="1"/>
  <c r="AU70" i="1"/>
  <c r="AV70" i="1"/>
  <c r="AW70" i="1"/>
  <c r="AX70" i="1"/>
  <c r="AY70" i="1"/>
  <c r="AZ70" i="1"/>
  <c r="BA70" i="1"/>
  <c r="BB70" i="1"/>
  <c r="BC70" i="1"/>
  <c r="BD70" i="1"/>
  <c r="BE70" i="1"/>
  <c r="BF70" i="1"/>
  <c r="BG70" i="1"/>
  <c r="BH70" i="1"/>
  <c r="BI70" i="1"/>
  <c r="BJ70" i="1"/>
  <c r="BK70" i="1"/>
  <c r="BL70" i="1"/>
  <c r="BM70" i="1"/>
  <c r="BN70" i="1"/>
  <c r="BO70" i="1"/>
  <c r="BP70" i="1"/>
  <c r="BQ70" i="1"/>
  <c r="BR70" i="1"/>
  <c r="BS70" i="1"/>
  <c r="BT70" i="1"/>
  <c r="BU70" i="1"/>
  <c r="BV70" i="1"/>
  <c r="BW70" i="1"/>
  <c r="BX70" i="1"/>
  <c r="BY70" i="1"/>
  <c r="BZ70" i="1"/>
  <c r="CA70" i="1"/>
  <c r="CB70" i="1"/>
  <c r="CC70" i="1"/>
  <c r="CD70" i="1"/>
  <c r="A71" i="1"/>
  <c r="B71" i="1"/>
  <c r="C71" i="1"/>
  <c r="D71" i="1"/>
  <c r="E71" i="1"/>
  <c r="G71" i="1"/>
  <c r="J71" i="1"/>
  <c r="M71" i="1"/>
  <c r="P71" i="1"/>
  <c r="Q71" i="1"/>
  <c r="R71" i="1"/>
  <c r="H71" i="1" s="1"/>
  <c r="T71" i="1"/>
  <c r="U71" i="1"/>
  <c r="V71" i="1"/>
  <c r="W71" i="1"/>
  <c r="Z71" i="1"/>
  <c r="AA71" i="1"/>
  <c r="AC71" i="1"/>
  <c r="AE71" i="1"/>
  <c r="AH71" i="1"/>
  <c r="AQ71" i="1"/>
  <c r="AR71" i="1"/>
  <c r="AS71" i="1"/>
  <c r="AT71" i="1"/>
  <c r="AU71" i="1"/>
  <c r="AV71" i="1"/>
  <c r="AW71" i="1"/>
  <c r="AX71" i="1"/>
  <c r="AY71" i="1"/>
  <c r="AZ71" i="1"/>
  <c r="BA71" i="1"/>
  <c r="BB71" i="1"/>
  <c r="BC71" i="1"/>
  <c r="BD71" i="1"/>
  <c r="BE71" i="1"/>
  <c r="BF71" i="1"/>
  <c r="BG71" i="1"/>
  <c r="BH71" i="1"/>
  <c r="BI71" i="1"/>
  <c r="BJ71" i="1"/>
  <c r="BK71" i="1"/>
  <c r="BL71" i="1"/>
  <c r="BM71" i="1"/>
  <c r="BN71" i="1"/>
  <c r="BO71" i="1"/>
  <c r="BP71" i="1"/>
  <c r="BQ71" i="1"/>
  <c r="BR71" i="1"/>
  <c r="BS71" i="1"/>
  <c r="BT71" i="1"/>
  <c r="BU71" i="1"/>
  <c r="BV71" i="1"/>
  <c r="BW71" i="1"/>
  <c r="BX71" i="1"/>
  <c r="BY71" i="1"/>
  <c r="BZ71" i="1"/>
  <c r="CA71" i="1"/>
  <c r="CB71" i="1"/>
  <c r="CC71" i="1"/>
  <c r="CD71" i="1"/>
  <c r="A72" i="1"/>
  <c r="B72" i="1"/>
  <c r="C72" i="1"/>
  <c r="D72" i="1"/>
  <c r="E72" i="1"/>
  <c r="G72" i="1"/>
  <c r="J72" i="1"/>
  <c r="M72" i="1"/>
  <c r="P72" i="1"/>
  <c r="Q72" i="1"/>
  <c r="R72" i="1"/>
  <c r="H72" i="1" s="1"/>
  <c r="T72" i="1"/>
  <c r="U72" i="1"/>
  <c r="V72" i="1"/>
  <c r="W72" i="1"/>
  <c r="Z72" i="1"/>
  <c r="AA72" i="1"/>
  <c r="AC72" i="1"/>
  <c r="AE72" i="1"/>
  <c r="AH72" i="1"/>
  <c r="AQ72" i="1"/>
  <c r="AR72" i="1"/>
  <c r="AS72" i="1"/>
  <c r="AT72" i="1"/>
  <c r="AU72" i="1"/>
  <c r="AV72" i="1"/>
  <c r="AW72" i="1"/>
  <c r="AX72" i="1"/>
  <c r="AY72" i="1"/>
  <c r="AZ72" i="1"/>
  <c r="BA72" i="1"/>
  <c r="BB72" i="1"/>
  <c r="BC72" i="1"/>
  <c r="BD72" i="1"/>
  <c r="BE72" i="1"/>
  <c r="BF72" i="1"/>
  <c r="BG72" i="1"/>
  <c r="BH72" i="1"/>
  <c r="BI72" i="1"/>
  <c r="BJ72" i="1"/>
  <c r="BK72" i="1"/>
  <c r="BL72" i="1"/>
  <c r="BM72" i="1"/>
  <c r="BN72" i="1"/>
  <c r="BO72" i="1"/>
  <c r="BP72" i="1"/>
  <c r="BQ72" i="1"/>
  <c r="BR72" i="1"/>
  <c r="BS72" i="1"/>
  <c r="BT72" i="1"/>
  <c r="BU72" i="1"/>
  <c r="BV72" i="1"/>
  <c r="BW72" i="1"/>
  <c r="BX72" i="1"/>
  <c r="BY72" i="1"/>
  <c r="BZ72" i="1"/>
  <c r="CA72" i="1"/>
  <c r="CB72" i="1"/>
  <c r="CC72" i="1"/>
  <c r="CD72" i="1"/>
  <c r="A73" i="1"/>
  <c r="B73" i="1"/>
  <c r="C73" i="1"/>
  <c r="D73" i="1"/>
  <c r="E73" i="1"/>
  <c r="G73" i="1"/>
  <c r="J73" i="1"/>
  <c r="M73" i="1"/>
  <c r="P73" i="1"/>
  <c r="Q73" i="1"/>
  <c r="R73" i="1"/>
  <c r="H73" i="1" s="1"/>
  <c r="T73" i="1"/>
  <c r="U73" i="1"/>
  <c r="V73" i="1"/>
  <c r="W73" i="1"/>
  <c r="Z73" i="1"/>
  <c r="AA73" i="1"/>
  <c r="AC73" i="1"/>
  <c r="AE73" i="1"/>
  <c r="AH73" i="1"/>
  <c r="AQ73" i="1"/>
  <c r="AR73" i="1"/>
  <c r="AS73" i="1"/>
  <c r="AT73" i="1"/>
  <c r="AU73" i="1"/>
  <c r="AV73" i="1"/>
  <c r="AW73" i="1"/>
  <c r="AX73" i="1"/>
  <c r="AY73" i="1"/>
  <c r="AZ73" i="1"/>
  <c r="BA73" i="1"/>
  <c r="BB73" i="1"/>
  <c r="BC73" i="1"/>
  <c r="BD73" i="1"/>
  <c r="BE73" i="1"/>
  <c r="BF73" i="1"/>
  <c r="BG73" i="1"/>
  <c r="BH73" i="1"/>
  <c r="BI73" i="1"/>
  <c r="BJ73" i="1"/>
  <c r="BK73" i="1"/>
  <c r="BL73" i="1"/>
  <c r="BM73" i="1"/>
  <c r="BN73" i="1"/>
  <c r="BO73" i="1"/>
  <c r="BP73" i="1"/>
  <c r="BQ73" i="1"/>
  <c r="BR73" i="1"/>
  <c r="BS73" i="1"/>
  <c r="BT73" i="1"/>
  <c r="BU73" i="1"/>
  <c r="BV73" i="1"/>
  <c r="BW73" i="1"/>
  <c r="BX73" i="1"/>
  <c r="BY73" i="1"/>
  <c r="BZ73" i="1"/>
  <c r="CA73" i="1"/>
  <c r="CB73" i="1"/>
  <c r="CC73" i="1"/>
  <c r="CD73" i="1"/>
  <c r="A74" i="1"/>
  <c r="B74" i="1"/>
  <c r="C74" i="1"/>
  <c r="D74" i="1"/>
  <c r="E74" i="1"/>
  <c r="G74" i="1"/>
  <c r="J74" i="1"/>
  <c r="M74" i="1"/>
  <c r="P74" i="1"/>
  <c r="Q74" i="1"/>
  <c r="R74" i="1"/>
  <c r="H74" i="1" s="1"/>
  <c r="T74" i="1"/>
  <c r="U74" i="1"/>
  <c r="V74" i="1"/>
  <c r="W74" i="1"/>
  <c r="Z74" i="1"/>
  <c r="AA74" i="1"/>
  <c r="AC74" i="1"/>
  <c r="AE74" i="1"/>
  <c r="AH74" i="1"/>
  <c r="AQ74" i="1"/>
  <c r="AR74" i="1"/>
  <c r="AS74" i="1"/>
  <c r="AT74" i="1"/>
  <c r="AU74" i="1"/>
  <c r="AV74" i="1"/>
  <c r="AW74" i="1"/>
  <c r="AX74" i="1"/>
  <c r="AY74" i="1"/>
  <c r="AZ74" i="1"/>
  <c r="BA74" i="1"/>
  <c r="BB74" i="1"/>
  <c r="BC74" i="1"/>
  <c r="BD74" i="1"/>
  <c r="BE74" i="1"/>
  <c r="BF74" i="1"/>
  <c r="BG74" i="1"/>
  <c r="BH74" i="1"/>
  <c r="BI74" i="1"/>
  <c r="BJ74" i="1"/>
  <c r="BK74" i="1"/>
  <c r="BL74" i="1"/>
  <c r="BM74" i="1"/>
  <c r="BN74" i="1"/>
  <c r="BO74" i="1"/>
  <c r="BP74" i="1"/>
  <c r="BQ74" i="1"/>
  <c r="BR74" i="1"/>
  <c r="BS74" i="1"/>
  <c r="BT74" i="1"/>
  <c r="BU74" i="1"/>
  <c r="BV74" i="1"/>
  <c r="BW74" i="1"/>
  <c r="BX74" i="1"/>
  <c r="BY74" i="1"/>
  <c r="BZ74" i="1"/>
  <c r="CA74" i="1"/>
  <c r="CB74" i="1"/>
  <c r="CC74" i="1"/>
  <c r="CD74" i="1"/>
  <c r="A75" i="1"/>
  <c r="B75" i="1"/>
  <c r="C75" i="1"/>
  <c r="D75" i="1"/>
  <c r="E75" i="1"/>
  <c r="G75" i="1"/>
  <c r="J75" i="1"/>
  <c r="M75" i="1"/>
  <c r="P75" i="1"/>
  <c r="Q75" i="1"/>
  <c r="R75" i="1"/>
  <c r="T75" i="1"/>
  <c r="U75" i="1"/>
  <c r="V75" i="1"/>
  <c r="W75" i="1"/>
  <c r="Z75" i="1"/>
  <c r="AA75" i="1"/>
  <c r="AC75" i="1"/>
  <c r="AE75" i="1"/>
  <c r="AH75" i="1"/>
  <c r="AQ75" i="1"/>
  <c r="AR75" i="1"/>
  <c r="AS75" i="1"/>
  <c r="AT75" i="1"/>
  <c r="AU75" i="1"/>
  <c r="AV75" i="1"/>
  <c r="AW75" i="1"/>
  <c r="AX75" i="1"/>
  <c r="AY75" i="1"/>
  <c r="AZ75" i="1"/>
  <c r="BA75" i="1"/>
  <c r="BB75" i="1"/>
  <c r="BC75" i="1"/>
  <c r="BD75" i="1"/>
  <c r="BE75" i="1"/>
  <c r="BF75" i="1"/>
  <c r="BG75" i="1"/>
  <c r="BH75" i="1"/>
  <c r="BI75" i="1"/>
  <c r="BJ75" i="1"/>
  <c r="BK75" i="1"/>
  <c r="BL75" i="1"/>
  <c r="BM75" i="1"/>
  <c r="BN75" i="1"/>
  <c r="BO75" i="1"/>
  <c r="BP75" i="1"/>
  <c r="BQ75" i="1"/>
  <c r="BR75" i="1"/>
  <c r="BS75" i="1"/>
  <c r="BT75" i="1"/>
  <c r="BU75" i="1"/>
  <c r="BV75" i="1"/>
  <c r="BW75" i="1"/>
  <c r="BX75" i="1"/>
  <c r="BY75" i="1"/>
  <c r="BZ75" i="1"/>
  <c r="CA75" i="1"/>
  <c r="CB75" i="1"/>
  <c r="CC75" i="1"/>
  <c r="CD75" i="1"/>
  <c r="A76" i="1"/>
  <c r="B76" i="1"/>
  <c r="C76" i="1"/>
  <c r="D76" i="1"/>
  <c r="E76" i="1"/>
  <c r="G76" i="1"/>
  <c r="J76" i="1"/>
  <c r="M76" i="1"/>
  <c r="P76" i="1"/>
  <c r="Q76" i="1"/>
  <c r="R76" i="1"/>
  <c r="H76" i="1" s="1"/>
  <c r="T76" i="1"/>
  <c r="U76" i="1"/>
  <c r="V76" i="1"/>
  <c r="W76" i="1"/>
  <c r="Z76" i="1"/>
  <c r="AA76" i="1"/>
  <c r="AC76" i="1"/>
  <c r="AE76" i="1"/>
  <c r="AH76" i="1"/>
  <c r="AQ76" i="1"/>
  <c r="AR76" i="1"/>
  <c r="AS76" i="1"/>
  <c r="AT76" i="1"/>
  <c r="AU76" i="1"/>
  <c r="AV76" i="1"/>
  <c r="AW76" i="1"/>
  <c r="AX76" i="1"/>
  <c r="AY76" i="1"/>
  <c r="AZ76" i="1"/>
  <c r="BA76" i="1"/>
  <c r="BB76" i="1"/>
  <c r="BC76" i="1"/>
  <c r="BD76" i="1"/>
  <c r="BE76" i="1"/>
  <c r="BF76" i="1"/>
  <c r="BG76" i="1"/>
  <c r="BH76" i="1"/>
  <c r="BI76" i="1"/>
  <c r="BJ76" i="1"/>
  <c r="BK76" i="1"/>
  <c r="BL76" i="1"/>
  <c r="BM76" i="1"/>
  <c r="BN76" i="1"/>
  <c r="BO76" i="1"/>
  <c r="BP76" i="1"/>
  <c r="BQ76" i="1"/>
  <c r="BR76" i="1"/>
  <c r="BS76" i="1"/>
  <c r="BT76" i="1"/>
  <c r="BU76" i="1"/>
  <c r="BV76" i="1"/>
  <c r="BW76" i="1"/>
  <c r="BX76" i="1"/>
  <c r="BY76" i="1"/>
  <c r="BZ76" i="1"/>
  <c r="CA76" i="1"/>
  <c r="CB76" i="1"/>
  <c r="CC76" i="1"/>
  <c r="CD76" i="1"/>
  <c r="A77" i="1"/>
  <c r="B77" i="1"/>
  <c r="C77" i="1"/>
  <c r="D77" i="1"/>
  <c r="E77" i="1"/>
  <c r="G77" i="1"/>
  <c r="J77" i="1"/>
  <c r="M77" i="1"/>
  <c r="P77" i="1"/>
  <c r="Q77" i="1"/>
  <c r="R77" i="1"/>
  <c r="H77" i="1" s="1"/>
  <c r="T77" i="1"/>
  <c r="U77" i="1"/>
  <c r="V77" i="1"/>
  <c r="W77" i="1"/>
  <c r="Z77" i="1"/>
  <c r="AA77" i="1"/>
  <c r="AC77" i="1"/>
  <c r="AE77" i="1"/>
  <c r="AH77" i="1"/>
  <c r="AQ77" i="1"/>
  <c r="AR77" i="1"/>
  <c r="AS77" i="1"/>
  <c r="AT77" i="1"/>
  <c r="AU77" i="1"/>
  <c r="AV77" i="1"/>
  <c r="AW77" i="1"/>
  <c r="AX77" i="1"/>
  <c r="AY77" i="1"/>
  <c r="AZ77" i="1"/>
  <c r="BA77" i="1"/>
  <c r="BB77" i="1"/>
  <c r="BC77" i="1"/>
  <c r="BD77" i="1"/>
  <c r="BE77" i="1"/>
  <c r="BF77" i="1"/>
  <c r="BG77" i="1"/>
  <c r="BH77" i="1"/>
  <c r="BI77" i="1"/>
  <c r="BJ77" i="1"/>
  <c r="BK77" i="1"/>
  <c r="BL77" i="1"/>
  <c r="BM77" i="1"/>
  <c r="BN77" i="1"/>
  <c r="BO77" i="1"/>
  <c r="BP77" i="1"/>
  <c r="BQ77" i="1"/>
  <c r="BR77" i="1"/>
  <c r="BS77" i="1"/>
  <c r="BT77" i="1"/>
  <c r="BU77" i="1"/>
  <c r="BV77" i="1"/>
  <c r="BW77" i="1"/>
  <c r="BX77" i="1"/>
  <c r="BY77" i="1"/>
  <c r="BZ77" i="1"/>
  <c r="CA77" i="1"/>
  <c r="CB77" i="1"/>
  <c r="CC77" i="1"/>
  <c r="CD77" i="1"/>
  <c r="A78" i="1"/>
  <c r="B78" i="1"/>
  <c r="C78" i="1"/>
  <c r="D78" i="1"/>
  <c r="E78" i="1"/>
  <c r="G78" i="1"/>
  <c r="J78" i="1"/>
  <c r="M78" i="1"/>
  <c r="P78" i="1"/>
  <c r="Q78" i="1"/>
  <c r="R78" i="1"/>
  <c r="H78" i="1" s="1"/>
  <c r="T78" i="1"/>
  <c r="U78" i="1"/>
  <c r="V78" i="1"/>
  <c r="W78" i="1"/>
  <c r="Z78" i="1"/>
  <c r="AA78" i="1"/>
  <c r="AC78" i="1"/>
  <c r="AE78" i="1"/>
  <c r="AH78" i="1"/>
  <c r="AQ78" i="1"/>
  <c r="AR78" i="1"/>
  <c r="AS78" i="1"/>
  <c r="AT78" i="1"/>
  <c r="AU78" i="1"/>
  <c r="AV78" i="1"/>
  <c r="AW78" i="1"/>
  <c r="AX78" i="1"/>
  <c r="AY78" i="1"/>
  <c r="AZ78" i="1"/>
  <c r="BA78" i="1"/>
  <c r="BB78" i="1"/>
  <c r="BC78" i="1"/>
  <c r="BD78" i="1"/>
  <c r="BE78" i="1"/>
  <c r="BF78" i="1"/>
  <c r="BG78" i="1"/>
  <c r="BH78" i="1"/>
  <c r="BI78" i="1"/>
  <c r="BJ78" i="1"/>
  <c r="BK78" i="1"/>
  <c r="BL78" i="1"/>
  <c r="BM78" i="1"/>
  <c r="BN78" i="1"/>
  <c r="BO78" i="1"/>
  <c r="BP78" i="1"/>
  <c r="BQ78" i="1"/>
  <c r="BR78" i="1"/>
  <c r="BS78" i="1"/>
  <c r="BT78" i="1"/>
  <c r="BU78" i="1"/>
  <c r="BV78" i="1"/>
  <c r="BW78" i="1"/>
  <c r="BX78" i="1"/>
  <c r="BY78" i="1"/>
  <c r="BZ78" i="1"/>
  <c r="CA78" i="1"/>
  <c r="CB78" i="1"/>
  <c r="CC78" i="1"/>
  <c r="CD78" i="1"/>
  <c r="A79" i="1"/>
  <c r="B79" i="1"/>
  <c r="C79" i="1"/>
  <c r="D79" i="1"/>
  <c r="E79" i="1"/>
  <c r="G79" i="1"/>
  <c r="J79" i="1"/>
  <c r="M79" i="1"/>
  <c r="P79" i="1"/>
  <c r="Q79" i="1"/>
  <c r="R79" i="1"/>
  <c r="T79" i="1"/>
  <c r="U79" i="1"/>
  <c r="V79" i="1"/>
  <c r="W79" i="1"/>
  <c r="Z79" i="1"/>
  <c r="AA79" i="1"/>
  <c r="AC79" i="1"/>
  <c r="AE79" i="1"/>
  <c r="AH79" i="1"/>
  <c r="AQ79" i="1"/>
  <c r="AR79" i="1"/>
  <c r="AS79" i="1"/>
  <c r="AT79" i="1"/>
  <c r="AU79" i="1"/>
  <c r="AV79" i="1"/>
  <c r="AW79" i="1"/>
  <c r="AX79" i="1"/>
  <c r="AY79" i="1"/>
  <c r="AZ79" i="1"/>
  <c r="BA79" i="1"/>
  <c r="BB79" i="1"/>
  <c r="BC79" i="1"/>
  <c r="BD79" i="1"/>
  <c r="BE79" i="1"/>
  <c r="BF79" i="1"/>
  <c r="BG79" i="1"/>
  <c r="BH79" i="1"/>
  <c r="BI79" i="1"/>
  <c r="BJ79" i="1"/>
  <c r="BK79" i="1"/>
  <c r="BL79" i="1"/>
  <c r="BM79" i="1"/>
  <c r="BN79" i="1"/>
  <c r="BO79" i="1"/>
  <c r="BP79" i="1"/>
  <c r="BQ79" i="1"/>
  <c r="BR79" i="1"/>
  <c r="BS79" i="1"/>
  <c r="BT79" i="1"/>
  <c r="BU79" i="1"/>
  <c r="BV79" i="1"/>
  <c r="BW79" i="1"/>
  <c r="BX79" i="1"/>
  <c r="BY79" i="1"/>
  <c r="BZ79" i="1"/>
  <c r="CA79" i="1"/>
  <c r="CB79" i="1"/>
  <c r="CC79" i="1"/>
  <c r="CD79" i="1"/>
  <c r="A80" i="1"/>
  <c r="B80" i="1"/>
  <c r="C80" i="1"/>
  <c r="D80" i="1"/>
  <c r="E80" i="1"/>
  <c r="G80" i="1"/>
  <c r="J80" i="1"/>
  <c r="M80" i="1"/>
  <c r="P80" i="1"/>
  <c r="Q80" i="1"/>
  <c r="R80" i="1"/>
  <c r="H80" i="1" s="1"/>
  <c r="T80" i="1"/>
  <c r="U80" i="1"/>
  <c r="V80" i="1"/>
  <c r="W80" i="1"/>
  <c r="Z80" i="1"/>
  <c r="AA80" i="1"/>
  <c r="AC80" i="1"/>
  <c r="AE80" i="1"/>
  <c r="AH80" i="1"/>
  <c r="AQ80" i="1"/>
  <c r="AR80" i="1"/>
  <c r="AS80" i="1"/>
  <c r="AT80" i="1"/>
  <c r="AU80" i="1"/>
  <c r="AV80" i="1"/>
  <c r="AW80" i="1"/>
  <c r="AX80" i="1"/>
  <c r="AY80" i="1"/>
  <c r="AZ80" i="1"/>
  <c r="BA80" i="1"/>
  <c r="BB80" i="1"/>
  <c r="BC80" i="1"/>
  <c r="BD80" i="1"/>
  <c r="BE80" i="1"/>
  <c r="BF80" i="1"/>
  <c r="BG80" i="1"/>
  <c r="BH80" i="1"/>
  <c r="BI80" i="1"/>
  <c r="BJ80" i="1"/>
  <c r="BK80" i="1"/>
  <c r="BL80" i="1"/>
  <c r="BM80" i="1"/>
  <c r="BN80" i="1"/>
  <c r="BO80" i="1"/>
  <c r="BP80" i="1"/>
  <c r="BQ80" i="1"/>
  <c r="BR80" i="1"/>
  <c r="BS80" i="1"/>
  <c r="BT80" i="1"/>
  <c r="BU80" i="1"/>
  <c r="BV80" i="1"/>
  <c r="BW80" i="1"/>
  <c r="BX80" i="1"/>
  <c r="BY80" i="1"/>
  <c r="BZ80" i="1"/>
  <c r="CA80" i="1"/>
  <c r="CB80" i="1"/>
  <c r="CC80" i="1"/>
  <c r="CD80" i="1"/>
  <c r="A81" i="1"/>
  <c r="B81" i="1"/>
  <c r="C81" i="1"/>
  <c r="D81" i="1"/>
  <c r="E81" i="1"/>
  <c r="G81" i="1"/>
  <c r="J81" i="1"/>
  <c r="M81" i="1"/>
  <c r="P81" i="1"/>
  <c r="Q81" i="1"/>
  <c r="R81" i="1"/>
  <c r="H81" i="1" s="1"/>
  <c r="T81" i="1"/>
  <c r="U81" i="1"/>
  <c r="V81" i="1"/>
  <c r="W81" i="1"/>
  <c r="Z81" i="1"/>
  <c r="AA81" i="1"/>
  <c r="AC81" i="1"/>
  <c r="AE81" i="1"/>
  <c r="AH81" i="1"/>
  <c r="AQ81" i="1"/>
  <c r="AR81" i="1"/>
  <c r="AS81" i="1"/>
  <c r="AT81" i="1"/>
  <c r="AU81" i="1"/>
  <c r="AV81" i="1"/>
  <c r="AW81" i="1"/>
  <c r="AX81" i="1"/>
  <c r="AY81" i="1"/>
  <c r="AZ81" i="1"/>
  <c r="BA81" i="1"/>
  <c r="BB81" i="1"/>
  <c r="BC81" i="1"/>
  <c r="BD81" i="1"/>
  <c r="BE81" i="1"/>
  <c r="BF81" i="1"/>
  <c r="BG81" i="1"/>
  <c r="BH81" i="1"/>
  <c r="BI81" i="1"/>
  <c r="BJ81" i="1"/>
  <c r="BK81" i="1"/>
  <c r="BL81" i="1"/>
  <c r="BM81" i="1"/>
  <c r="BN81" i="1"/>
  <c r="BO81" i="1"/>
  <c r="BP81" i="1"/>
  <c r="BQ81" i="1"/>
  <c r="BR81" i="1"/>
  <c r="BS81" i="1"/>
  <c r="BT81" i="1"/>
  <c r="BU81" i="1"/>
  <c r="BV81" i="1"/>
  <c r="BW81" i="1"/>
  <c r="BX81" i="1"/>
  <c r="BY81" i="1"/>
  <c r="BZ81" i="1"/>
  <c r="CA81" i="1"/>
  <c r="CB81" i="1"/>
  <c r="CC81" i="1"/>
  <c r="CD81" i="1"/>
  <c r="A82" i="1"/>
  <c r="B82" i="1"/>
  <c r="C82" i="1"/>
  <c r="D82" i="1"/>
  <c r="E82" i="1"/>
  <c r="G82" i="1"/>
  <c r="J82" i="1"/>
  <c r="M82" i="1"/>
  <c r="P82" i="1"/>
  <c r="Q82" i="1"/>
  <c r="R82" i="1"/>
  <c r="H82" i="1" s="1"/>
  <c r="T82" i="1"/>
  <c r="U82" i="1"/>
  <c r="V82" i="1"/>
  <c r="W82" i="1"/>
  <c r="Z82" i="1"/>
  <c r="AA82" i="1"/>
  <c r="AC82" i="1"/>
  <c r="AE82" i="1"/>
  <c r="AH82" i="1"/>
  <c r="AQ82" i="1"/>
  <c r="AR82" i="1"/>
  <c r="AS82" i="1"/>
  <c r="AT82" i="1"/>
  <c r="AU82" i="1"/>
  <c r="AV82" i="1"/>
  <c r="AW82" i="1"/>
  <c r="AX82" i="1"/>
  <c r="AY82" i="1"/>
  <c r="AZ82" i="1"/>
  <c r="BA82" i="1"/>
  <c r="BB82" i="1"/>
  <c r="BC82" i="1"/>
  <c r="BD82" i="1"/>
  <c r="BE82" i="1"/>
  <c r="BF82" i="1"/>
  <c r="BG82" i="1"/>
  <c r="BH82" i="1"/>
  <c r="BI82" i="1"/>
  <c r="BJ82" i="1"/>
  <c r="BK82" i="1"/>
  <c r="BL82" i="1"/>
  <c r="BM82" i="1"/>
  <c r="BN82" i="1"/>
  <c r="BO82" i="1"/>
  <c r="BP82" i="1"/>
  <c r="BQ82" i="1"/>
  <c r="BR82" i="1"/>
  <c r="BS82" i="1"/>
  <c r="BT82" i="1"/>
  <c r="BU82" i="1"/>
  <c r="BV82" i="1"/>
  <c r="BW82" i="1"/>
  <c r="BX82" i="1"/>
  <c r="BY82" i="1"/>
  <c r="BZ82" i="1"/>
  <c r="CA82" i="1"/>
  <c r="CB82" i="1"/>
  <c r="CC82" i="1"/>
  <c r="CD82" i="1"/>
  <c r="A83" i="1"/>
  <c r="B83" i="1"/>
  <c r="C83" i="1"/>
  <c r="D83" i="1"/>
  <c r="E83" i="1"/>
  <c r="G83" i="1"/>
  <c r="J83" i="1"/>
  <c r="M83" i="1"/>
  <c r="P83" i="1"/>
  <c r="Q83" i="1"/>
  <c r="R83" i="1"/>
  <c r="H83" i="1" s="1"/>
  <c r="T83" i="1"/>
  <c r="U83" i="1"/>
  <c r="V83" i="1"/>
  <c r="W83" i="1"/>
  <c r="Z83" i="1"/>
  <c r="AA83" i="1"/>
  <c r="AC83" i="1"/>
  <c r="AE83" i="1"/>
  <c r="AH83" i="1"/>
  <c r="AQ83" i="1"/>
  <c r="AR83" i="1"/>
  <c r="AS83" i="1"/>
  <c r="AT83" i="1"/>
  <c r="AU83" i="1"/>
  <c r="AV83" i="1"/>
  <c r="AW83" i="1"/>
  <c r="AX83" i="1"/>
  <c r="AY83" i="1"/>
  <c r="AZ83" i="1"/>
  <c r="BA83" i="1"/>
  <c r="BB83" i="1"/>
  <c r="BC83" i="1"/>
  <c r="BD83" i="1"/>
  <c r="BE83" i="1"/>
  <c r="BF83" i="1"/>
  <c r="BG83" i="1"/>
  <c r="BH83" i="1"/>
  <c r="BI83" i="1"/>
  <c r="BJ83" i="1"/>
  <c r="BK83" i="1"/>
  <c r="BL83" i="1"/>
  <c r="BM83" i="1"/>
  <c r="BN83" i="1"/>
  <c r="BO83" i="1"/>
  <c r="BP83" i="1"/>
  <c r="BQ83" i="1"/>
  <c r="BR83" i="1"/>
  <c r="BS83" i="1"/>
  <c r="BT83" i="1"/>
  <c r="BU83" i="1"/>
  <c r="BV83" i="1"/>
  <c r="BW83" i="1"/>
  <c r="BX83" i="1"/>
  <c r="BY83" i="1"/>
  <c r="BZ83" i="1"/>
  <c r="CA83" i="1"/>
  <c r="CB83" i="1"/>
  <c r="CC83" i="1"/>
  <c r="CD83" i="1"/>
  <c r="A84" i="1"/>
  <c r="B84" i="1"/>
  <c r="C84" i="1"/>
  <c r="D84" i="1"/>
  <c r="E84" i="1"/>
  <c r="G84" i="1"/>
  <c r="J84" i="1"/>
  <c r="M84" i="1"/>
  <c r="P84" i="1"/>
  <c r="Q84" i="1"/>
  <c r="R84" i="1"/>
  <c r="H84" i="1" s="1"/>
  <c r="T84" i="1"/>
  <c r="U84" i="1"/>
  <c r="V84" i="1"/>
  <c r="W84" i="1"/>
  <c r="Z84" i="1"/>
  <c r="AA84" i="1"/>
  <c r="AC84" i="1"/>
  <c r="AE84" i="1"/>
  <c r="AH84" i="1"/>
  <c r="AQ84" i="1"/>
  <c r="AR84" i="1"/>
  <c r="AS84" i="1"/>
  <c r="AT84" i="1"/>
  <c r="AU84" i="1"/>
  <c r="AV84" i="1"/>
  <c r="AW84" i="1"/>
  <c r="AX84" i="1"/>
  <c r="AY84" i="1"/>
  <c r="AZ84" i="1"/>
  <c r="BA84" i="1"/>
  <c r="BB84" i="1"/>
  <c r="BC84" i="1"/>
  <c r="BD84" i="1"/>
  <c r="BE84" i="1"/>
  <c r="BF84" i="1"/>
  <c r="BG84" i="1"/>
  <c r="BH84" i="1"/>
  <c r="BI84" i="1"/>
  <c r="BJ84" i="1"/>
  <c r="BK84" i="1"/>
  <c r="BL84" i="1"/>
  <c r="BM84" i="1"/>
  <c r="BN84" i="1"/>
  <c r="BO84" i="1"/>
  <c r="BP84" i="1"/>
  <c r="BQ84" i="1"/>
  <c r="BR84" i="1"/>
  <c r="BS84" i="1"/>
  <c r="BT84" i="1"/>
  <c r="BU84" i="1"/>
  <c r="BV84" i="1"/>
  <c r="BW84" i="1"/>
  <c r="BX84" i="1"/>
  <c r="BY84" i="1"/>
  <c r="BZ84" i="1"/>
  <c r="CA84" i="1"/>
  <c r="CB84" i="1"/>
  <c r="CC84" i="1"/>
  <c r="CD84" i="1"/>
  <c r="A85" i="1"/>
  <c r="B85" i="1"/>
  <c r="C85" i="1"/>
  <c r="D85" i="1"/>
  <c r="E85" i="1"/>
  <c r="G85" i="1"/>
  <c r="J85" i="1"/>
  <c r="M85" i="1"/>
  <c r="P85" i="1"/>
  <c r="Q85" i="1"/>
  <c r="R85" i="1"/>
  <c r="H85" i="1" s="1"/>
  <c r="T85" i="1"/>
  <c r="U85" i="1"/>
  <c r="V85" i="1"/>
  <c r="W85" i="1"/>
  <c r="Z85" i="1"/>
  <c r="AA85" i="1"/>
  <c r="AC85" i="1"/>
  <c r="AE85" i="1"/>
  <c r="AH85" i="1"/>
  <c r="AQ85" i="1"/>
  <c r="AR85" i="1"/>
  <c r="AS85" i="1"/>
  <c r="AT85" i="1"/>
  <c r="AU85" i="1"/>
  <c r="AV85" i="1"/>
  <c r="AW85" i="1"/>
  <c r="AX85" i="1"/>
  <c r="AY85" i="1"/>
  <c r="AZ85" i="1"/>
  <c r="BA85" i="1"/>
  <c r="BB85" i="1"/>
  <c r="BC85" i="1"/>
  <c r="BD85" i="1"/>
  <c r="BE85" i="1"/>
  <c r="BF85" i="1"/>
  <c r="BG85" i="1"/>
  <c r="BH85" i="1"/>
  <c r="BI85" i="1"/>
  <c r="BJ85" i="1"/>
  <c r="BK85" i="1"/>
  <c r="BL85" i="1"/>
  <c r="BM85" i="1"/>
  <c r="BN85" i="1"/>
  <c r="BO85" i="1"/>
  <c r="BP85" i="1"/>
  <c r="BQ85" i="1"/>
  <c r="BR85" i="1"/>
  <c r="BS85" i="1"/>
  <c r="BT85" i="1"/>
  <c r="BU85" i="1"/>
  <c r="BV85" i="1"/>
  <c r="BW85" i="1"/>
  <c r="BX85" i="1"/>
  <c r="BY85" i="1"/>
  <c r="BZ85" i="1"/>
  <c r="CA85" i="1"/>
  <c r="CB85" i="1"/>
  <c r="CC85" i="1"/>
  <c r="CD85" i="1"/>
  <c r="A86" i="1"/>
  <c r="B86" i="1"/>
  <c r="C86" i="1"/>
  <c r="D86" i="1"/>
  <c r="E86" i="1"/>
  <c r="G86" i="1"/>
  <c r="J86" i="1"/>
  <c r="M86" i="1"/>
  <c r="P86" i="1"/>
  <c r="Q86" i="1"/>
  <c r="R86" i="1"/>
  <c r="T86" i="1"/>
  <c r="U86" i="1"/>
  <c r="V86" i="1"/>
  <c r="W86" i="1"/>
  <c r="Z86" i="1"/>
  <c r="AA86" i="1"/>
  <c r="AC86" i="1"/>
  <c r="AE86" i="1"/>
  <c r="AH86" i="1"/>
  <c r="AQ86" i="1"/>
  <c r="AR86" i="1"/>
  <c r="AS86" i="1"/>
  <c r="AT86" i="1"/>
  <c r="AU86" i="1"/>
  <c r="AV86" i="1"/>
  <c r="AW86" i="1"/>
  <c r="AX86" i="1"/>
  <c r="AY86" i="1"/>
  <c r="AZ86" i="1"/>
  <c r="BA86" i="1"/>
  <c r="BB86" i="1"/>
  <c r="BC86" i="1"/>
  <c r="BD86" i="1"/>
  <c r="BE86" i="1"/>
  <c r="BF86" i="1"/>
  <c r="BG86" i="1"/>
  <c r="BH86" i="1"/>
  <c r="BI86" i="1"/>
  <c r="BJ86" i="1"/>
  <c r="BK86" i="1"/>
  <c r="BL86" i="1"/>
  <c r="BM86" i="1"/>
  <c r="BN86" i="1"/>
  <c r="BO86" i="1"/>
  <c r="BP86" i="1"/>
  <c r="BQ86" i="1"/>
  <c r="BR86" i="1"/>
  <c r="BS86" i="1"/>
  <c r="BT86" i="1"/>
  <c r="BU86" i="1"/>
  <c r="BV86" i="1"/>
  <c r="BW86" i="1"/>
  <c r="BX86" i="1"/>
  <c r="BY86" i="1"/>
  <c r="BZ86" i="1"/>
  <c r="CA86" i="1"/>
  <c r="CB86" i="1"/>
  <c r="CC86" i="1"/>
  <c r="CD86" i="1"/>
  <c r="A87" i="1"/>
  <c r="B87" i="1"/>
  <c r="C87" i="1"/>
  <c r="D87" i="1"/>
  <c r="E87" i="1"/>
  <c r="G87" i="1"/>
  <c r="J87" i="1"/>
  <c r="M87" i="1"/>
  <c r="P87" i="1"/>
  <c r="Q87" i="1"/>
  <c r="R87" i="1"/>
  <c r="H87" i="1" s="1"/>
  <c r="T87" i="1"/>
  <c r="U87" i="1"/>
  <c r="V87" i="1"/>
  <c r="W87" i="1"/>
  <c r="Z87" i="1"/>
  <c r="AA87" i="1"/>
  <c r="AC87" i="1"/>
  <c r="AE87" i="1"/>
  <c r="AH87" i="1"/>
  <c r="AQ87" i="1"/>
  <c r="AR87" i="1"/>
  <c r="AS87" i="1"/>
  <c r="AT87" i="1"/>
  <c r="AU87" i="1"/>
  <c r="AV87" i="1"/>
  <c r="AW87" i="1"/>
  <c r="AX87" i="1"/>
  <c r="AY87" i="1"/>
  <c r="AZ87" i="1"/>
  <c r="BA87" i="1"/>
  <c r="BB87" i="1"/>
  <c r="BC87" i="1"/>
  <c r="BD87" i="1"/>
  <c r="BE87" i="1"/>
  <c r="BF87" i="1"/>
  <c r="BG87" i="1"/>
  <c r="BH87" i="1"/>
  <c r="BI87" i="1"/>
  <c r="BJ87" i="1"/>
  <c r="BK87" i="1"/>
  <c r="BL87" i="1"/>
  <c r="BM87" i="1"/>
  <c r="BN87" i="1"/>
  <c r="BO87" i="1"/>
  <c r="BP87" i="1"/>
  <c r="BQ87" i="1"/>
  <c r="BR87" i="1"/>
  <c r="BS87" i="1"/>
  <c r="BT87" i="1"/>
  <c r="BU87" i="1"/>
  <c r="BV87" i="1"/>
  <c r="BW87" i="1"/>
  <c r="BX87" i="1"/>
  <c r="BY87" i="1"/>
  <c r="BZ87" i="1"/>
  <c r="CA87" i="1"/>
  <c r="CB87" i="1"/>
  <c r="CC87" i="1"/>
  <c r="CD87" i="1"/>
  <c r="A88" i="1"/>
  <c r="B88" i="1"/>
  <c r="C88" i="1"/>
  <c r="D88" i="1"/>
  <c r="E88" i="1"/>
  <c r="G88" i="1"/>
  <c r="J88" i="1"/>
  <c r="M88" i="1"/>
  <c r="P88" i="1"/>
  <c r="F88" i="1" s="1"/>
  <c r="Q88" i="1"/>
  <c r="R88" i="1"/>
  <c r="H88" i="1" s="1"/>
  <c r="T88" i="1"/>
  <c r="U88" i="1"/>
  <c r="V88" i="1"/>
  <c r="W88" i="1"/>
  <c r="Z88" i="1"/>
  <c r="AA88" i="1"/>
  <c r="AC88" i="1"/>
  <c r="AE88" i="1"/>
  <c r="AH88" i="1"/>
  <c r="AQ88" i="1"/>
  <c r="AR88" i="1"/>
  <c r="AS88" i="1"/>
  <c r="AT88" i="1"/>
  <c r="AU88" i="1"/>
  <c r="AV88" i="1"/>
  <c r="AW88" i="1"/>
  <c r="AX88" i="1"/>
  <c r="AY88" i="1"/>
  <c r="AZ88" i="1"/>
  <c r="BA88" i="1"/>
  <c r="BB88" i="1"/>
  <c r="BC88" i="1"/>
  <c r="BD88" i="1"/>
  <c r="BE88" i="1"/>
  <c r="BF88" i="1"/>
  <c r="BG88" i="1"/>
  <c r="BH88" i="1"/>
  <c r="BI88" i="1"/>
  <c r="BJ88" i="1"/>
  <c r="BK88" i="1"/>
  <c r="BL88" i="1"/>
  <c r="BM88" i="1"/>
  <c r="BN88" i="1"/>
  <c r="BO88" i="1"/>
  <c r="BP88" i="1"/>
  <c r="BQ88" i="1"/>
  <c r="BR88" i="1"/>
  <c r="BS88" i="1"/>
  <c r="BT88" i="1"/>
  <c r="BU88" i="1"/>
  <c r="BV88" i="1"/>
  <c r="BW88" i="1"/>
  <c r="BX88" i="1"/>
  <c r="BY88" i="1"/>
  <c r="BZ88" i="1"/>
  <c r="CA88" i="1"/>
  <c r="CB88" i="1"/>
  <c r="CC88" i="1"/>
  <c r="CD88" i="1"/>
  <c r="A89" i="1"/>
  <c r="B89" i="1"/>
  <c r="C89" i="1"/>
  <c r="D89" i="1"/>
  <c r="E89" i="1"/>
  <c r="G89" i="1"/>
  <c r="I89" i="1"/>
  <c r="J89" i="1"/>
  <c r="M89" i="1"/>
  <c r="P89" i="1"/>
  <c r="F89" i="1" s="1"/>
  <c r="Q89" i="1"/>
  <c r="R89" i="1"/>
  <c r="H89" i="1" s="1"/>
  <c r="T89" i="1"/>
  <c r="U89" i="1"/>
  <c r="V89" i="1"/>
  <c r="W89" i="1"/>
  <c r="Z89" i="1"/>
  <c r="AA89" i="1"/>
  <c r="AC89" i="1"/>
  <c r="AE89" i="1"/>
  <c r="AH89" i="1"/>
  <c r="AQ89" i="1"/>
  <c r="AR89" i="1"/>
  <c r="AS89" i="1"/>
  <c r="AT89" i="1"/>
  <c r="AU89" i="1"/>
  <c r="AV89" i="1"/>
  <c r="AW89" i="1"/>
  <c r="AX89" i="1"/>
  <c r="AY89" i="1"/>
  <c r="AZ89" i="1"/>
  <c r="BA89" i="1"/>
  <c r="BB89" i="1"/>
  <c r="BC89" i="1"/>
  <c r="BD89" i="1"/>
  <c r="BE89" i="1"/>
  <c r="BF89" i="1"/>
  <c r="BG89" i="1"/>
  <c r="BH89" i="1"/>
  <c r="BI89" i="1"/>
  <c r="BJ89" i="1"/>
  <c r="BK89" i="1"/>
  <c r="BL89" i="1"/>
  <c r="BM89" i="1"/>
  <c r="BN89" i="1"/>
  <c r="BO89" i="1"/>
  <c r="BP89" i="1"/>
  <c r="BQ89" i="1"/>
  <c r="BR89" i="1"/>
  <c r="BS89" i="1"/>
  <c r="BT89" i="1"/>
  <c r="BU89" i="1"/>
  <c r="BV89" i="1"/>
  <c r="BW89" i="1"/>
  <c r="BX89" i="1"/>
  <c r="BY89" i="1"/>
  <c r="BZ89" i="1"/>
  <c r="CA89" i="1"/>
  <c r="CB89" i="1"/>
  <c r="CC89" i="1"/>
  <c r="CD89" i="1"/>
  <c r="A90" i="1"/>
  <c r="B90" i="1"/>
  <c r="C90" i="1"/>
  <c r="D90" i="1"/>
  <c r="E90" i="1"/>
  <c r="G90" i="1"/>
  <c r="I90" i="1"/>
  <c r="J90" i="1"/>
  <c r="M90" i="1"/>
  <c r="P90" i="1"/>
  <c r="F90" i="1" s="1"/>
  <c r="Q90" i="1"/>
  <c r="R90" i="1"/>
  <c r="H90" i="1" s="1"/>
  <c r="T90" i="1"/>
  <c r="U90" i="1"/>
  <c r="V90" i="1"/>
  <c r="W90" i="1"/>
  <c r="Z90" i="1"/>
  <c r="AA90" i="1"/>
  <c r="AC90" i="1"/>
  <c r="AE90" i="1"/>
  <c r="AH90" i="1"/>
  <c r="AQ90" i="1"/>
  <c r="AR90" i="1"/>
  <c r="AS90" i="1"/>
  <c r="AT90" i="1"/>
  <c r="AU90" i="1"/>
  <c r="AV90" i="1"/>
  <c r="AW90" i="1"/>
  <c r="AX90" i="1"/>
  <c r="AY90" i="1"/>
  <c r="AZ90" i="1"/>
  <c r="BA90" i="1"/>
  <c r="BB90" i="1"/>
  <c r="BC90" i="1"/>
  <c r="BD90" i="1"/>
  <c r="BE90" i="1"/>
  <c r="BF90" i="1"/>
  <c r="BG90" i="1"/>
  <c r="BH90" i="1"/>
  <c r="BI90" i="1"/>
  <c r="BJ90" i="1"/>
  <c r="BK90" i="1"/>
  <c r="BL90" i="1"/>
  <c r="BM90" i="1"/>
  <c r="BN90" i="1"/>
  <c r="BO90" i="1"/>
  <c r="BP90" i="1"/>
  <c r="BQ90" i="1"/>
  <c r="BR90" i="1"/>
  <c r="BS90" i="1"/>
  <c r="BT90" i="1"/>
  <c r="BU90" i="1"/>
  <c r="BV90" i="1"/>
  <c r="BW90" i="1"/>
  <c r="BX90" i="1"/>
  <c r="BY90" i="1"/>
  <c r="BZ90" i="1"/>
  <c r="CA90" i="1"/>
  <c r="CB90" i="1"/>
  <c r="CC90" i="1"/>
  <c r="CD90" i="1"/>
  <c r="A91" i="1"/>
  <c r="B91" i="1"/>
  <c r="C91" i="1"/>
  <c r="D91" i="1"/>
  <c r="E91" i="1"/>
  <c r="G91" i="1"/>
  <c r="J91" i="1"/>
  <c r="M91" i="1"/>
  <c r="P91" i="1"/>
  <c r="Q91" i="1"/>
  <c r="R91" i="1"/>
  <c r="H91" i="1" s="1"/>
  <c r="T91" i="1"/>
  <c r="U91" i="1"/>
  <c r="V91" i="1"/>
  <c r="W91" i="1"/>
  <c r="Z91" i="1"/>
  <c r="AA91" i="1"/>
  <c r="AC91" i="1"/>
  <c r="AE91" i="1"/>
  <c r="AH91" i="1"/>
  <c r="AQ91" i="1"/>
  <c r="AR91" i="1"/>
  <c r="AS91" i="1"/>
  <c r="AT91" i="1"/>
  <c r="AU91" i="1"/>
  <c r="AV91" i="1"/>
  <c r="AW91" i="1"/>
  <c r="AX91" i="1"/>
  <c r="AY91" i="1"/>
  <c r="AZ91" i="1"/>
  <c r="BA91" i="1"/>
  <c r="BB91" i="1"/>
  <c r="BC91" i="1"/>
  <c r="BD91" i="1"/>
  <c r="BE91" i="1"/>
  <c r="BF91" i="1"/>
  <c r="BG91" i="1"/>
  <c r="BH91" i="1"/>
  <c r="BI91" i="1"/>
  <c r="BJ91" i="1"/>
  <c r="BK91" i="1"/>
  <c r="BL91" i="1"/>
  <c r="BM91" i="1"/>
  <c r="BN91" i="1"/>
  <c r="BO91" i="1"/>
  <c r="BP91" i="1"/>
  <c r="BQ91" i="1"/>
  <c r="BR91" i="1"/>
  <c r="BS91" i="1"/>
  <c r="BT91" i="1"/>
  <c r="BU91" i="1"/>
  <c r="BV91" i="1"/>
  <c r="BW91" i="1"/>
  <c r="BX91" i="1"/>
  <c r="BY91" i="1"/>
  <c r="BZ91" i="1"/>
  <c r="CA91" i="1"/>
  <c r="CB91" i="1"/>
  <c r="CC91" i="1"/>
  <c r="CD91" i="1"/>
  <c r="A92" i="1"/>
  <c r="B92" i="1"/>
  <c r="C92" i="1"/>
  <c r="D92" i="1"/>
  <c r="E92" i="1"/>
  <c r="G92" i="1"/>
  <c r="J92" i="1"/>
  <c r="M92" i="1"/>
  <c r="P92" i="1"/>
  <c r="Q92" i="1"/>
  <c r="R92" i="1"/>
  <c r="H92" i="1" s="1"/>
  <c r="T92" i="1"/>
  <c r="U92" i="1"/>
  <c r="V92" i="1"/>
  <c r="W92" i="1"/>
  <c r="Z92" i="1"/>
  <c r="AA92" i="1"/>
  <c r="AC92" i="1"/>
  <c r="AE92" i="1"/>
  <c r="AH92" i="1"/>
  <c r="AQ92" i="1"/>
  <c r="AR92" i="1"/>
  <c r="AS92" i="1"/>
  <c r="AT92" i="1"/>
  <c r="AU92" i="1"/>
  <c r="AV92" i="1"/>
  <c r="AW92" i="1"/>
  <c r="AX92" i="1"/>
  <c r="AY92" i="1"/>
  <c r="AZ92" i="1"/>
  <c r="BA92" i="1"/>
  <c r="BB92" i="1"/>
  <c r="BC92" i="1"/>
  <c r="BD92" i="1"/>
  <c r="BE92" i="1"/>
  <c r="BF92" i="1"/>
  <c r="BG92" i="1"/>
  <c r="BH92" i="1"/>
  <c r="BI92" i="1"/>
  <c r="BJ92" i="1"/>
  <c r="BK92" i="1"/>
  <c r="BL92" i="1"/>
  <c r="BM92" i="1"/>
  <c r="BN92" i="1"/>
  <c r="BO92" i="1"/>
  <c r="BP92" i="1"/>
  <c r="BQ92" i="1"/>
  <c r="BR92" i="1"/>
  <c r="BS92" i="1"/>
  <c r="BT92" i="1"/>
  <c r="BU92" i="1"/>
  <c r="BV92" i="1"/>
  <c r="BW92" i="1"/>
  <c r="BX92" i="1"/>
  <c r="BY92" i="1"/>
  <c r="BZ92" i="1"/>
  <c r="CA92" i="1"/>
  <c r="CB92" i="1"/>
  <c r="CC92" i="1"/>
  <c r="CD92" i="1"/>
  <c r="A93" i="1"/>
  <c r="B93" i="1"/>
  <c r="C93" i="1"/>
  <c r="D93" i="1"/>
  <c r="E93" i="1"/>
  <c r="G93" i="1"/>
  <c r="J93" i="1"/>
  <c r="M93" i="1"/>
  <c r="P93" i="1"/>
  <c r="Q93" i="1"/>
  <c r="R93" i="1"/>
  <c r="H93" i="1" s="1"/>
  <c r="T93" i="1"/>
  <c r="U93" i="1"/>
  <c r="V93" i="1"/>
  <c r="W93" i="1"/>
  <c r="Z93" i="1"/>
  <c r="AA93" i="1"/>
  <c r="AC93" i="1"/>
  <c r="AE93" i="1"/>
  <c r="AH93" i="1"/>
  <c r="AQ93" i="1"/>
  <c r="AR93" i="1"/>
  <c r="AS93" i="1"/>
  <c r="AT93" i="1"/>
  <c r="AU93" i="1"/>
  <c r="AV93" i="1"/>
  <c r="AW93" i="1"/>
  <c r="AX93" i="1"/>
  <c r="AY93" i="1"/>
  <c r="AZ93" i="1"/>
  <c r="BA93" i="1"/>
  <c r="BB93" i="1"/>
  <c r="BC93" i="1"/>
  <c r="BD93" i="1"/>
  <c r="BE93" i="1"/>
  <c r="BF93" i="1"/>
  <c r="BG93" i="1"/>
  <c r="BH93" i="1"/>
  <c r="BI93" i="1"/>
  <c r="BJ93" i="1"/>
  <c r="BK93" i="1"/>
  <c r="BL93" i="1"/>
  <c r="BM93" i="1"/>
  <c r="BN93" i="1"/>
  <c r="BO93" i="1"/>
  <c r="BP93" i="1"/>
  <c r="BQ93" i="1"/>
  <c r="BR93" i="1"/>
  <c r="BS93" i="1"/>
  <c r="BT93" i="1"/>
  <c r="BU93" i="1"/>
  <c r="BV93" i="1"/>
  <c r="BW93" i="1"/>
  <c r="BX93" i="1"/>
  <c r="BY93" i="1"/>
  <c r="BZ93" i="1"/>
  <c r="CA93" i="1"/>
  <c r="CB93" i="1"/>
  <c r="CC93" i="1"/>
  <c r="CD93" i="1"/>
  <c r="A94" i="1"/>
  <c r="B94" i="1"/>
  <c r="C94" i="1"/>
  <c r="D94" i="1"/>
  <c r="E94" i="1"/>
  <c r="G94" i="1"/>
  <c r="J94" i="1"/>
  <c r="M94" i="1"/>
  <c r="P94" i="1"/>
  <c r="Q94" i="1"/>
  <c r="R94" i="1"/>
  <c r="H94" i="1" s="1"/>
  <c r="T94" i="1"/>
  <c r="U94" i="1"/>
  <c r="V94" i="1"/>
  <c r="W94" i="1"/>
  <c r="Z94" i="1"/>
  <c r="AA94" i="1"/>
  <c r="AC94" i="1"/>
  <c r="AE94" i="1"/>
  <c r="AH94" i="1"/>
  <c r="AQ94" i="1"/>
  <c r="AR94" i="1"/>
  <c r="AS94" i="1"/>
  <c r="AT94" i="1"/>
  <c r="AU94" i="1"/>
  <c r="AV94" i="1"/>
  <c r="AW94" i="1"/>
  <c r="AX94" i="1"/>
  <c r="AY94" i="1"/>
  <c r="AZ94" i="1"/>
  <c r="BA94" i="1"/>
  <c r="BB94" i="1"/>
  <c r="BC94" i="1"/>
  <c r="BD94" i="1"/>
  <c r="BE94" i="1"/>
  <c r="BF94" i="1"/>
  <c r="BG94" i="1"/>
  <c r="BH94" i="1"/>
  <c r="BI94" i="1"/>
  <c r="BJ94" i="1"/>
  <c r="BK94" i="1"/>
  <c r="BL94" i="1"/>
  <c r="BM94" i="1"/>
  <c r="BN94" i="1"/>
  <c r="BO94" i="1"/>
  <c r="BP94" i="1"/>
  <c r="BQ94" i="1"/>
  <c r="BR94" i="1"/>
  <c r="BS94" i="1"/>
  <c r="BT94" i="1"/>
  <c r="BU94" i="1"/>
  <c r="BV94" i="1"/>
  <c r="BW94" i="1"/>
  <c r="BX94" i="1"/>
  <c r="BY94" i="1"/>
  <c r="BZ94" i="1"/>
  <c r="CA94" i="1"/>
  <c r="CB94" i="1"/>
  <c r="CC94" i="1"/>
  <c r="CD94" i="1"/>
  <c r="A95" i="1"/>
  <c r="B95" i="1"/>
  <c r="C95" i="1"/>
  <c r="D95" i="1"/>
  <c r="E95" i="1"/>
  <c r="G95" i="1"/>
  <c r="J95" i="1"/>
  <c r="M95" i="1"/>
  <c r="P95" i="1"/>
  <c r="Q95" i="1"/>
  <c r="R95" i="1"/>
  <c r="H95" i="1" s="1"/>
  <c r="T95" i="1"/>
  <c r="U95" i="1"/>
  <c r="V95" i="1"/>
  <c r="W95" i="1"/>
  <c r="Z95" i="1"/>
  <c r="AA95" i="1"/>
  <c r="AC95" i="1"/>
  <c r="AE95" i="1"/>
  <c r="AH95" i="1"/>
  <c r="AQ95" i="1"/>
  <c r="AR95" i="1"/>
  <c r="AS95" i="1"/>
  <c r="AT95" i="1"/>
  <c r="AU95" i="1"/>
  <c r="AV95" i="1"/>
  <c r="AW95" i="1"/>
  <c r="AX95" i="1"/>
  <c r="AY95" i="1"/>
  <c r="AZ95" i="1"/>
  <c r="BA95" i="1"/>
  <c r="BB95" i="1"/>
  <c r="BC95" i="1"/>
  <c r="BD95" i="1"/>
  <c r="BE95" i="1"/>
  <c r="BF95" i="1"/>
  <c r="BG95" i="1"/>
  <c r="BH95" i="1"/>
  <c r="BI95" i="1"/>
  <c r="BJ95" i="1"/>
  <c r="BK95" i="1"/>
  <c r="BL95" i="1"/>
  <c r="BM95" i="1"/>
  <c r="BN95" i="1"/>
  <c r="BO95" i="1"/>
  <c r="BP95" i="1"/>
  <c r="BQ95" i="1"/>
  <c r="BR95" i="1"/>
  <c r="BS95" i="1"/>
  <c r="BT95" i="1"/>
  <c r="BU95" i="1"/>
  <c r="BV95" i="1"/>
  <c r="BW95" i="1"/>
  <c r="BX95" i="1"/>
  <c r="BY95" i="1"/>
  <c r="BZ95" i="1"/>
  <c r="CA95" i="1"/>
  <c r="CB95" i="1"/>
  <c r="CC95" i="1"/>
  <c r="CD95" i="1"/>
  <c r="A96" i="1"/>
  <c r="B96" i="1"/>
  <c r="C96" i="1"/>
  <c r="D96" i="1"/>
  <c r="E96" i="1"/>
  <c r="G96" i="1"/>
  <c r="J96" i="1"/>
  <c r="M96" i="1"/>
  <c r="P96" i="1"/>
  <c r="Q96" i="1"/>
  <c r="R96" i="1"/>
  <c r="H96" i="1" s="1"/>
  <c r="T96" i="1"/>
  <c r="U96" i="1"/>
  <c r="V96" i="1"/>
  <c r="W96" i="1"/>
  <c r="Z96" i="1"/>
  <c r="AA96" i="1"/>
  <c r="AC96" i="1"/>
  <c r="AE96" i="1"/>
  <c r="AH96" i="1"/>
  <c r="AQ96" i="1"/>
  <c r="AR96" i="1"/>
  <c r="AS96" i="1"/>
  <c r="AT96" i="1"/>
  <c r="AU96" i="1"/>
  <c r="AV96" i="1"/>
  <c r="AW96" i="1"/>
  <c r="AX96" i="1"/>
  <c r="AY96" i="1"/>
  <c r="AZ96" i="1"/>
  <c r="BA96" i="1"/>
  <c r="BB96" i="1"/>
  <c r="BC96" i="1"/>
  <c r="BD96" i="1"/>
  <c r="BE96" i="1"/>
  <c r="BF96" i="1"/>
  <c r="BG96" i="1"/>
  <c r="BH96" i="1"/>
  <c r="BI96" i="1"/>
  <c r="BJ96" i="1"/>
  <c r="BK96" i="1"/>
  <c r="BL96" i="1"/>
  <c r="BM96" i="1"/>
  <c r="BN96" i="1"/>
  <c r="BO96" i="1"/>
  <c r="BP96" i="1"/>
  <c r="BQ96" i="1"/>
  <c r="BR96" i="1"/>
  <c r="BS96" i="1"/>
  <c r="BT96" i="1"/>
  <c r="BU96" i="1"/>
  <c r="BV96" i="1"/>
  <c r="BW96" i="1"/>
  <c r="BX96" i="1"/>
  <c r="BY96" i="1"/>
  <c r="BZ96" i="1"/>
  <c r="CA96" i="1"/>
  <c r="CB96" i="1"/>
  <c r="CC96" i="1"/>
  <c r="CD96" i="1"/>
  <c r="A97" i="1"/>
  <c r="B97" i="1"/>
  <c r="C97" i="1"/>
  <c r="D97" i="1"/>
  <c r="E97" i="1"/>
  <c r="G97" i="1"/>
  <c r="J97" i="1"/>
  <c r="M97" i="1"/>
  <c r="P97" i="1"/>
  <c r="F97" i="1" s="1"/>
  <c r="Q97" i="1"/>
  <c r="R97" i="1"/>
  <c r="H97" i="1" s="1"/>
  <c r="T97" i="1"/>
  <c r="U97" i="1"/>
  <c r="V97" i="1"/>
  <c r="W97" i="1"/>
  <c r="Z97" i="1"/>
  <c r="AA97" i="1"/>
  <c r="AC97" i="1"/>
  <c r="AE97" i="1"/>
  <c r="AH97" i="1"/>
  <c r="AQ97" i="1"/>
  <c r="AR97" i="1"/>
  <c r="AS97" i="1"/>
  <c r="AT97" i="1"/>
  <c r="AU97" i="1"/>
  <c r="AV97" i="1"/>
  <c r="AW97" i="1"/>
  <c r="AX97" i="1"/>
  <c r="AY97" i="1"/>
  <c r="AZ97" i="1"/>
  <c r="BA97" i="1"/>
  <c r="BB97" i="1"/>
  <c r="BC97" i="1"/>
  <c r="BD97" i="1"/>
  <c r="BE97" i="1"/>
  <c r="BF97" i="1"/>
  <c r="BG97" i="1"/>
  <c r="BH97" i="1"/>
  <c r="BI97" i="1"/>
  <c r="BJ97" i="1"/>
  <c r="BK97" i="1"/>
  <c r="BL97" i="1"/>
  <c r="BM97" i="1"/>
  <c r="BN97" i="1"/>
  <c r="BO97" i="1"/>
  <c r="BP97" i="1"/>
  <c r="BQ97" i="1"/>
  <c r="BR97" i="1"/>
  <c r="BS97" i="1"/>
  <c r="BT97" i="1"/>
  <c r="BU97" i="1"/>
  <c r="BV97" i="1"/>
  <c r="BW97" i="1"/>
  <c r="BX97" i="1"/>
  <c r="BY97" i="1"/>
  <c r="BZ97" i="1"/>
  <c r="CA97" i="1"/>
  <c r="CB97" i="1"/>
  <c r="CC97" i="1"/>
  <c r="CD97" i="1"/>
  <c r="A98" i="1"/>
  <c r="B98" i="1"/>
  <c r="C98" i="1"/>
  <c r="D98" i="1"/>
  <c r="E98" i="1"/>
  <c r="G98" i="1"/>
  <c r="J98" i="1"/>
  <c r="M98" i="1"/>
  <c r="P98" i="1"/>
  <c r="Q98" i="1"/>
  <c r="R98" i="1"/>
  <c r="T98" i="1"/>
  <c r="U98" i="1"/>
  <c r="V98" i="1"/>
  <c r="W98" i="1"/>
  <c r="Z98" i="1"/>
  <c r="AA98" i="1"/>
  <c r="AC98" i="1"/>
  <c r="AE98" i="1"/>
  <c r="AH98" i="1"/>
  <c r="AQ98" i="1"/>
  <c r="AR98" i="1"/>
  <c r="AS98" i="1"/>
  <c r="AT98" i="1"/>
  <c r="AU98" i="1"/>
  <c r="AV98" i="1"/>
  <c r="AW98" i="1"/>
  <c r="AX98" i="1"/>
  <c r="AY98" i="1"/>
  <c r="AZ98" i="1"/>
  <c r="BA98" i="1"/>
  <c r="BB98" i="1"/>
  <c r="BC98" i="1"/>
  <c r="BD98" i="1"/>
  <c r="BE98" i="1"/>
  <c r="BF98" i="1"/>
  <c r="BG98" i="1"/>
  <c r="BH98" i="1"/>
  <c r="BI98" i="1"/>
  <c r="BJ98" i="1"/>
  <c r="BK98" i="1"/>
  <c r="BL98" i="1"/>
  <c r="BM98" i="1"/>
  <c r="BN98" i="1"/>
  <c r="BO98" i="1"/>
  <c r="BP98" i="1"/>
  <c r="BQ98" i="1"/>
  <c r="BR98" i="1"/>
  <c r="BS98" i="1"/>
  <c r="BT98" i="1"/>
  <c r="BU98" i="1"/>
  <c r="BV98" i="1"/>
  <c r="BW98" i="1"/>
  <c r="BX98" i="1"/>
  <c r="BY98" i="1"/>
  <c r="BZ98" i="1"/>
  <c r="CA98" i="1"/>
  <c r="CB98" i="1"/>
  <c r="CC98" i="1"/>
  <c r="CD98" i="1"/>
  <c r="A99" i="1"/>
  <c r="B99" i="1"/>
  <c r="C99" i="1"/>
  <c r="D99" i="1"/>
  <c r="E99" i="1"/>
  <c r="G99" i="1"/>
  <c r="J99" i="1"/>
  <c r="M99" i="1"/>
  <c r="P99" i="1"/>
  <c r="Q99" i="1"/>
  <c r="R99" i="1"/>
  <c r="H99" i="1" s="1"/>
  <c r="T99" i="1"/>
  <c r="U99" i="1"/>
  <c r="V99" i="1"/>
  <c r="W99" i="1"/>
  <c r="Z99" i="1"/>
  <c r="AA99" i="1"/>
  <c r="AC99" i="1"/>
  <c r="AE99" i="1"/>
  <c r="AH99" i="1"/>
  <c r="AQ99" i="1"/>
  <c r="AR99" i="1"/>
  <c r="AS99" i="1"/>
  <c r="AT99" i="1"/>
  <c r="AU99" i="1"/>
  <c r="AV99" i="1"/>
  <c r="AW99" i="1"/>
  <c r="AX99" i="1"/>
  <c r="AY99" i="1"/>
  <c r="AZ99" i="1"/>
  <c r="BA99" i="1"/>
  <c r="BB99" i="1"/>
  <c r="BC99" i="1"/>
  <c r="BD99" i="1"/>
  <c r="BE99" i="1"/>
  <c r="BF99" i="1"/>
  <c r="BG99" i="1"/>
  <c r="BH99" i="1"/>
  <c r="BI99" i="1"/>
  <c r="BJ99" i="1"/>
  <c r="BK99" i="1"/>
  <c r="BL99" i="1"/>
  <c r="BM99" i="1"/>
  <c r="BN99" i="1"/>
  <c r="BO99" i="1"/>
  <c r="BP99" i="1"/>
  <c r="BQ99" i="1"/>
  <c r="BR99" i="1"/>
  <c r="BS99" i="1"/>
  <c r="BT99" i="1"/>
  <c r="BU99" i="1"/>
  <c r="BV99" i="1"/>
  <c r="BW99" i="1"/>
  <c r="BX99" i="1"/>
  <c r="BY99" i="1"/>
  <c r="BZ99" i="1"/>
  <c r="CA99" i="1"/>
  <c r="CB99" i="1"/>
  <c r="CC99" i="1"/>
  <c r="CD99" i="1"/>
  <c r="A100" i="1"/>
  <c r="B100" i="1"/>
  <c r="C100" i="1"/>
  <c r="D100" i="1"/>
  <c r="E100" i="1"/>
  <c r="G100" i="1"/>
  <c r="J100" i="1"/>
  <c r="M100" i="1"/>
  <c r="P100" i="1"/>
  <c r="Q100" i="1"/>
  <c r="R100" i="1"/>
  <c r="H100" i="1" s="1"/>
  <c r="T100" i="1"/>
  <c r="U100" i="1"/>
  <c r="V100" i="1"/>
  <c r="W100" i="1"/>
  <c r="Z100" i="1"/>
  <c r="AA100" i="1"/>
  <c r="AC100" i="1"/>
  <c r="AE100" i="1"/>
  <c r="AH100" i="1"/>
  <c r="AQ100" i="1"/>
  <c r="AR100" i="1"/>
  <c r="AS100" i="1"/>
  <c r="AT100" i="1"/>
  <c r="AU100" i="1"/>
  <c r="AV100" i="1"/>
  <c r="AW100" i="1"/>
  <c r="AX100" i="1"/>
  <c r="AY100" i="1"/>
  <c r="AZ100" i="1"/>
  <c r="BA100" i="1"/>
  <c r="BB100" i="1"/>
  <c r="BC100" i="1"/>
  <c r="BD100" i="1"/>
  <c r="BE100" i="1"/>
  <c r="BF100" i="1"/>
  <c r="BG100" i="1"/>
  <c r="BH100" i="1"/>
  <c r="BI100" i="1"/>
  <c r="BJ100" i="1"/>
  <c r="BK100" i="1"/>
  <c r="BL100" i="1"/>
  <c r="BM100" i="1"/>
  <c r="BN100" i="1"/>
  <c r="BO100" i="1"/>
  <c r="BP100" i="1"/>
  <c r="BQ100" i="1"/>
  <c r="BR100" i="1"/>
  <c r="BS100" i="1"/>
  <c r="BT100" i="1"/>
  <c r="BU100" i="1"/>
  <c r="BV100" i="1"/>
  <c r="BW100" i="1"/>
  <c r="BX100" i="1"/>
  <c r="BY100" i="1"/>
  <c r="BZ100" i="1"/>
  <c r="CA100" i="1"/>
  <c r="CB100" i="1"/>
  <c r="CC100" i="1"/>
  <c r="CD100" i="1"/>
  <c r="A101" i="1"/>
  <c r="B101" i="1"/>
  <c r="C101" i="1"/>
  <c r="D101" i="1"/>
  <c r="E101" i="1"/>
  <c r="G101" i="1"/>
  <c r="J101" i="1"/>
  <c r="M101" i="1"/>
  <c r="P101" i="1"/>
  <c r="Q101" i="1"/>
  <c r="R101" i="1"/>
  <c r="T101" i="1"/>
  <c r="U101" i="1"/>
  <c r="V101" i="1"/>
  <c r="W101" i="1"/>
  <c r="Z101" i="1"/>
  <c r="AA101" i="1"/>
  <c r="AC101" i="1"/>
  <c r="AE101" i="1"/>
  <c r="AH101" i="1"/>
  <c r="AQ101" i="1"/>
  <c r="AR101" i="1"/>
  <c r="AS101" i="1"/>
  <c r="AT101" i="1"/>
  <c r="AU101" i="1"/>
  <c r="AV101" i="1"/>
  <c r="AW101" i="1"/>
  <c r="AX101" i="1"/>
  <c r="AY101" i="1"/>
  <c r="AZ101" i="1"/>
  <c r="BA101" i="1"/>
  <c r="BB101" i="1"/>
  <c r="BC101" i="1"/>
  <c r="BD101" i="1"/>
  <c r="BE101" i="1"/>
  <c r="BF101" i="1"/>
  <c r="BG101" i="1"/>
  <c r="BH101" i="1"/>
  <c r="BI101" i="1"/>
  <c r="BJ101" i="1"/>
  <c r="BK101" i="1"/>
  <c r="BL101" i="1"/>
  <c r="BM101" i="1"/>
  <c r="BN101" i="1"/>
  <c r="BO101" i="1"/>
  <c r="BP101" i="1"/>
  <c r="BQ101" i="1"/>
  <c r="BR101" i="1"/>
  <c r="BS101" i="1"/>
  <c r="BT101" i="1"/>
  <c r="BU101" i="1"/>
  <c r="BV101" i="1"/>
  <c r="BW101" i="1"/>
  <c r="BX101" i="1"/>
  <c r="BY101" i="1"/>
  <c r="BZ101" i="1"/>
  <c r="CA101" i="1"/>
  <c r="CB101" i="1"/>
  <c r="CC101" i="1"/>
  <c r="CD101" i="1"/>
  <c r="A102" i="1"/>
  <c r="B102" i="1"/>
  <c r="C102" i="1"/>
  <c r="D102" i="1"/>
  <c r="E102" i="1"/>
  <c r="G102" i="1"/>
  <c r="J102" i="1"/>
  <c r="M102" i="1"/>
  <c r="P102" i="1"/>
  <c r="Q102" i="1"/>
  <c r="R102" i="1"/>
  <c r="H102" i="1" s="1"/>
  <c r="T102" i="1"/>
  <c r="U102" i="1"/>
  <c r="V102" i="1"/>
  <c r="W102" i="1"/>
  <c r="Z102" i="1"/>
  <c r="AA102" i="1"/>
  <c r="AC102" i="1"/>
  <c r="AE102" i="1"/>
  <c r="AH102" i="1"/>
  <c r="AQ102" i="1"/>
  <c r="AR102" i="1"/>
  <c r="AS102" i="1"/>
  <c r="AT102" i="1"/>
  <c r="AU102" i="1"/>
  <c r="AV102" i="1"/>
  <c r="AW102" i="1"/>
  <c r="AX102" i="1"/>
  <c r="AY102" i="1"/>
  <c r="AZ102" i="1"/>
  <c r="BA102" i="1"/>
  <c r="BB102" i="1"/>
  <c r="BC102" i="1"/>
  <c r="BD102" i="1"/>
  <c r="BE102" i="1"/>
  <c r="BF102" i="1"/>
  <c r="BG102" i="1"/>
  <c r="BH102" i="1"/>
  <c r="BI102" i="1"/>
  <c r="BJ102" i="1"/>
  <c r="BK102" i="1"/>
  <c r="BL102" i="1"/>
  <c r="BM102" i="1"/>
  <c r="BN102" i="1"/>
  <c r="BO102" i="1"/>
  <c r="BP102" i="1"/>
  <c r="BQ102" i="1"/>
  <c r="BR102" i="1"/>
  <c r="BS102" i="1"/>
  <c r="BT102" i="1"/>
  <c r="BU102" i="1"/>
  <c r="BV102" i="1"/>
  <c r="BW102" i="1"/>
  <c r="BX102" i="1"/>
  <c r="BY102" i="1"/>
  <c r="BZ102" i="1"/>
  <c r="CA102" i="1"/>
  <c r="CB102" i="1"/>
  <c r="CC102" i="1"/>
  <c r="CD102" i="1"/>
  <c r="A103" i="1"/>
  <c r="B103" i="1"/>
  <c r="C103" i="1"/>
  <c r="D103" i="1"/>
  <c r="E103" i="1"/>
  <c r="G103" i="1"/>
  <c r="J103" i="1"/>
  <c r="M103" i="1"/>
  <c r="P103" i="1"/>
  <c r="F103" i="1" s="1"/>
  <c r="Q103" i="1"/>
  <c r="R103" i="1"/>
  <c r="H103" i="1" s="1"/>
  <c r="T103" i="1"/>
  <c r="U103" i="1"/>
  <c r="V103" i="1"/>
  <c r="W103" i="1"/>
  <c r="Z103" i="1"/>
  <c r="AA103" i="1"/>
  <c r="AC103" i="1"/>
  <c r="AE103" i="1"/>
  <c r="AH103" i="1"/>
  <c r="AQ103" i="1"/>
  <c r="AR103" i="1"/>
  <c r="AS103" i="1"/>
  <c r="AT103" i="1"/>
  <c r="AU103" i="1"/>
  <c r="AV103" i="1"/>
  <c r="AW103" i="1"/>
  <c r="AX103" i="1"/>
  <c r="AY103" i="1"/>
  <c r="AZ103" i="1"/>
  <c r="BA103" i="1"/>
  <c r="BB103" i="1"/>
  <c r="BC103" i="1"/>
  <c r="BD103" i="1"/>
  <c r="BE103" i="1"/>
  <c r="BF103" i="1"/>
  <c r="BG103" i="1"/>
  <c r="BH103" i="1"/>
  <c r="BI103" i="1"/>
  <c r="BJ103" i="1"/>
  <c r="BK103" i="1"/>
  <c r="BL103" i="1"/>
  <c r="BM103" i="1"/>
  <c r="BN103" i="1"/>
  <c r="BO103" i="1"/>
  <c r="BP103" i="1"/>
  <c r="BQ103" i="1"/>
  <c r="BR103" i="1"/>
  <c r="BS103" i="1"/>
  <c r="BT103" i="1"/>
  <c r="BU103" i="1"/>
  <c r="BV103" i="1"/>
  <c r="BW103" i="1"/>
  <c r="BX103" i="1"/>
  <c r="BY103" i="1"/>
  <c r="BZ103" i="1"/>
  <c r="CA103" i="1"/>
  <c r="CB103" i="1"/>
  <c r="CC103" i="1"/>
  <c r="CD103" i="1"/>
  <c r="A104" i="1"/>
  <c r="B104" i="1"/>
  <c r="C104" i="1"/>
  <c r="D104" i="1"/>
  <c r="E104" i="1"/>
  <c r="G104" i="1"/>
  <c r="J104" i="1"/>
  <c r="M104" i="1"/>
  <c r="P104" i="1"/>
  <c r="Q104" i="1"/>
  <c r="R104" i="1"/>
  <c r="H104" i="1" s="1"/>
  <c r="T104" i="1"/>
  <c r="U104" i="1"/>
  <c r="V104" i="1"/>
  <c r="W104" i="1"/>
  <c r="Z104" i="1"/>
  <c r="AA104" i="1"/>
  <c r="AC104" i="1"/>
  <c r="AE104" i="1"/>
  <c r="AH104" i="1"/>
  <c r="AQ104" i="1"/>
  <c r="AR104" i="1"/>
  <c r="AS104" i="1"/>
  <c r="AT104" i="1"/>
  <c r="AU104" i="1"/>
  <c r="AV104" i="1"/>
  <c r="AW104" i="1"/>
  <c r="AX104" i="1"/>
  <c r="AY104" i="1"/>
  <c r="AZ104" i="1"/>
  <c r="BA104" i="1"/>
  <c r="BB104" i="1"/>
  <c r="BC104" i="1"/>
  <c r="BD104" i="1"/>
  <c r="BE104" i="1"/>
  <c r="BF104" i="1"/>
  <c r="BG104" i="1"/>
  <c r="BH104" i="1"/>
  <c r="BI104" i="1"/>
  <c r="BJ104" i="1"/>
  <c r="BK104" i="1"/>
  <c r="BL104" i="1"/>
  <c r="BM104" i="1"/>
  <c r="BN104" i="1"/>
  <c r="BO104" i="1"/>
  <c r="BP104" i="1"/>
  <c r="BQ104" i="1"/>
  <c r="BR104" i="1"/>
  <c r="BS104" i="1"/>
  <c r="BT104" i="1"/>
  <c r="BU104" i="1"/>
  <c r="BV104" i="1"/>
  <c r="BW104" i="1"/>
  <c r="BX104" i="1"/>
  <c r="BY104" i="1"/>
  <c r="BZ104" i="1"/>
  <c r="CA104" i="1"/>
  <c r="CB104" i="1"/>
  <c r="CC104" i="1"/>
  <c r="CD104" i="1"/>
  <c r="A105" i="1"/>
  <c r="B105" i="1"/>
  <c r="C105" i="1"/>
  <c r="D105" i="1"/>
  <c r="E105" i="1"/>
  <c r="G105" i="1"/>
  <c r="J105" i="1"/>
  <c r="M105" i="1"/>
  <c r="P105" i="1"/>
  <c r="Q105" i="1"/>
  <c r="R105" i="1"/>
  <c r="H105" i="1" s="1"/>
  <c r="T105" i="1"/>
  <c r="U105" i="1"/>
  <c r="V105" i="1"/>
  <c r="W105" i="1"/>
  <c r="Z105" i="1"/>
  <c r="AA105" i="1"/>
  <c r="AC105" i="1"/>
  <c r="AE105" i="1"/>
  <c r="AH105" i="1"/>
  <c r="AQ105" i="1"/>
  <c r="AR105" i="1"/>
  <c r="AS105" i="1"/>
  <c r="AT105" i="1"/>
  <c r="AU105" i="1"/>
  <c r="AV105" i="1"/>
  <c r="AW105" i="1"/>
  <c r="AX105" i="1"/>
  <c r="AY105" i="1"/>
  <c r="AZ105" i="1"/>
  <c r="BA105" i="1"/>
  <c r="BB105" i="1"/>
  <c r="BC105" i="1"/>
  <c r="BD105" i="1"/>
  <c r="BE105" i="1"/>
  <c r="BF105" i="1"/>
  <c r="BG105" i="1"/>
  <c r="BH105" i="1"/>
  <c r="BI105" i="1"/>
  <c r="BJ105" i="1"/>
  <c r="BK105" i="1"/>
  <c r="BL105" i="1"/>
  <c r="BM105" i="1"/>
  <c r="BN105" i="1"/>
  <c r="BO105" i="1"/>
  <c r="BP105" i="1"/>
  <c r="BQ105" i="1"/>
  <c r="BR105" i="1"/>
  <c r="BS105" i="1"/>
  <c r="BT105" i="1"/>
  <c r="BU105" i="1"/>
  <c r="BV105" i="1"/>
  <c r="BW105" i="1"/>
  <c r="BX105" i="1"/>
  <c r="BY105" i="1"/>
  <c r="BZ105" i="1"/>
  <c r="CA105" i="1"/>
  <c r="CB105" i="1"/>
  <c r="CC105" i="1"/>
  <c r="CD105" i="1"/>
  <c r="A106" i="1"/>
  <c r="B106" i="1"/>
  <c r="C106" i="1"/>
  <c r="D106" i="1"/>
  <c r="E106" i="1"/>
  <c r="G106" i="1"/>
  <c r="I106" i="1"/>
  <c r="J106" i="1"/>
  <c r="M106" i="1"/>
  <c r="P106" i="1"/>
  <c r="F106" i="1" s="1"/>
  <c r="Q106" i="1"/>
  <c r="R106" i="1"/>
  <c r="H106" i="1" s="1"/>
  <c r="T106" i="1"/>
  <c r="U106" i="1"/>
  <c r="V106" i="1"/>
  <c r="W106" i="1"/>
  <c r="Z106" i="1"/>
  <c r="AA106" i="1"/>
  <c r="AC106" i="1"/>
  <c r="AE106" i="1"/>
  <c r="AH106" i="1"/>
  <c r="AQ106" i="1"/>
  <c r="AR106" i="1"/>
  <c r="AS106" i="1"/>
  <c r="AT106" i="1"/>
  <c r="AU106" i="1"/>
  <c r="AV106" i="1"/>
  <c r="AW106" i="1"/>
  <c r="AX106" i="1"/>
  <c r="AY106" i="1"/>
  <c r="AZ106" i="1"/>
  <c r="BA106" i="1"/>
  <c r="BB106" i="1"/>
  <c r="BC106" i="1"/>
  <c r="BD106" i="1"/>
  <c r="BE106" i="1"/>
  <c r="BF106" i="1"/>
  <c r="BG106" i="1"/>
  <c r="BH106" i="1"/>
  <c r="BI106" i="1"/>
  <c r="BJ106" i="1"/>
  <c r="BK106" i="1"/>
  <c r="BL106" i="1"/>
  <c r="BM106" i="1"/>
  <c r="BN106" i="1"/>
  <c r="BO106" i="1"/>
  <c r="BP106" i="1"/>
  <c r="BQ106" i="1"/>
  <c r="BR106" i="1"/>
  <c r="BS106" i="1"/>
  <c r="BT106" i="1"/>
  <c r="BU106" i="1"/>
  <c r="BV106" i="1"/>
  <c r="BW106" i="1"/>
  <c r="BX106" i="1"/>
  <c r="BY106" i="1"/>
  <c r="BZ106" i="1"/>
  <c r="CA106" i="1"/>
  <c r="CB106" i="1"/>
  <c r="CC106" i="1"/>
  <c r="CD106" i="1"/>
  <c r="A107" i="1"/>
  <c r="B107" i="1"/>
  <c r="C107" i="1"/>
  <c r="D107" i="1"/>
  <c r="E107" i="1"/>
  <c r="G107" i="1"/>
  <c r="I107" i="1"/>
  <c r="J107" i="1"/>
  <c r="M107" i="1"/>
  <c r="P107" i="1"/>
  <c r="F107" i="1" s="1"/>
  <c r="Q107" i="1"/>
  <c r="R107" i="1"/>
  <c r="H107" i="1" s="1"/>
  <c r="T107" i="1"/>
  <c r="U107" i="1"/>
  <c r="V107" i="1"/>
  <c r="W107" i="1"/>
  <c r="Z107" i="1"/>
  <c r="AA107" i="1"/>
  <c r="AC107" i="1"/>
  <c r="AE107" i="1"/>
  <c r="AH107" i="1"/>
  <c r="AQ107" i="1"/>
  <c r="AR107" i="1"/>
  <c r="AS107" i="1"/>
  <c r="AT107" i="1"/>
  <c r="AU107" i="1"/>
  <c r="AV107" i="1"/>
  <c r="AW107" i="1"/>
  <c r="AX107" i="1"/>
  <c r="AY107" i="1"/>
  <c r="AZ107" i="1"/>
  <c r="BA107" i="1"/>
  <c r="BB107" i="1"/>
  <c r="BC107" i="1"/>
  <c r="BD107" i="1"/>
  <c r="BE107" i="1"/>
  <c r="BF107" i="1"/>
  <c r="BG107" i="1"/>
  <c r="BH107" i="1"/>
  <c r="BI107" i="1"/>
  <c r="BJ107" i="1"/>
  <c r="BK107" i="1"/>
  <c r="BL107" i="1"/>
  <c r="BM107" i="1"/>
  <c r="BN107" i="1"/>
  <c r="BO107" i="1"/>
  <c r="BP107" i="1"/>
  <c r="BQ107" i="1"/>
  <c r="BR107" i="1"/>
  <c r="BS107" i="1"/>
  <c r="BT107" i="1"/>
  <c r="BU107" i="1"/>
  <c r="BV107" i="1"/>
  <c r="BW107" i="1"/>
  <c r="BX107" i="1"/>
  <c r="BY107" i="1"/>
  <c r="BZ107" i="1"/>
  <c r="CA107" i="1"/>
  <c r="CB107" i="1"/>
  <c r="CC107" i="1"/>
  <c r="CD107" i="1"/>
  <c r="A108" i="1"/>
  <c r="B108" i="1"/>
  <c r="C108" i="1"/>
  <c r="D108" i="1"/>
  <c r="E108" i="1"/>
  <c r="G108" i="1"/>
  <c r="I108" i="1"/>
  <c r="J108" i="1"/>
  <c r="M108" i="1"/>
  <c r="P108" i="1"/>
  <c r="F108" i="1" s="1"/>
  <c r="Q108" i="1"/>
  <c r="R108" i="1"/>
  <c r="H108" i="1" s="1"/>
  <c r="T108" i="1"/>
  <c r="U108" i="1"/>
  <c r="V108" i="1"/>
  <c r="W108" i="1"/>
  <c r="Z108" i="1"/>
  <c r="AA108" i="1"/>
  <c r="AC108" i="1"/>
  <c r="AE108" i="1"/>
  <c r="AH108" i="1"/>
  <c r="AQ108" i="1"/>
  <c r="AR108" i="1"/>
  <c r="AS108" i="1"/>
  <c r="AT108" i="1"/>
  <c r="AU108" i="1"/>
  <c r="AV108" i="1"/>
  <c r="AW108" i="1"/>
  <c r="AX108" i="1"/>
  <c r="AY108" i="1"/>
  <c r="AZ108" i="1"/>
  <c r="BA108" i="1"/>
  <c r="BB108" i="1"/>
  <c r="BC108" i="1"/>
  <c r="BD108" i="1"/>
  <c r="BE108" i="1"/>
  <c r="BF108" i="1"/>
  <c r="BG108" i="1"/>
  <c r="BH108" i="1"/>
  <c r="BI108" i="1"/>
  <c r="BJ108" i="1"/>
  <c r="BK108" i="1"/>
  <c r="BL108" i="1"/>
  <c r="BM108" i="1"/>
  <c r="BN108" i="1"/>
  <c r="BO108" i="1"/>
  <c r="BP108" i="1"/>
  <c r="BQ108" i="1"/>
  <c r="BR108" i="1"/>
  <c r="BS108" i="1"/>
  <c r="BT108" i="1"/>
  <c r="BU108" i="1"/>
  <c r="BV108" i="1"/>
  <c r="BW108" i="1"/>
  <c r="BX108" i="1"/>
  <c r="BY108" i="1"/>
  <c r="BZ108" i="1"/>
  <c r="CA108" i="1"/>
  <c r="CB108" i="1"/>
  <c r="CC108" i="1"/>
  <c r="CD108" i="1"/>
  <c r="A109" i="1"/>
  <c r="B109" i="1"/>
  <c r="C109" i="1"/>
  <c r="D109" i="1"/>
  <c r="E109" i="1"/>
  <c r="G109" i="1"/>
  <c r="J109" i="1"/>
  <c r="M109" i="1"/>
  <c r="P109" i="1"/>
  <c r="Q109" i="1"/>
  <c r="R109" i="1"/>
  <c r="H109" i="1" s="1"/>
  <c r="T109" i="1"/>
  <c r="U109" i="1"/>
  <c r="V109" i="1"/>
  <c r="W109" i="1"/>
  <c r="Z109" i="1"/>
  <c r="AA109" i="1"/>
  <c r="AC109" i="1"/>
  <c r="AE109" i="1"/>
  <c r="AH109" i="1"/>
  <c r="AQ109" i="1"/>
  <c r="AR109" i="1"/>
  <c r="AS109" i="1"/>
  <c r="AT109" i="1"/>
  <c r="AU109" i="1"/>
  <c r="AV109" i="1"/>
  <c r="AW109" i="1"/>
  <c r="AX109" i="1"/>
  <c r="AY109" i="1"/>
  <c r="AZ109" i="1"/>
  <c r="BA109" i="1"/>
  <c r="BB109" i="1"/>
  <c r="BC109" i="1"/>
  <c r="BD109" i="1"/>
  <c r="BE109" i="1"/>
  <c r="BF109" i="1"/>
  <c r="BG109" i="1"/>
  <c r="BH109" i="1"/>
  <c r="BI109" i="1"/>
  <c r="BJ109" i="1"/>
  <c r="BK109" i="1"/>
  <c r="BL109" i="1"/>
  <c r="BM109" i="1"/>
  <c r="BN109" i="1"/>
  <c r="BO109" i="1"/>
  <c r="BP109" i="1"/>
  <c r="BQ109" i="1"/>
  <c r="BR109" i="1"/>
  <c r="BS109" i="1"/>
  <c r="BT109" i="1"/>
  <c r="BU109" i="1"/>
  <c r="BV109" i="1"/>
  <c r="BW109" i="1"/>
  <c r="BX109" i="1"/>
  <c r="BY109" i="1"/>
  <c r="BZ109" i="1"/>
  <c r="CA109" i="1"/>
  <c r="CB109" i="1"/>
  <c r="CC109" i="1"/>
  <c r="CD109" i="1"/>
  <c r="A110" i="1"/>
  <c r="B110" i="1"/>
  <c r="C110" i="1"/>
  <c r="D110" i="1"/>
  <c r="E110" i="1"/>
  <c r="G110" i="1"/>
  <c r="I110" i="1"/>
  <c r="J110" i="1"/>
  <c r="M110" i="1"/>
  <c r="P110" i="1"/>
  <c r="F110" i="1" s="1"/>
  <c r="Q110" i="1"/>
  <c r="R110" i="1"/>
  <c r="H110" i="1" s="1"/>
  <c r="T110" i="1"/>
  <c r="U110" i="1"/>
  <c r="V110" i="1"/>
  <c r="W110" i="1"/>
  <c r="Z110" i="1"/>
  <c r="AA110" i="1"/>
  <c r="AC110" i="1"/>
  <c r="AE110" i="1"/>
  <c r="AH110" i="1"/>
  <c r="AQ110" i="1"/>
  <c r="AR110" i="1"/>
  <c r="AS110" i="1"/>
  <c r="AT110" i="1"/>
  <c r="AU110" i="1"/>
  <c r="AV110" i="1"/>
  <c r="AW110" i="1"/>
  <c r="AX110" i="1"/>
  <c r="AY110" i="1"/>
  <c r="AZ110" i="1"/>
  <c r="BA110" i="1"/>
  <c r="BB110" i="1"/>
  <c r="BC110" i="1"/>
  <c r="BD110" i="1"/>
  <c r="BE110" i="1"/>
  <c r="BF110" i="1"/>
  <c r="BG110" i="1"/>
  <c r="BH110" i="1"/>
  <c r="BI110" i="1"/>
  <c r="BJ110" i="1"/>
  <c r="BK110" i="1"/>
  <c r="BL110" i="1"/>
  <c r="BM110" i="1"/>
  <c r="BN110" i="1"/>
  <c r="BO110" i="1"/>
  <c r="BP110" i="1"/>
  <c r="BQ110" i="1"/>
  <c r="BR110" i="1"/>
  <c r="BS110" i="1"/>
  <c r="BT110" i="1"/>
  <c r="BU110" i="1"/>
  <c r="BV110" i="1"/>
  <c r="BW110" i="1"/>
  <c r="BX110" i="1"/>
  <c r="BY110" i="1"/>
  <c r="BZ110" i="1"/>
  <c r="CA110" i="1"/>
  <c r="CB110" i="1"/>
  <c r="CC110" i="1"/>
  <c r="CD110" i="1"/>
  <c r="A111" i="1"/>
  <c r="B111" i="1"/>
  <c r="C111" i="1"/>
  <c r="D111" i="1"/>
  <c r="E111" i="1"/>
  <c r="G111" i="1"/>
  <c r="J111" i="1"/>
  <c r="M111" i="1"/>
  <c r="P111" i="1"/>
  <c r="Q111" i="1"/>
  <c r="R111" i="1"/>
  <c r="H111" i="1" s="1"/>
  <c r="T111" i="1"/>
  <c r="U111" i="1"/>
  <c r="V111" i="1"/>
  <c r="W111" i="1"/>
  <c r="Z111" i="1"/>
  <c r="AA111" i="1"/>
  <c r="AC111" i="1"/>
  <c r="AE111" i="1"/>
  <c r="AH111" i="1"/>
  <c r="AQ111" i="1"/>
  <c r="AR111" i="1"/>
  <c r="AS111" i="1"/>
  <c r="AT111" i="1"/>
  <c r="AU111" i="1"/>
  <c r="AV111" i="1"/>
  <c r="AW111" i="1"/>
  <c r="AX111" i="1"/>
  <c r="AY111" i="1"/>
  <c r="AZ111" i="1"/>
  <c r="BA111" i="1"/>
  <c r="BB111" i="1"/>
  <c r="BC111" i="1"/>
  <c r="BD111" i="1"/>
  <c r="BE111" i="1"/>
  <c r="BF111" i="1"/>
  <c r="BG111" i="1"/>
  <c r="BH111" i="1"/>
  <c r="BI111" i="1"/>
  <c r="BJ111" i="1"/>
  <c r="BK111" i="1"/>
  <c r="BL111" i="1"/>
  <c r="BM111" i="1"/>
  <c r="BN111" i="1"/>
  <c r="BO111" i="1"/>
  <c r="BP111" i="1"/>
  <c r="BQ111" i="1"/>
  <c r="BR111" i="1"/>
  <c r="BS111" i="1"/>
  <c r="BT111" i="1"/>
  <c r="BU111" i="1"/>
  <c r="BV111" i="1"/>
  <c r="BW111" i="1"/>
  <c r="BX111" i="1"/>
  <c r="BY111" i="1"/>
  <c r="BZ111" i="1"/>
  <c r="CA111" i="1"/>
  <c r="CB111" i="1"/>
  <c r="CC111" i="1"/>
  <c r="CD111" i="1"/>
  <c r="A112" i="1"/>
  <c r="B112" i="1"/>
  <c r="C112" i="1"/>
  <c r="D112" i="1"/>
  <c r="E112" i="1"/>
  <c r="G112" i="1"/>
  <c r="I112" i="1"/>
  <c r="J112" i="1"/>
  <c r="M112" i="1"/>
  <c r="P112" i="1"/>
  <c r="F112" i="1" s="1"/>
  <c r="Q112" i="1"/>
  <c r="R112" i="1"/>
  <c r="H112" i="1" s="1"/>
  <c r="T112" i="1"/>
  <c r="U112" i="1"/>
  <c r="V112" i="1"/>
  <c r="W112" i="1"/>
  <c r="Z112" i="1"/>
  <c r="AA112" i="1"/>
  <c r="AC112" i="1"/>
  <c r="AE112" i="1"/>
  <c r="AH112" i="1"/>
  <c r="AQ112" i="1"/>
  <c r="AR112" i="1"/>
  <c r="AS112" i="1"/>
  <c r="AT112" i="1"/>
  <c r="AU112" i="1"/>
  <c r="AV112" i="1"/>
  <c r="AW112" i="1"/>
  <c r="AX112" i="1"/>
  <c r="AY112" i="1"/>
  <c r="AZ112" i="1"/>
  <c r="BA112" i="1"/>
  <c r="BB112" i="1"/>
  <c r="BC112" i="1"/>
  <c r="BD112" i="1"/>
  <c r="BE112" i="1"/>
  <c r="BF112" i="1"/>
  <c r="BG112" i="1"/>
  <c r="BH112" i="1"/>
  <c r="BI112" i="1"/>
  <c r="BJ112" i="1"/>
  <c r="BK112" i="1"/>
  <c r="BL112" i="1"/>
  <c r="BM112" i="1"/>
  <c r="BN112" i="1"/>
  <c r="BO112" i="1"/>
  <c r="BP112" i="1"/>
  <c r="BQ112" i="1"/>
  <c r="BR112" i="1"/>
  <c r="BS112" i="1"/>
  <c r="BT112" i="1"/>
  <c r="BU112" i="1"/>
  <c r="BV112" i="1"/>
  <c r="BW112" i="1"/>
  <c r="BX112" i="1"/>
  <c r="BY112" i="1"/>
  <c r="BZ112" i="1"/>
  <c r="CA112" i="1"/>
  <c r="CB112" i="1"/>
  <c r="CC112" i="1"/>
  <c r="CD112" i="1"/>
  <c r="A113" i="1"/>
  <c r="B113" i="1"/>
  <c r="C113" i="1"/>
  <c r="D113" i="1"/>
  <c r="E113" i="1"/>
  <c r="G113" i="1"/>
  <c r="I113" i="1"/>
  <c r="J113" i="1"/>
  <c r="M113" i="1"/>
  <c r="P113" i="1"/>
  <c r="F113" i="1" s="1"/>
  <c r="Q113" i="1"/>
  <c r="R113" i="1"/>
  <c r="H113" i="1" s="1"/>
  <c r="T113" i="1"/>
  <c r="U113" i="1"/>
  <c r="V113" i="1"/>
  <c r="W113" i="1"/>
  <c r="Z113" i="1"/>
  <c r="AA113" i="1"/>
  <c r="AC113" i="1"/>
  <c r="AE113" i="1"/>
  <c r="AH113" i="1"/>
  <c r="AQ113" i="1"/>
  <c r="AR113" i="1"/>
  <c r="AS113" i="1"/>
  <c r="AT113" i="1"/>
  <c r="AU113" i="1"/>
  <c r="AV113" i="1"/>
  <c r="AW113" i="1"/>
  <c r="AX113" i="1"/>
  <c r="AY113" i="1"/>
  <c r="AZ113" i="1"/>
  <c r="BA113" i="1"/>
  <c r="BB113" i="1"/>
  <c r="BC113" i="1"/>
  <c r="BD113" i="1"/>
  <c r="BE113" i="1"/>
  <c r="BF113" i="1"/>
  <c r="BG113" i="1"/>
  <c r="BH113" i="1"/>
  <c r="BI113" i="1"/>
  <c r="BJ113" i="1"/>
  <c r="BK113" i="1"/>
  <c r="BL113" i="1"/>
  <c r="BM113" i="1"/>
  <c r="BN113" i="1"/>
  <c r="BO113" i="1"/>
  <c r="BP113" i="1"/>
  <c r="BQ113" i="1"/>
  <c r="BR113" i="1"/>
  <c r="BS113" i="1"/>
  <c r="BT113" i="1"/>
  <c r="BU113" i="1"/>
  <c r="BV113" i="1"/>
  <c r="BW113" i="1"/>
  <c r="BX113" i="1"/>
  <c r="BY113" i="1"/>
  <c r="BZ113" i="1"/>
  <c r="CA113" i="1"/>
  <c r="CB113" i="1"/>
  <c r="CC113" i="1"/>
  <c r="CD113" i="1"/>
  <c r="A114" i="1"/>
  <c r="B114" i="1"/>
  <c r="C114" i="1"/>
  <c r="D114" i="1"/>
  <c r="E114" i="1"/>
  <c r="G114" i="1"/>
  <c r="I114" i="1"/>
  <c r="J114" i="1"/>
  <c r="M114" i="1"/>
  <c r="P114" i="1"/>
  <c r="F114" i="1" s="1"/>
  <c r="Q114" i="1"/>
  <c r="R114" i="1"/>
  <c r="H114" i="1" s="1"/>
  <c r="T114" i="1"/>
  <c r="U114" i="1"/>
  <c r="V114" i="1"/>
  <c r="W114" i="1"/>
  <c r="Z114" i="1"/>
  <c r="AA114" i="1"/>
  <c r="AC114" i="1"/>
  <c r="AE114" i="1"/>
  <c r="AH114" i="1"/>
  <c r="AQ114" i="1"/>
  <c r="AR114" i="1"/>
  <c r="AS114" i="1"/>
  <c r="AT114" i="1"/>
  <c r="AU114" i="1"/>
  <c r="AV114" i="1"/>
  <c r="AW114" i="1"/>
  <c r="AX114" i="1"/>
  <c r="AY114" i="1"/>
  <c r="AZ114" i="1"/>
  <c r="BA114" i="1"/>
  <c r="BB114" i="1"/>
  <c r="BC114" i="1"/>
  <c r="BD114" i="1"/>
  <c r="BE114" i="1"/>
  <c r="BF114" i="1"/>
  <c r="BG114" i="1"/>
  <c r="BH114" i="1"/>
  <c r="BI114" i="1"/>
  <c r="BJ114" i="1"/>
  <c r="BK114" i="1"/>
  <c r="BL114" i="1"/>
  <c r="BM114" i="1"/>
  <c r="BN114" i="1"/>
  <c r="BO114" i="1"/>
  <c r="BP114" i="1"/>
  <c r="BQ114" i="1"/>
  <c r="BR114" i="1"/>
  <c r="BS114" i="1"/>
  <c r="BT114" i="1"/>
  <c r="BU114" i="1"/>
  <c r="BV114" i="1"/>
  <c r="BW114" i="1"/>
  <c r="BX114" i="1"/>
  <c r="BY114" i="1"/>
  <c r="BZ114" i="1"/>
  <c r="CA114" i="1"/>
  <c r="CB114" i="1"/>
  <c r="CC114" i="1"/>
  <c r="CD114" i="1"/>
  <c r="A115" i="1"/>
  <c r="B115" i="1"/>
  <c r="C115" i="1"/>
  <c r="D115" i="1"/>
  <c r="E115" i="1"/>
  <c r="G115" i="1"/>
  <c r="I115" i="1"/>
  <c r="J115" i="1"/>
  <c r="M115" i="1"/>
  <c r="P115" i="1"/>
  <c r="F115" i="1" s="1"/>
  <c r="Q115" i="1"/>
  <c r="R115" i="1"/>
  <c r="H115" i="1" s="1"/>
  <c r="T115" i="1"/>
  <c r="U115" i="1"/>
  <c r="V115" i="1"/>
  <c r="W115" i="1"/>
  <c r="Z115" i="1"/>
  <c r="AA115" i="1"/>
  <c r="AC115" i="1"/>
  <c r="AE115" i="1"/>
  <c r="AH115" i="1"/>
  <c r="AQ115" i="1"/>
  <c r="AR115" i="1"/>
  <c r="AS115" i="1"/>
  <c r="AT115" i="1"/>
  <c r="AU115" i="1"/>
  <c r="AV115" i="1"/>
  <c r="AW115" i="1"/>
  <c r="AX115" i="1"/>
  <c r="AY115" i="1"/>
  <c r="AZ115" i="1"/>
  <c r="BA115" i="1"/>
  <c r="BB115" i="1"/>
  <c r="BC115" i="1"/>
  <c r="BD115" i="1"/>
  <c r="BE115" i="1"/>
  <c r="BF115" i="1"/>
  <c r="BG115" i="1"/>
  <c r="BH115" i="1"/>
  <c r="BI115" i="1"/>
  <c r="BJ115" i="1"/>
  <c r="BK115" i="1"/>
  <c r="BL115" i="1"/>
  <c r="BM115" i="1"/>
  <c r="BN115" i="1"/>
  <c r="BO115" i="1"/>
  <c r="BP115" i="1"/>
  <c r="BQ115" i="1"/>
  <c r="BR115" i="1"/>
  <c r="BS115" i="1"/>
  <c r="BT115" i="1"/>
  <c r="BU115" i="1"/>
  <c r="BV115" i="1"/>
  <c r="BW115" i="1"/>
  <c r="BX115" i="1"/>
  <c r="BY115" i="1"/>
  <c r="BZ115" i="1"/>
  <c r="CA115" i="1"/>
  <c r="CB115" i="1"/>
  <c r="CC115" i="1"/>
  <c r="CD115" i="1"/>
  <c r="A116" i="1"/>
  <c r="B116" i="1"/>
  <c r="C116" i="1"/>
  <c r="D116" i="1"/>
  <c r="E116" i="1"/>
  <c r="G116" i="1"/>
  <c r="I116" i="1"/>
  <c r="J116" i="1"/>
  <c r="M116" i="1"/>
  <c r="P116" i="1"/>
  <c r="F116" i="1" s="1"/>
  <c r="Q116" i="1"/>
  <c r="R116" i="1"/>
  <c r="H116" i="1" s="1"/>
  <c r="T116" i="1"/>
  <c r="U116" i="1"/>
  <c r="V116" i="1"/>
  <c r="W116" i="1"/>
  <c r="Z116" i="1"/>
  <c r="AA116" i="1"/>
  <c r="AC116" i="1"/>
  <c r="AE116" i="1"/>
  <c r="AH116" i="1"/>
  <c r="AQ116" i="1"/>
  <c r="AR116" i="1"/>
  <c r="AS116" i="1"/>
  <c r="AT116" i="1"/>
  <c r="AU116" i="1"/>
  <c r="AV116" i="1"/>
  <c r="AW116" i="1"/>
  <c r="AX116" i="1"/>
  <c r="AY116" i="1"/>
  <c r="AZ116" i="1"/>
  <c r="BA116" i="1"/>
  <c r="BB116" i="1"/>
  <c r="BC116" i="1"/>
  <c r="BD116" i="1"/>
  <c r="BE116" i="1"/>
  <c r="BF116" i="1"/>
  <c r="BG116" i="1"/>
  <c r="BH116" i="1"/>
  <c r="BI116" i="1"/>
  <c r="BJ116" i="1"/>
  <c r="BK116" i="1"/>
  <c r="BL116" i="1"/>
  <c r="BM116" i="1"/>
  <c r="BN116" i="1"/>
  <c r="BO116" i="1"/>
  <c r="BP116" i="1"/>
  <c r="BQ116" i="1"/>
  <c r="BR116" i="1"/>
  <c r="BS116" i="1"/>
  <c r="BT116" i="1"/>
  <c r="BU116" i="1"/>
  <c r="BV116" i="1"/>
  <c r="BW116" i="1"/>
  <c r="BX116" i="1"/>
  <c r="BY116" i="1"/>
  <c r="BZ116" i="1"/>
  <c r="CA116" i="1"/>
  <c r="CB116" i="1"/>
  <c r="CC116" i="1"/>
  <c r="CD116" i="1"/>
  <c r="A117" i="1"/>
  <c r="B117" i="1"/>
  <c r="C117" i="1"/>
  <c r="D117" i="1"/>
  <c r="E117" i="1"/>
  <c r="G117" i="1"/>
  <c r="J117" i="1"/>
  <c r="M117" i="1"/>
  <c r="P117" i="1"/>
  <c r="Q117" i="1"/>
  <c r="R117" i="1"/>
  <c r="H117" i="1" s="1"/>
  <c r="T117" i="1"/>
  <c r="U117" i="1"/>
  <c r="V117" i="1"/>
  <c r="W117" i="1"/>
  <c r="Z117" i="1"/>
  <c r="AA117" i="1"/>
  <c r="AC117" i="1"/>
  <c r="AE117" i="1"/>
  <c r="AH117" i="1"/>
  <c r="AQ117" i="1"/>
  <c r="AR117" i="1"/>
  <c r="AS117" i="1"/>
  <c r="AT117" i="1"/>
  <c r="AU117" i="1"/>
  <c r="AV117" i="1"/>
  <c r="AW117" i="1"/>
  <c r="AX117" i="1"/>
  <c r="AY117" i="1"/>
  <c r="AZ117" i="1"/>
  <c r="BA117" i="1"/>
  <c r="BB117" i="1"/>
  <c r="BC117" i="1"/>
  <c r="BD117" i="1"/>
  <c r="BE117" i="1"/>
  <c r="BF117" i="1"/>
  <c r="BG117" i="1"/>
  <c r="BH117" i="1"/>
  <c r="BI117" i="1"/>
  <c r="BJ117" i="1"/>
  <c r="BK117" i="1"/>
  <c r="BL117" i="1"/>
  <c r="BM117" i="1"/>
  <c r="BN117" i="1"/>
  <c r="BO117" i="1"/>
  <c r="BP117" i="1"/>
  <c r="BQ117" i="1"/>
  <c r="BR117" i="1"/>
  <c r="BS117" i="1"/>
  <c r="BT117" i="1"/>
  <c r="BU117" i="1"/>
  <c r="BV117" i="1"/>
  <c r="BW117" i="1"/>
  <c r="BX117" i="1"/>
  <c r="BY117" i="1"/>
  <c r="BZ117" i="1"/>
  <c r="CA117" i="1"/>
  <c r="CB117" i="1"/>
  <c r="CC117" i="1"/>
  <c r="CD117" i="1"/>
  <c r="A118" i="1"/>
  <c r="B118" i="1"/>
  <c r="C118" i="1"/>
  <c r="D118" i="1"/>
  <c r="E118" i="1"/>
  <c r="G118" i="1"/>
  <c r="I118" i="1"/>
  <c r="J118" i="1"/>
  <c r="M118" i="1"/>
  <c r="P118" i="1"/>
  <c r="F118" i="1" s="1"/>
  <c r="Q118" i="1"/>
  <c r="R118" i="1"/>
  <c r="H118" i="1" s="1"/>
  <c r="T118" i="1"/>
  <c r="U118" i="1"/>
  <c r="V118" i="1"/>
  <c r="W118" i="1"/>
  <c r="Z118" i="1"/>
  <c r="AA118" i="1"/>
  <c r="AC118" i="1"/>
  <c r="AE118" i="1"/>
  <c r="AH118" i="1"/>
  <c r="AQ118" i="1"/>
  <c r="AR118" i="1"/>
  <c r="AS118" i="1"/>
  <c r="AT118" i="1"/>
  <c r="AU118" i="1"/>
  <c r="AV118" i="1"/>
  <c r="AW118" i="1"/>
  <c r="AX118" i="1"/>
  <c r="AY118" i="1"/>
  <c r="AZ118" i="1"/>
  <c r="BA118" i="1"/>
  <c r="BB118" i="1"/>
  <c r="BC118" i="1"/>
  <c r="BD118" i="1"/>
  <c r="BE118" i="1"/>
  <c r="BF118" i="1"/>
  <c r="BG118" i="1"/>
  <c r="BH118" i="1"/>
  <c r="BI118" i="1"/>
  <c r="BJ118" i="1"/>
  <c r="BK118" i="1"/>
  <c r="BL118" i="1"/>
  <c r="BM118" i="1"/>
  <c r="BN118" i="1"/>
  <c r="BO118" i="1"/>
  <c r="BP118" i="1"/>
  <c r="BQ118" i="1"/>
  <c r="BR118" i="1"/>
  <c r="BS118" i="1"/>
  <c r="BT118" i="1"/>
  <c r="BU118" i="1"/>
  <c r="BV118" i="1"/>
  <c r="BW118" i="1"/>
  <c r="BX118" i="1"/>
  <c r="BY118" i="1"/>
  <c r="BZ118" i="1"/>
  <c r="CA118" i="1"/>
  <c r="CB118" i="1"/>
  <c r="CC118" i="1"/>
  <c r="CD118" i="1"/>
  <c r="A119" i="1"/>
  <c r="B119" i="1"/>
  <c r="C119" i="1"/>
  <c r="D119" i="1"/>
  <c r="E119" i="1"/>
  <c r="G119" i="1"/>
  <c r="I119" i="1"/>
  <c r="J119" i="1"/>
  <c r="M119" i="1"/>
  <c r="P119" i="1"/>
  <c r="F119" i="1" s="1"/>
  <c r="Q119" i="1"/>
  <c r="R119" i="1"/>
  <c r="H119" i="1" s="1"/>
  <c r="T119" i="1"/>
  <c r="U119" i="1"/>
  <c r="V119" i="1"/>
  <c r="W119" i="1"/>
  <c r="Z119" i="1"/>
  <c r="AA119" i="1"/>
  <c r="AC119" i="1"/>
  <c r="AE119" i="1"/>
  <c r="AH119" i="1"/>
  <c r="AQ119" i="1"/>
  <c r="AR119" i="1"/>
  <c r="AS119" i="1"/>
  <c r="AT119" i="1"/>
  <c r="AU119" i="1"/>
  <c r="AV119" i="1"/>
  <c r="AW119" i="1"/>
  <c r="AX119" i="1"/>
  <c r="AY119" i="1"/>
  <c r="AZ119" i="1"/>
  <c r="BA119" i="1"/>
  <c r="BB119" i="1"/>
  <c r="BC119" i="1"/>
  <c r="BD119" i="1"/>
  <c r="BE119" i="1"/>
  <c r="BF119" i="1"/>
  <c r="BG119" i="1"/>
  <c r="BH119" i="1"/>
  <c r="BI119" i="1"/>
  <c r="BJ119" i="1"/>
  <c r="BK119" i="1"/>
  <c r="BL119" i="1"/>
  <c r="BM119" i="1"/>
  <c r="BN119" i="1"/>
  <c r="BO119" i="1"/>
  <c r="BP119" i="1"/>
  <c r="BQ119" i="1"/>
  <c r="BR119" i="1"/>
  <c r="BS119" i="1"/>
  <c r="BT119" i="1"/>
  <c r="BU119" i="1"/>
  <c r="BV119" i="1"/>
  <c r="BW119" i="1"/>
  <c r="BX119" i="1"/>
  <c r="BY119" i="1"/>
  <c r="BZ119" i="1"/>
  <c r="CA119" i="1"/>
  <c r="CB119" i="1"/>
  <c r="CC119" i="1"/>
  <c r="CD119" i="1"/>
  <c r="A120" i="1"/>
  <c r="B120" i="1"/>
  <c r="C120" i="1"/>
  <c r="D120" i="1"/>
  <c r="E120" i="1"/>
  <c r="G120" i="1"/>
  <c r="J120" i="1"/>
  <c r="M120" i="1"/>
  <c r="P120" i="1"/>
  <c r="Q120" i="1"/>
  <c r="R120" i="1"/>
  <c r="H120" i="1" s="1"/>
  <c r="T120" i="1"/>
  <c r="U120" i="1"/>
  <c r="V120" i="1"/>
  <c r="W120" i="1"/>
  <c r="Z120" i="1"/>
  <c r="AA120" i="1"/>
  <c r="AC120" i="1"/>
  <c r="AE120" i="1"/>
  <c r="AH120" i="1"/>
  <c r="AQ120" i="1"/>
  <c r="AR120" i="1"/>
  <c r="AS120" i="1"/>
  <c r="AT120" i="1"/>
  <c r="AU120" i="1"/>
  <c r="AV120" i="1"/>
  <c r="AW120" i="1"/>
  <c r="AX120" i="1"/>
  <c r="AY120" i="1"/>
  <c r="AZ120" i="1"/>
  <c r="BA120" i="1"/>
  <c r="BB120" i="1"/>
  <c r="BC120" i="1"/>
  <c r="BD120" i="1"/>
  <c r="BE120" i="1"/>
  <c r="BF120" i="1"/>
  <c r="BG120" i="1"/>
  <c r="BH120" i="1"/>
  <c r="BI120" i="1"/>
  <c r="BJ120" i="1"/>
  <c r="BK120" i="1"/>
  <c r="BL120" i="1"/>
  <c r="BM120" i="1"/>
  <c r="BN120" i="1"/>
  <c r="BO120" i="1"/>
  <c r="BP120" i="1"/>
  <c r="BQ120" i="1"/>
  <c r="BR120" i="1"/>
  <c r="BS120" i="1"/>
  <c r="BT120" i="1"/>
  <c r="BU120" i="1"/>
  <c r="BV120" i="1"/>
  <c r="BW120" i="1"/>
  <c r="BX120" i="1"/>
  <c r="BY120" i="1"/>
  <c r="BZ120" i="1"/>
  <c r="CA120" i="1"/>
  <c r="CB120" i="1"/>
  <c r="CC120" i="1"/>
  <c r="CD120" i="1"/>
  <c r="A121" i="1"/>
  <c r="B121" i="1"/>
  <c r="C121" i="1"/>
  <c r="D121" i="1"/>
  <c r="E121" i="1"/>
  <c r="G121" i="1"/>
  <c r="I121" i="1"/>
  <c r="J121" i="1"/>
  <c r="M121" i="1"/>
  <c r="P121" i="1"/>
  <c r="F121" i="1" s="1"/>
  <c r="Q121" i="1"/>
  <c r="R121" i="1"/>
  <c r="H121" i="1" s="1"/>
  <c r="T121" i="1"/>
  <c r="U121" i="1"/>
  <c r="V121" i="1"/>
  <c r="W121" i="1"/>
  <c r="Z121" i="1"/>
  <c r="AA121" i="1"/>
  <c r="AC121" i="1"/>
  <c r="AE121" i="1"/>
  <c r="AH121" i="1"/>
  <c r="AQ121" i="1"/>
  <c r="AR121" i="1"/>
  <c r="AS121" i="1"/>
  <c r="AT121" i="1"/>
  <c r="AU121" i="1"/>
  <c r="AV121" i="1"/>
  <c r="AW121" i="1"/>
  <c r="AX121" i="1"/>
  <c r="AY121" i="1"/>
  <c r="AZ121" i="1"/>
  <c r="BA121" i="1"/>
  <c r="BB121" i="1"/>
  <c r="BC121" i="1"/>
  <c r="BD121" i="1"/>
  <c r="BE121" i="1"/>
  <c r="BF121" i="1"/>
  <c r="BG121" i="1"/>
  <c r="BH121" i="1"/>
  <c r="BI121" i="1"/>
  <c r="BJ121" i="1"/>
  <c r="BK121" i="1"/>
  <c r="BL121" i="1"/>
  <c r="BM121" i="1"/>
  <c r="BN121" i="1"/>
  <c r="BO121" i="1"/>
  <c r="BP121" i="1"/>
  <c r="BQ121" i="1"/>
  <c r="BR121" i="1"/>
  <c r="BS121" i="1"/>
  <c r="BT121" i="1"/>
  <c r="BU121" i="1"/>
  <c r="BV121" i="1"/>
  <c r="BW121" i="1"/>
  <c r="BX121" i="1"/>
  <c r="BY121" i="1"/>
  <c r="BZ121" i="1"/>
  <c r="CA121" i="1"/>
  <c r="CB121" i="1"/>
  <c r="CC121" i="1"/>
  <c r="CD121" i="1"/>
  <c r="A122" i="1"/>
  <c r="B122" i="1"/>
  <c r="C122" i="1"/>
  <c r="D122" i="1"/>
  <c r="E122" i="1"/>
  <c r="G122" i="1"/>
  <c r="I122" i="1"/>
  <c r="J122" i="1"/>
  <c r="M122" i="1"/>
  <c r="P122" i="1"/>
  <c r="F122" i="1" s="1"/>
  <c r="Q122" i="1"/>
  <c r="R122" i="1"/>
  <c r="H122" i="1" s="1"/>
  <c r="T122" i="1"/>
  <c r="U122" i="1"/>
  <c r="V122" i="1"/>
  <c r="W122" i="1"/>
  <c r="Z122" i="1"/>
  <c r="AA122" i="1"/>
  <c r="AC122" i="1"/>
  <c r="AE122" i="1"/>
  <c r="AH122" i="1"/>
  <c r="AQ122" i="1"/>
  <c r="AR122" i="1"/>
  <c r="AS122" i="1"/>
  <c r="AT122" i="1"/>
  <c r="AU122" i="1"/>
  <c r="AV122" i="1"/>
  <c r="AW122" i="1"/>
  <c r="AX122" i="1"/>
  <c r="AY122" i="1"/>
  <c r="AZ122" i="1"/>
  <c r="BA122" i="1"/>
  <c r="BB122" i="1"/>
  <c r="BC122" i="1"/>
  <c r="BD122" i="1"/>
  <c r="BE122" i="1"/>
  <c r="BF122" i="1"/>
  <c r="BG122" i="1"/>
  <c r="BH122" i="1"/>
  <c r="BI122" i="1"/>
  <c r="BJ122" i="1"/>
  <c r="BK122" i="1"/>
  <c r="BL122" i="1"/>
  <c r="BM122" i="1"/>
  <c r="BN122" i="1"/>
  <c r="BO122" i="1"/>
  <c r="BP122" i="1"/>
  <c r="BQ122" i="1"/>
  <c r="BR122" i="1"/>
  <c r="BS122" i="1"/>
  <c r="BT122" i="1"/>
  <c r="BU122" i="1"/>
  <c r="BV122" i="1"/>
  <c r="BW122" i="1"/>
  <c r="BX122" i="1"/>
  <c r="BY122" i="1"/>
  <c r="BZ122" i="1"/>
  <c r="CA122" i="1"/>
  <c r="CB122" i="1"/>
  <c r="CC122" i="1"/>
  <c r="CD122" i="1"/>
  <c r="A123" i="1"/>
  <c r="B123" i="1"/>
  <c r="C123" i="1"/>
  <c r="D123" i="1"/>
  <c r="E123" i="1"/>
  <c r="G123" i="1"/>
  <c r="I123" i="1"/>
  <c r="J123" i="1"/>
  <c r="M123" i="1"/>
  <c r="P123" i="1"/>
  <c r="F123" i="1" s="1"/>
  <c r="Q123" i="1"/>
  <c r="R123" i="1"/>
  <c r="H123" i="1" s="1"/>
  <c r="T123" i="1"/>
  <c r="U123" i="1"/>
  <c r="V123" i="1"/>
  <c r="W123" i="1"/>
  <c r="Z123" i="1"/>
  <c r="AA123" i="1"/>
  <c r="AC123" i="1"/>
  <c r="AE123" i="1"/>
  <c r="AH123" i="1"/>
  <c r="AQ123" i="1"/>
  <c r="AR123" i="1"/>
  <c r="AS123" i="1"/>
  <c r="AT123" i="1"/>
  <c r="AU123" i="1"/>
  <c r="AV123" i="1"/>
  <c r="AW123" i="1"/>
  <c r="AX123" i="1"/>
  <c r="AY123" i="1"/>
  <c r="AZ123" i="1"/>
  <c r="BA123" i="1"/>
  <c r="BB123" i="1"/>
  <c r="BC123" i="1"/>
  <c r="BD123" i="1"/>
  <c r="BE123" i="1"/>
  <c r="BF123" i="1"/>
  <c r="BG123" i="1"/>
  <c r="BH123" i="1"/>
  <c r="BI123" i="1"/>
  <c r="BJ123" i="1"/>
  <c r="BK123" i="1"/>
  <c r="BL123" i="1"/>
  <c r="BM123" i="1"/>
  <c r="BN123" i="1"/>
  <c r="BO123" i="1"/>
  <c r="BP123" i="1"/>
  <c r="BQ123" i="1"/>
  <c r="BR123" i="1"/>
  <c r="BS123" i="1"/>
  <c r="BT123" i="1"/>
  <c r="BU123" i="1"/>
  <c r="BV123" i="1"/>
  <c r="BW123" i="1"/>
  <c r="BX123" i="1"/>
  <c r="BY123" i="1"/>
  <c r="BZ123" i="1"/>
  <c r="CA123" i="1"/>
  <c r="CB123" i="1"/>
  <c r="CC123" i="1"/>
  <c r="CD123" i="1"/>
  <c r="A124" i="1"/>
  <c r="B124" i="1"/>
  <c r="C124" i="1"/>
  <c r="D124" i="1"/>
  <c r="E124" i="1"/>
  <c r="G124" i="1"/>
  <c r="I124" i="1"/>
  <c r="J124" i="1"/>
  <c r="M124" i="1"/>
  <c r="P124" i="1"/>
  <c r="F124" i="1" s="1"/>
  <c r="Q124" i="1"/>
  <c r="R124" i="1"/>
  <c r="H124" i="1" s="1"/>
  <c r="T124" i="1"/>
  <c r="U124" i="1"/>
  <c r="V124" i="1"/>
  <c r="W124" i="1"/>
  <c r="Z124" i="1"/>
  <c r="AA124" i="1"/>
  <c r="AC124" i="1"/>
  <c r="AE124" i="1"/>
  <c r="AH124" i="1"/>
  <c r="AQ124" i="1"/>
  <c r="AR124" i="1"/>
  <c r="AS124" i="1"/>
  <c r="AT124" i="1"/>
  <c r="AU124" i="1"/>
  <c r="AV124" i="1"/>
  <c r="AW124" i="1"/>
  <c r="AX124" i="1"/>
  <c r="AY124" i="1"/>
  <c r="AZ124" i="1"/>
  <c r="BA124" i="1"/>
  <c r="BB124" i="1"/>
  <c r="BC124" i="1"/>
  <c r="BD124" i="1"/>
  <c r="BE124" i="1"/>
  <c r="BF124" i="1"/>
  <c r="BG124" i="1"/>
  <c r="BH124" i="1"/>
  <c r="BI124" i="1"/>
  <c r="BJ124" i="1"/>
  <c r="BK124" i="1"/>
  <c r="BL124" i="1"/>
  <c r="BM124" i="1"/>
  <c r="BN124" i="1"/>
  <c r="BO124" i="1"/>
  <c r="BP124" i="1"/>
  <c r="BQ124" i="1"/>
  <c r="BR124" i="1"/>
  <c r="BS124" i="1"/>
  <c r="BT124" i="1"/>
  <c r="BU124" i="1"/>
  <c r="BV124" i="1"/>
  <c r="BW124" i="1"/>
  <c r="BX124" i="1"/>
  <c r="BY124" i="1"/>
  <c r="BZ124" i="1"/>
  <c r="CA124" i="1"/>
  <c r="CB124" i="1"/>
  <c r="CC124" i="1"/>
  <c r="CD124" i="1"/>
  <c r="A125" i="1"/>
  <c r="B125" i="1"/>
  <c r="C125" i="1"/>
  <c r="D125" i="1"/>
  <c r="E125" i="1"/>
  <c r="G125" i="1"/>
  <c r="I125" i="1"/>
  <c r="J125" i="1"/>
  <c r="M125" i="1"/>
  <c r="P125" i="1"/>
  <c r="F125" i="1" s="1"/>
  <c r="Q125" i="1"/>
  <c r="R125" i="1"/>
  <c r="H125" i="1" s="1"/>
  <c r="T125" i="1"/>
  <c r="U125" i="1"/>
  <c r="V125" i="1"/>
  <c r="W125" i="1"/>
  <c r="Z125" i="1"/>
  <c r="AA125" i="1"/>
  <c r="AC125" i="1"/>
  <c r="AE125" i="1"/>
  <c r="AH125" i="1"/>
  <c r="AQ125" i="1"/>
  <c r="AR125" i="1"/>
  <c r="AS125" i="1"/>
  <c r="AT125" i="1"/>
  <c r="AU125" i="1"/>
  <c r="AV125" i="1"/>
  <c r="AW125" i="1"/>
  <c r="AX125" i="1"/>
  <c r="AY125" i="1"/>
  <c r="AZ125" i="1"/>
  <c r="BA125" i="1"/>
  <c r="BB125" i="1"/>
  <c r="BC125" i="1"/>
  <c r="BD125" i="1"/>
  <c r="BE125" i="1"/>
  <c r="BF125" i="1"/>
  <c r="BG125" i="1"/>
  <c r="BH125" i="1"/>
  <c r="BI125" i="1"/>
  <c r="BJ125" i="1"/>
  <c r="BK125" i="1"/>
  <c r="BL125" i="1"/>
  <c r="BM125" i="1"/>
  <c r="BN125" i="1"/>
  <c r="BO125" i="1"/>
  <c r="BP125" i="1"/>
  <c r="BQ125" i="1"/>
  <c r="BR125" i="1"/>
  <c r="BS125" i="1"/>
  <c r="BT125" i="1"/>
  <c r="BU125" i="1"/>
  <c r="BV125" i="1"/>
  <c r="BW125" i="1"/>
  <c r="BX125" i="1"/>
  <c r="BY125" i="1"/>
  <c r="BZ125" i="1"/>
  <c r="CA125" i="1"/>
  <c r="CB125" i="1"/>
  <c r="CC125" i="1"/>
  <c r="CD125" i="1"/>
  <c r="A126" i="1"/>
  <c r="B126" i="1"/>
  <c r="C126" i="1"/>
  <c r="D126" i="1"/>
  <c r="E126" i="1"/>
  <c r="G126" i="1"/>
  <c r="I126" i="1"/>
  <c r="J126" i="1"/>
  <c r="M126" i="1"/>
  <c r="P126" i="1"/>
  <c r="F126" i="1" s="1"/>
  <c r="Q126" i="1"/>
  <c r="R126" i="1"/>
  <c r="H126" i="1" s="1"/>
  <c r="T126" i="1"/>
  <c r="U126" i="1"/>
  <c r="V126" i="1"/>
  <c r="W126" i="1"/>
  <c r="Z126" i="1"/>
  <c r="AA126" i="1"/>
  <c r="AC126" i="1"/>
  <c r="AE126" i="1"/>
  <c r="AH126" i="1"/>
  <c r="AQ126" i="1"/>
  <c r="AR126" i="1"/>
  <c r="AS126" i="1"/>
  <c r="AT126" i="1"/>
  <c r="AU126" i="1"/>
  <c r="AV126" i="1"/>
  <c r="AW126" i="1"/>
  <c r="AX126" i="1"/>
  <c r="AY126" i="1"/>
  <c r="AZ126" i="1"/>
  <c r="BA126" i="1"/>
  <c r="BB126" i="1"/>
  <c r="BC126" i="1"/>
  <c r="BD126" i="1"/>
  <c r="BE126" i="1"/>
  <c r="BF126" i="1"/>
  <c r="BG126" i="1"/>
  <c r="BH126" i="1"/>
  <c r="BI126" i="1"/>
  <c r="BJ126" i="1"/>
  <c r="BK126" i="1"/>
  <c r="BL126" i="1"/>
  <c r="BM126" i="1"/>
  <c r="BN126" i="1"/>
  <c r="BO126" i="1"/>
  <c r="BP126" i="1"/>
  <c r="BQ126" i="1"/>
  <c r="BR126" i="1"/>
  <c r="BS126" i="1"/>
  <c r="BT126" i="1"/>
  <c r="BU126" i="1"/>
  <c r="BV126" i="1"/>
  <c r="BW126" i="1"/>
  <c r="BX126" i="1"/>
  <c r="BY126" i="1"/>
  <c r="BZ126" i="1"/>
  <c r="CA126" i="1"/>
  <c r="CB126" i="1"/>
  <c r="CC126" i="1"/>
  <c r="CD126" i="1"/>
  <c r="A127" i="1"/>
  <c r="B127" i="1"/>
  <c r="C127" i="1"/>
  <c r="D127" i="1"/>
  <c r="E127" i="1"/>
  <c r="G127" i="1"/>
  <c r="J127" i="1"/>
  <c r="M127" i="1"/>
  <c r="P127" i="1"/>
  <c r="Q127" i="1"/>
  <c r="R127" i="1"/>
  <c r="H127" i="1" s="1"/>
  <c r="T127" i="1"/>
  <c r="U127" i="1"/>
  <c r="V127" i="1"/>
  <c r="W127" i="1"/>
  <c r="Z127" i="1"/>
  <c r="AA127" i="1"/>
  <c r="AC127" i="1"/>
  <c r="AE127" i="1"/>
  <c r="AH127" i="1"/>
  <c r="AQ127" i="1"/>
  <c r="AR127" i="1"/>
  <c r="AS127" i="1"/>
  <c r="AT127" i="1"/>
  <c r="AU127" i="1"/>
  <c r="AV127" i="1"/>
  <c r="AW127" i="1"/>
  <c r="AX127" i="1"/>
  <c r="AY127" i="1"/>
  <c r="AZ127" i="1"/>
  <c r="BA127" i="1"/>
  <c r="BB127" i="1"/>
  <c r="BC127" i="1"/>
  <c r="BD127" i="1"/>
  <c r="BE127" i="1"/>
  <c r="BF127" i="1"/>
  <c r="BG127" i="1"/>
  <c r="BH127" i="1"/>
  <c r="BI127" i="1"/>
  <c r="BJ127" i="1"/>
  <c r="BK127" i="1"/>
  <c r="BL127" i="1"/>
  <c r="BM127" i="1"/>
  <c r="BN127" i="1"/>
  <c r="BO127" i="1"/>
  <c r="BP127" i="1"/>
  <c r="BQ127" i="1"/>
  <c r="BR127" i="1"/>
  <c r="BS127" i="1"/>
  <c r="BT127" i="1"/>
  <c r="BU127" i="1"/>
  <c r="BV127" i="1"/>
  <c r="BW127" i="1"/>
  <c r="BX127" i="1"/>
  <c r="BY127" i="1"/>
  <c r="BZ127" i="1"/>
  <c r="CA127" i="1"/>
  <c r="CB127" i="1"/>
  <c r="CC127" i="1"/>
  <c r="CD127" i="1"/>
  <c r="A128" i="1"/>
  <c r="B128" i="1"/>
  <c r="C128" i="1"/>
  <c r="D128" i="1"/>
  <c r="E128" i="1"/>
  <c r="G128" i="1"/>
  <c r="I128" i="1"/>
  <c r="J128" i="1"/>
  <c r="M128" i="1"/>
  <c r="P128" i="1"/>
  <c r="F128" i="1" s="1"/>
  <c r="Q128" i="1"/>
  <c r="R128" i="1"/>
  <c r="H128" i="1" s="1"/>
  <c r="T128" i="1"/>
  <c r="U128" i="1"/>
  <c r="V128" i="1"/>
  <c r="W128" i="1"/>
  <c r="Z128" i="1"/>
  <c r="AA128" i="1"/>
  <c r="AC128" i="1"/>
  <c r="AE128" i="1"/>
  <c r="AH128" i="1"/>
  <c r="AQ128" i="1"/>
  <c r="AR128" i="1"/>
  <c r="AS128" i="1"/>
  <c r="AT128" i="1"/>
  <c r="AU128" i="1"/>
  <c r="AV128" i="1"/>
  <c r="AW128" i="1"/>
  <c r="AX128" i="1"/>
  <c r="AY128" i="1"/>
  <c r="AZ128" i="1"/>
  <c r="BA128" i="1"/>
  <c r="BB128" i="1"/>
  <c r="BC128" i="1"/>
  <c r="BD128" i="1"/>
  <c r="BE128" i="1"/>
  <c r="BF128" i="1"/>
  <c r="BG128" i="1"/>
  <c r="BH128" i="1"/>
  <c r="BI128" i="1"/>
  <c r="BJ128" i="1"/>
  <c r="BK128" i="1"/>
  <c r="BL128" i="1"/>
  <c r="BM128" i="1"/>
  <c r="BN128" i="1"/>
  <c r="BO128" i="1"/>
  <c r="BP128" i="1"/>
  <c r="BQ128" i="1"/>
  <c r="BR128" i="1"/>
  <c r="BS128" i="1"/>
  <c r="BT128" i="1"/>
  <c r="BU128" i="1"/>
  <c r="BV128" i="1"/>
  <c r="BW128" i="1"/>
  <c r="BX128" i="1"/>
  <c r="BY128" i="1"/>
  <c r="BZ128" i="1"/>
  <c r="CA128" i="1"/>
  <c r="CB128" i="1"/>
  <c r="CC128" i="1"/>
  <c r="CD128" i="1"/>
  <c r="A129" i="1"/>
  <c r="B129" i="1"/>
  <c r="C129" i="1"/>
  <c r="D129" i="1"/>
  <c r="E129" i="1"/>
  <c r="G129" i="1"/>
  <c r="I129" i="1"/>
  <c r="J129" i="1"/>
  <c r="M129" i="1"/>
  <c r="P129" i="1"/>
  <c r="F129" i="1" s="1"/>
  <c r="Q129" i="1"/>
  <c r="R129" i="1"/>
  <c r="H129" i="1" s="1"/>
  <c r="T129" i="1"/>
  <c r="U129" i="1"/>
  <c r="V129" i="1"/>
  <c r="W129" i="1"/>
  <c r="Z129" i="1"/>
  <c r="AA129" i="1"/>
  <c r="AC129" i="1"/>
  <c r="AE129" i="1"/>
  <c r="AH129" i="1"/>
  <c r="AQ129" i="1"/>
  <c r="AR129" i="1"/>
  <c r="AS129" i="1"/>
  <c r="AT129" i="1"/>
  <c r="AU129" i="1"/>
  <c r="AV129" i="1"/>
  <c r="AW129" i="1"/>
  <c r="AX129" i="1"/>
  <c r="AY129" i="1"/>
  <c r="AZ129" i="1"/>
  <c r="BA129" i="1"/>
  <c r="BB129" i="1"/>
  <c r="BC129" i="1"/>
  <c r="BD129" i="1"/>
  <c r="BE129" i="1"/>
  <c r="BF129" i="1"/>
  <c r="BG129" i="1"/>
  <c r="BH129" i="1"/>
  <c r="BI129" i="1"/>
  <c r="BJ129" i="1"/>
  <c r="BK129" i="1"/>
  <c r="BL129" i="1"/>
  <c r="BM129" i="1"/>
  <c r="BN129" i="1"/>
  <c r="BO129" i="1"/>
  <c r="BP129" i="1"/>
  <c r="BQ129" i="1"/>
  <c r="BR129" i="1"/>
  <c r="BS129" i="1"/>
  <c r="BT129" i="1"/>
  <c r="BU129" i="1"/>
  <c r="BV129" i="1"/>
  <c r="BW129" i="1"/>
  <c r="BX129" i="1"/>
  <c r="BY129" i="1"/>
  <c r="BZ129" i="1"/>
  <c r="CA129" i="1"/>
  <c r="CB129" i="1"/>
  <c r="CC129" i="1"/>
  <c r="CD129" i="1"/>
  <c r="A130" i="1"/>
  <c r="B130" i="1"/>
  <c r="C130" i="1"/>
  <c r="D130" i="1"/>
  <c r="E130" i="1"/>
  <c r="G130" i="1"/>
  <c r="I130" i="1"/>
  <c r="J130" i="1"/>
  <c r="M130" i="1"/>
  <c r="P130" i="1"/>
  <c r="F130" i="1" s="1"/>
  <c r="Q130" i="1"/>
  <c r="R130" i="1"/>
  <c r="H130" i="1" s="1"/>
  <c r="T130" i="1"/>
  <c r="U130" i="1"/>
  <c r="V130" i="1"/>
  <c r="W130" i="1"/>
  <c r="Z130" i="1"/>
  <c r="AA130" i="1"/>
  <c r="AC130" i="1"/>
  <c r="AE130" i="1"/>
  <c r="AH130" i="1"/>
  <c r="AQ130" i="1"/>
  <c r="AR130" i="1"/>
  <c r="AS130" i="1"/>
  <c r="AT130" i="1"/>
  <c r="AU130" i="1"/>
  <c r="AV130" i="1"/>
  <c r="AW130" i="1"/>
  <c r="AX130" i="1"/>
  <c r="AY130" i="1"/>
  <c r="AZ130" i="1"/>
  <c r="BA130" i="1"/>
  <c r="BB130" i="1"/>
  <c r="BC130" i="1"/>
  <c r="BD130" i="1"/>
  <c r="BE130" i="1"/>
  <c r="BF130" i="1"/>
  <c r="BG130" i="1"/>
  <c r="BH130" i="1"/>
  <c r="BI130" i="1"/>
  <c r="BJ130" i="1"/>
  <c r="BK130" i="1"/>
  <c r="BL130" i="1"/>
  <c r="BM130" i="1"/>
  <c r="BN130" i="1"/>
  <c r="BO130" i="1"/>
  <c r="BP130" i="1"/>
  <c r="BQ130" i="1"/>
  <c r="BR130" i="1"/>
  <c r="BS130" i="1"/>
  <c r="BT130" i="1"/>
  <c r="BU130" i="1"/>
  <c r="BV130" i="1"/>
  <c r="BW130" i="1"/>
  <c r="BX130" i="1"/>
  <c r="BY130" i="1"/>
  <c r="BZ130" i="1"/>
  <c r="CA130" i="1"/>
  <c r="CB130" i="1"/>
  <c r="CC130" i="1"/>
  <c r="CD130" i="1"/>
  <c r="A131" i="1"/>
  <c r="B131" i="1"/>
  <c r="C131" i="1"/>
  <c r="D131" i="1"/>
  <c r="E131" i="1"/>
  <c r="G131" i="1"/>
  <c r="I131" i="1"/>
  <c r="J131" i="1"/>
  <c r="M131" i="1"/>
  <c r="P131" i="1"/>
  <c r="F131" i="1" s="1"/>
  <c r="Q131" i="1"/>
  <c r="R131" i="1"/>
  <c r="H131" i="1" s="1"/>
  <c r="T131" i="1"/>
  <c r="U131" i="1"/>
  <c r="V131" i="1"/>
  <c r="W131" i="1"/>
  <c r="Z131" i="1"/>
  <c r="AA131" i="1"/>
  <c r="AC131" i="1"/>
  <c r="AE131" i="1"/>
  <c r="AH131" i="1"/>
  <c r="AQ131" i="1"/>
  <c r="AR131" i="1"/>
  <c r="AS131" i="1"/>
  <c r="AT131" i="1"/>
  <c r="AU131" i="1"/>
  <c r="AV131" i="1"/>
  <c r="AW131" i="1"/>
  <c r="AX131" i="1"/>
  <c r="AY131" i="1"/>
  <c r="AZ131" i="1"/>
  <c r="BA131" i="1"/>
  <c r="BB131" i="1"/>
  <c r="BC131" i="1"/>
  <c r="BD131" i="1"/>
  <c r="BE131" i="1"/>
  <c r="BF131" i="1"/>
  <c r="BG131" i="1"/>
  <c r="BH131" i="1"/>
  <c r="BI131" i="1"/>
  <c r="BJ131" i="1"/>
  <c r="BK131" i="1"/>
  <c r="BL131" i="1"/>
  <c r="BM131" i="1"/>
  <c r="BN131" i="1"/>
  <c r="BO131" i="1"/>
  <c r="BP131" i="1"/>
  <c r="BQ131" i="1"/>
  <c r="BR131" i="1"/>
  <c r="BS131" i="1"/>
  <c r="BT131" i="1"/>
  <c r="BU131" i="1"/>
  <c r="BV131" i="1"/>
  <c r="BW131" i="1"/>
  <c r="BX131" i="1"/>
  <c r="BY131" i="1"/>
  <c r="BZ131" i="1"/>
  <c r="CA131" i="1"/>
  <c r="CB131" i="1"/>
  <c r="CC131" i="1"/>
  <c r="CD131" i="1"/>
  <c r="A132" i="1"/>
  <c r="B132" i="1"/>
  <c r="C132" i="1"/>
  <c r="D132" i="1"/>
  <c r="E132" i="1"/>
  <c r="G132" i="1"/>
  <c r="I132" i="1"/>
  <c r="J132" i="1"/>
  <c r="M132" i="1"/>
  <c r="P132" i="1"/>
  <c r="F132" i="1" s="1"/>
  <c r="Q132" i="1"/>
  <c r="R132" i="1"/>
  <c r="H132" i="1" s="1"/>
  <c r="T132" i="1"/>
  <c r="U132" i="1"/>
  <c r="V132" i="1"/>
  <c r="W132" i="1"/>
  <c r="Z132" i="1"/>
  <c r="AA132" i="1"/>
  <c r="AC132" i="1"/>
  <c r="AE132" i="1"/>
  <c r="AH132" i="1"/>
  <c r="AQ132" i="1"/>
  <c r="AR132" i="1"/>
  <c r="AS132" i="1"/>
  <c r="AT132" i="1"/>
  <c r="AU132" i="1"/>
  <c r="AV132" i="1"/>
  <c r="AW132" i="1"/>
  <c r="AX132" i="1"/>
  <c r="AY132" i="1"/>
  <c r="AZ132" i="1"/>
  <c r="BA132" i="1"/>
  <c r="BB132" i="1"/>
  <c r="BC132" i="1"/>
  <c r="BD132" i="1"/>
  <c r="BE132" i="1"/>
  <c r="BF132" i="1"/>
  <c r="BG132" i="1"/>
  <c r="BH132" i="1"/>
  <c r="BI132" i="1"/>
  <c r="BJ132" i="1"/>
  <c r="BK132" i="1"/>
  <c r="BL132" i="1"/>
  <c r="BM132" i="1"/>
  <c r="BN132" i="1"/>
  <c r="BO132" i="1"/>
  <c r="BP132" i="1"/>
  <c r="BQ132" i="1"/>
  <c r="BR132" i="1"/>
  <c r="BS132" i="1"/>
  <c r="BT132" i="1"/>
  <c r="BU132" i="1"/>
  <c r="BV132" i="1"/>
  <c r="BW132" i="1"/>
  <c r="BX132" i="1"/>
  <c r="BY132" i="1"/>
  <c r="BZ132" i="1"/>
  <c r="CA132" i="1"/>
  <c r="CB132" i="1"/>
  <c r="CC132" i="1"/>
  <c r="CD132" i="1"/>
  <c r="A133" i="1"/>
  <c r="B133" i="1"/>
  <c r="C133" i="1"/>
  <c r="D133" i="1"/>
  <c r="E133" i="1"/>
  <c r="G133" i="1"/>
  <c r="I133" i="1"/>
  <c r="J133" i="1"/>
  <c r="M133" i="1"/>
  <c r="P133" i="1"/>
  <c r="F133" i="1" s="1"/>
  <c r="Q133" i="1"/>
  <c r="R133" i="1"/>
  <c r="H133" i="1" s="1"/>
  <c r="T133" i="1"/>
  <c r="U133" i="1"/>
  <c r="V133" i="1"/>
  <c r="W133" i="1"/>
  <c r="Z133" i="1"/>
  <c r="AA133" i="1"/>
  <c r="AC133" i="1"/>
  <c r="AE133" i="1"/>
  <c r="AH133" i="1"/>
  <c r="AQ133" i="1"/>
  <c r="AR133" i="1"/>
  <c r="AS133" i="1"/>
  <c r="AT133" i="1"/>
  <c r="AU133" i="1"/>
  <c r="AV133" i="1"/>
  <c r="AW133" i="1"/>
  <c r="AX133" i="1"/>
  <c r="AY133" i="1"/>
  <c r="AZ133" i="1"/>
  <c r="BA133" i="1"/>
  <c r="BB133" i="1"/>
  <c r="BC133" i="1"/>
  <c r="BD133" i="1"/>
  <c r="BE133" i="1"/>
  <c r="BF133" i="1"/>
  <c r="BG133" i="1"/>
  <c r="BH133" i="1"/>
  <c r="BI133" i="1"/>
  <c r="BJ133" i="1"/>
  <c r="BK133" i="1"/>
  <c r="BL133" i="1"/>
  <c r="BM133" i="1"/>
  <c r="BN133" i="1"/>
  <c r="BO133" i="1"/>
  <c r="BP133" i="1"/>
  <c r="BQ133" i="1"/>
  <c r="BR133" i="1"/>
  <c r="BS133" i="1"/>
  <c r="BT133" i="1"/>
  <c r="BU133" i="1"/>
  <c r="BV133" i="1"/>
  <c r="BW133" i="1"/>
  <c r="BX133" i="1"/>
  <c r="BY133" i="1"/>
  <c r="BZ133" i="1"/>
  <c r="CA133" i="1"/>
  <c r="CB133" i="1"/>
  <c r="CC133" i="1"/>
  <c r="CD133" i="1"/>
  <c r="A134" i="1"/>
  <c r="B134" i="1"/>
  <c r="C134" i="1"/>
  <c r="D134" i="1"/>
  <c r="E134" i="1"/>
  <c r="G134" i="1"/>
  <c r="J134" i="1"/>
  <c r="M134" i="1"/>
  <c r="P134" i="1"/>
  <c r="Q134" i="1"/>
  <c r="R134" i="1"/>
  <c r="H134" i="1" s="1"/>
  <c r="T134" i="1"/>
  <c r="U134" i="1"/>
  <c r="V134" i="1"/>
  <c r="W134" i="1"/>
  <c r="Z134" i="1"/>
  <c r="AA134" i="1"/>
  <c r="AC134" i="1"/>
  <c r="AE134" i="1"/>
  <c r="AH134" i="1"/>
  <c r="AQ134" i="1"/>
  <c r="AR134" i="1"/>
  <c r="AS134" i="1"/>
  <c r="AT134" i="1"/>
  <c r="AU134" i="1"/>
  <c r="AV134" i="1"/>
  <c r="AW134" i="1"/>
  <c r="AX134" i="1"/>
  <c r="AY134" i="1"/>
  <c r="AZ134" i="1"/>
  <c r="BA134" i="1"/>
  <c r="BB134" i="1"/>
  <c r="BC134" i="1"/>
  <c r="BD134" i="1"/>
  <c r="BE134" i="1"/>
  <c r="BF134" i="1"/>
  <c r="BG134" i="1"/>
  <c r="BH134" i="1"/>
  <c r="BI134" i="1"/>
  <c r="BJ134" i="1"/>
  <c r="BK134" i="1"/>
  <c r="BL134" i="1"/>
  <c r="BM134" i="1"/>
  <c r="BN134" i="1"/>
  <c r="BO134" i="1"/>
  <c r="BP134" i="1"/>
  <c r="BQ134" i="1"/>
  <c r="BR134" i="1"/>
  <c r="BS134" i="1"/>
  <c r="BT134" i="1"/>
  <c r="BU134" i="1"/>
  <c r="BV134" i="1"/>
  <c r="BW134" i="1"/>
  <c r="BX134" i="1"/>
  <c r="BY134" i="1"/>
  <c r="BZ134" i="1"/>
  <c r="CA134" i="1"/>
  <c r="CB134" i="1"/>
  <c r="CC134" i="1"/>
  <c r="CD134" i="1"/>
  <c r="A135" i="1"/>
  <c r="B135" i="1"/>
  <c r="C135" i="1"/>
  <c r="D135" i="1"/>
  <c r="E135" i="1"/>
  <c r="G135" i="1"/>
  <c r="I135" i="1"/>
  <c r="J135" i="1"/>
  <c r="M135" i="1"/>
  <c r="P135" i="1"/>
  <c r="F135" i="1" s="1"/>
  <c r="Q135" i="1"/>
  <c r="R135" i="1"/>
  <c r="H135" i="1" s="1"/>
  <c r="T135" i="1"/>
  <c r="U135" i="1"/>
  <c r="V135" i="1"/>
  <c r="W135" i="1"/>
  <c r="Z135" i="1"/>
  <c r="AA135" i="1"/>
  <c r="AC135" i="1"/>
  <c r="AE135" i="1"/>
  <c r="AH135" i="1"/>
  <c r="AQ135" i="1"/>
  <c r="AR135" i="1"/>
  <c r="AS135" i="1"/>
  <c r="AT135" i="1"/>
  <c r="AU135" i="1"/>
  <c r="AV135" i="1"/>
  <c r="AW135" i="1"/>
  <c r="AX135" i="1"/>
  <c r="AY135" i="1"/>
  <c r="AZ135" i="1"/>
  <c r="BA135" i="1"/>
  <c r="BB135" i="1"/>
  <c r="BC135" i="1"/>
  <c r="BD135" i="1"/>
  <c r="BE135" i="1"/>
  <c r="BF135" i="1"/>
  <c r="BG135" i="1"/>
  <c r="BH135" i="1"/>
  <c r="BI135" i="1"/>
  <c r="BJ135" i="1"/>
  <c r="BK135" i="1"/>
  <c r="BL135" i="1"/>
  <c r="BM135" i="1"/>
  <c r="BN135" i="1"/>
  <c r="BO135" i="1"/>
  <c r="BP135" i="1"/>
  <c r="BQ135" i="1"/>
  <c r="BR135" i="1"/>
  <c r="BS135" i="1"/>
  <c r="BT135" i="1"/>
  <c r="BU135" i="1"/>
  <c r="BV135" i="1"/>
  <c r="BW135" i="1"/>
  <c r="BX135" i="1"/>
  <c r="BY135" i="1"/>
  <c r="BZ135" i="1"/>
  <c r="CA135" i="1"/>
  <c r="CB135" i="1"/>
  <c r="CC135" i="1"/>
  <c r="CD135" i="1"/>
  <c r="A136" i="1"/>
  <c r="B136" i="1"/>
  <c r="C136" i="1"/>
  <c r="D136" i="1"/>
  <c r="E136" i="1"/>
  <c r="G136" i="1"/>
  <c r="J136" i="1"/>
  <c r="M136" i="1"/>
  <c r="P136" i="1"/>
  <c r="Q136" i="1"/>
  <c r="R136" i="1"/>
  <c r="H136" i="1" s="1"/>
  <c r="T136" i="1"/>
  <c r="U136" i="1"/>
  <c r="V136" i="1"/>
  <c r="W136" i="1"/>
  <c r="Z136" i="1"/>
  <c r="AA136" i="1"/>
  <c r="AC136" i="1"/>
  <c r="AE136" i="1"/>
  <c r="AH136" i="1"/>
  <c r="AQ136" i="1"/>
  <c r="AR136" i="1"/>
  <c r="AS136" i="1"/>
  <c r="AT136" i="1"/>
  <c r="AU136" i="1"/>
  <c r="AV136" i="1"/>
  <c r="AW136" i="1"/>
  <c r="AX136" i="1"/>
  <c r="AY136" i="1"/>
  <c r="AZ136" i="1"/>
  <c r="BA136" i="1"/>
  <c r="BB136" i="1"/>
  <c r="BC136" i="1"/>
  <c r="BD136" i="1"/>
  <c r="BE136" i="1"/>
  <c r="BF136" i="1"/>
  <c r="BG136" i="1"/>
  <c r="BH136" i="1"/>
  <c r="BI136" i="1"/>
  <c r="BJ136" i="1"/>
  <c r="BK136" i="1"/>
  <c r="BL136" i="1"/>
  <c r="BM136" i="1"/>
  <c r="BN136" i="1"/>
  <c r="BO136" i="1"/>
  <c r="BP136" i="1"/>
  <c r="BQ136" i="1"/>
  <c r="BR136" i="1"/>
  <c r="BS136" i="1"/>
  <c r="BT136" i="1"/>
  <c r="BU136" i="1"/>
  <c r="BV136" i="1"/>
  <c r="BW136" i="1"/>
  <c r="BX136" i="1"/>
  <c r="BY136" i="1"/>
  <c r="BZ136" i="1"/>
  <c r="CA136" i="1"/>
  <c r="CB136" i="1"/>
  <c r="CC136" i="1"/>
  <c r="CD136" i="1"/>
  <c r="A137" i="1"/>
  <c r="B137" i="1"/>
  <c r="I137" i="1" s="1"/>
  <c r="C137" i="1"/>
  <c r="D137" i="1"/>
  <c r="E137" i="1"/>
  <c r="G137" i="1"/>
  <c r="J137" i="1"/>
  <c r="M137" i="1"/>
  <c r="P137" i="1"/>
  <c r="F137" i="1" s="1"/>
  <c r="Q137" i="1"/>
  <c r="R137" i="1"/>
  <c r="H137" i="1" s="1"/>
  <c r="T137" i="1"/>
  <c r="U137" i="1"/>
  <c r="V137" i="1"/>
  <c r="W137" i="1"/>
  <c r="Z137" i="1"/>
  <c r="AA137" i="1"/>
  <c r="AC137" i="1"/>
  <c r="AE137" i="1"/>
  <c r="AH137" i="1"/>
  <c r="AQ137" i="1"/>
  <c r="AR137" i="1"/>
  <c r="AS137" i="1"/>
  <c r="AT137" i="1"/>
  <c r="AU137" i="1"/>
  <c r="AV137" i="1"/>
  <c r="AW137" i="1"/>
  <c r="AX137" i="1"/>
  <c r="AY137" i="1"/>
  <c r="AZ137" i="1"/>
  <c r="BA137" i="1"/>
  <c r="BB137" i="1"/>
  <c r="BC137" i="1"/>
  <c r="BD137" i="1"/>
  <c r="BE137" i="1"/>
  <c r="BF137" i="1"/>
  <c r="BG137" i="1"/>
  <c r="BH137" i="1"/>
  <c r="BI137" i="1"/>
  <c r="BJ137" i="1"/>
  <c r="BK137" i="1"/>
  <c r="BL137" i="1"/>
  <c r="BM137" i="1"/>
  <c r="BN137" i="1"/>
  <c r="BO137" i="1"/>
  <c r="BP137" i="1"/>
  <c r="BQ137" i="1"/>
  <c r="BR137" i="1"/>
  <c r="BS137" i="1"/>
  <c r="BT137" i="1"/>
  <c r="BU137" i="1"/>
  <c r="BV137" i="1"/>
  <c r="BW137" i="1"/>
  <c r="BX137" i="1"/>
  <c r="BY137" i="1"/>
  <c r="BZ137" i="1"/>
  <c r="CA137" i="1"/>
  <c r="CB137" i="1"/>
  <c r="CC137" i="1"/>
  <c r="CD137" i="1"/>
  <c r="A138" i="1"/>
  <c r="B138" i="1"/>
  <c r="I138" i="1" s="1"/>
  <c r="C138" i="1"/>
  <c r="D138" i="1"/>
  <c r="E138" i="1"/>
  <c r="G138" i="1"/>
  <c r="J138" i="1"/>
  <c r="M138" i="1"/>
  <c r="P138" i="1"/>
  <c r="F138" i="1" s="1"/>
  <c r="Q138" i="1"/>
  <c r="R138" i="1"/>
  <c r="H138" i="1" s="1"/>
  <c r="T138" i="1"/>
  <c r="U138" i="1"/>
  <c r="V138" i="1"/>
  <c r="W138" i="1"/>
  <c r="Z138" i="1"/>
  <c r="AA138" i="1"/>
  <c r="AC138" i="1"/>
  <c r="AE138" i="1"/>
  <c r="AH138" i="1"/>
  <c r="AQ138" i="1"/>
  <c r="AR138" i="1"/>
  <c r="AS138" i="1"/>
  <c r="AT138" i="1"/>
  <c r="AU138" i="1"/>
  <c r="AV138" i="1"/>
  <c r="AW138" i="1"/>
  <c r="AX138" i="1"/>
  <c r="AY138" i="1"/>
  <c r="AZ138" i="1"/>
  <c r="BA138" i="1"/>
  <c r="BB138" i="1"/>
  <c r="BC138" i="1"/>
  <c r="BD138" i="1"/>
  <c r="BE138" i="1"/>
  <c r="BF138" i="1"/>
  <c r="BG138" i="1"/>
  <c r="BH138" i="1"/>
  <c r="BI138" i="1"/>
  <c r="BJ138" i="1"/>
  <c r="BK138" i="1"/>
  <c r="BL138" i="1"/>
  <c r="BM138" i="1"/>
  <c r="BN138" i="1"/>
  <c r="BO138" i="1"/>
  <c r="BP138" i="1"/>
  <c r="BQ138" i="1"/>
  <c r="BR138" i="1"/>
  <c r="BS138" i="1"/>
  <c r="BT138" i="1"/>
  <c r="BU138" i="1"/>
  <c r="BV138" i="1"/>
  <c r="BW138" i="1"/>
  <c r="BX138" i="1"/>
  <c r="BY138" i="1"/>
  <c r="BZ138" i="1"/>
  <c r="CA138" i="1"/>
  <c r="CB138" i="1"/>
  <c r="CC138" i="1"/>
  <c r="CD138" i="1"/>
  <c r="A139" i="1"/>
  <c r="B139" i="1"/>
  <c r="I139" i="1" s="1"/>
  <c r="C139" i="1"/>
  <c r="D139" i="1"/>
  <c r="E139" i="1"/>
  <c r="G139" i="1"/>
  <c r="J139" i="1"/>
  <c r="M139" i="1"/>
  <c r="P139" i="1"/>
  <c r="F139" i="1" s="1"/>
  <c r="Q139" i="1"/>
  <c r="R139" i="1"/>
  <c r="H139" i="1" s="1"/>
  <c r="T139" i="1"/>
  <c r="U139" i="1"/>
  <c r="V139" i="1"/>
  <c r="W139" i="1"/>
  <c r="Z139" i="1"/>
  <c r="AA139" i="1"/>
  <c r="AC139" i="1"/>
  <c r="AE139" i="1"/>
  <c r="AH139" i="1"/>
  <c r="AQ139" i="1"/>
  <c r="AR139" i="1"/>
  <c r="AS139" i="1"/>
  <c r="AT139" i="1"/>
  <c r="AU139" i="1"/>
  <c r="AV139" i="1"/>
  <c r="AW139" i="1"/>
  <c r="AX139" i="1"/>
  <c r="AY139" i="1"/>
  <c r="AZ139" i="1"/>
  <c r="BA139" i="1"/>
  <c r="BB139" i="1"/>
  <c r="BC139" i="1"/>
  <c r="BD139" i="1"/>
  <c r="BE139" i="1"/>
  <c r="BF139" i="1"/>
  <c r="BG139" i="1"/>
  <c r="BH139" i="1"/>
  <c r="BI139" i="1"/>
  <c r="BJ139" i="1"/>
  <c r="BK139" i="1"/>
  <c r="BL139" i="1"/>
  <c r="BM139" i="1"/>
  <c r="BN139" i="1"/>
  <c r="BO139" i="1"/>
  <c r="BP139" i="1"/>
  <c r="BQ139" i="1"/>
  <c r="BR139" i="1"/>
  <c r="BS139" i="1"/>
  <c r="BT139" i="1"/>
  <c r="BU139" i="1"/>
  <c r="BV139" i="1"/>
  <c r="BW139" i="1"/>
  <c r="BX139" i="1"/>
  <c r="BY139" i="1"/>
  <c r="BZ139" i="1"/>
  <c r="CA139" i="1"/>
  <c r="CB139" i="1"/>
  <c r="CC139" i="1"/>
  <c r="CD139" i="1"/>
  <c r="A140" i="1"/>
  <c r="B140" i="1"/>
  <c r="C140" i="1"/>
  <c r="D140" i="1"/>
  <c r="E140" i="1"/>
  <c r="G140" i="1"/>
  <c r="I140" i="1"/>
  <c r="J140" i="1"/>
  <c r="M140" i="1"/>
  <c r="P140" i="1"/>
  <c r="F140" i="1" s="1"/>
  <c r="Q140" i="1"/>
  <c r="R140" i="1"/>
  <c r="H140" i="1" s="1"/>
  <c r="T140" i="1"/>
  <c r="U140" i="1"/>
  <c r="V140" i="1"/>
  <c r="W140" i="1"/>
  <c r="Z140" i="1"/>
  <c r="AA140" i="1"/>
  <c r="AC140" i="1"/>
  <c r="AE140" i="1"/>
  <c r="AH140" i="1"/>
  <c r="AQ140" i="1"/>
  <c r="AR140" i="1"/>
  <c r="AS140" i="1"/>
  <c r="AT140" i="1"/>
  <c r="AU140" i="1"/>
  <c r="AV140" i="1"/>
  <c r="AW140" i="1"/>
  <c r="AX140" i="1"/>
  <c r="AY140" i="1"/>
  <c r="AZ140" i="1"/>
  <c r="BA140" i="1"/>
  <c r="BB140" i="1"/>
  <c r="BC140" i="1"/>
  <c r="BD140" i="1"/>
  <c r="BE140" i="1"/>
  <c r="BF140" i="1"/>
  <c r="BG140" i="1"/>
  <c r="BH140" i="1"/>
  <c r="BI140" i="1"/>
  <c r="BJ140" i="1"/>
  <c r="BK140" i="1"/>
  <c r="BL140" i="1"/>
  <c r="BM140" i="1"/>
  <c r="BN140" i="1"/>
  <c r="BO140" i="1"/>
  <c r="BP140" i="1"/>
  <c r="BQ140" i="1"/>
  <c r="BR140" i="1"/>
  <c r="BS140" i="1"/>
  <c r="BT140" i="1"/>
  <c r="BU140" i="1"/>
  <c r="BV140" i="1"/>
  <c r="BW140" i="1"/>
  <c r="BX140" i="1"/>
  <c r="BY140" i="1"/>
  <c r="BZ140" i="1"/>
  <c r="CA140" i="1"/>
  <c r="CB140" i="1"/>
  <c r="CC140" i="1"/>
  <c r="CD140" i="1"/>
  <c r="A141" i="1"/>
  <c r="B141" i="1"/>
  <c r="C141" i="1"/>
  <c r="D141" i="1"/>
  <c r="E141" i="1"/>
  <c r="G141" i="1"/>
  <c r="J141" i="1"/>
  <c r="M141" i="1"/>
  <c r="P141" i="1"/>
  <c r="Q141" i="1"/>
  <c r="R141" i="1"/>
  <c r="H141" i="1" s="1"/>
  <c r="T141" i="1"/>
  <c r="U141" i="1"/>
  <c r="V141" i="1"/>
  <c r="W141" i="1"/>
  <c r="Z141" i="1"/>
  <c r="AA141" i="1"/>
  <c r="AC141" i="1"/>
  <c r="AE141" i="1"/>
  <c r="AH141" i="1"/>
  <c r="AQ141" i="1"/>
  <c r="AR141" i="1"/>
  <c r="AS141" i="1"/>
  <c r="AT141" i="1"/>
  <c r="AU141" i="1"/>
  <c r="AV141" i="1"/>
  <c r="AW141" i="1"/>
  <c r="AX141" i="1"/>
  <c r="AY141" i="1"/>
  <c r="AZ141" i="1"/>
  <c r="BA141" i="1"/>
  <c r="BB141" i="1"/>
  <c r="BC141" i="1"/>
  <c r="BD141" i="1"/>
  <c r="BE141" i="1"/>
  <c r="BF141" i="1"/>
  <c r="BG141" i="1"/>
  <c r="BH141" i="1"/>
  <c r="BI141" i="1"/>
  <c r="BJ141" i="1"/>
  <c r="BK141" i="1"/>
  <c r="BL141" i="1"/>
  <c r="BM141" i="1"/>
  <c r="BN141" i="1"/>
  <c r="BO141" i="1"/>
  <c r="BP141" i="1"/>
  <c r="BQ141" i="1"/>
  <c r="BR141" i="1"/>
  <c r="BS141" i="1"/>
  <c r="BT141" i="1"/>
  <c r="BU141" i="1"/>
  <c r="BV141" i="1"/>
  <c r="BW141" i="1"/>
  <c r="BX141" i="1"/>
  <c r="BY141" i="1"/>
  <c r="BZ141" i="1"/>
  <c r="CA141" i="1"/>
  <c r="CB141" i="1"/>
  <c r="CC141" i="1"/>
  <c r="CD141" i="1"/>
  <c r="A142" i="1"/>
  <c r="B142" i="1"/>
  <c r="I142" i="1" s="1"/>
  <c r="C142" i="1"/>
  <c r="D142" i="1"/>
  <c r="E142" i="1"/>
  <c r="G142" i="1"/>
  <c r="J142" i="1"/>
  <c r="M142" i="1"/>
  <c r="P142" i="1"/>
  <c r="F142" i="1" s="1"/>
  <c r="Q142" i="1"/>
  <c r="R142" i="1"/>
  <c r="H142" i="1" s="1"/>
  <c r="T142" i="1"/>
  <c r="U142" i="1"/>
  <c r="V142" i="1"/>
  <c r="W142" i="1"/>
  <c r="Z142" i="1"/>
  <c r="AA142" i="1"/>
  <c r="AC142" i="1"/>
  <c r="AE142" i="1"/>
  <c r="AH142" i="1"/>
  <c r="AQ142" i="1"/>
  <c r="AR142" i="1"/>
  <c r="AS142" i="1"/>
  <c r="AT142" i="1"/>
  <c r="AU142" i="1"/>
  <c r="AV142" i="1"/>
  <c r="AW142" i="1"/>
  <c r="AX142" i="1"/>
  <c r="AY142" i="1"/>
  <c r="AZ142" i="1"/>
  <c r="BA142" i="1"/>
  <c r="BB142" i="1"/>
  <c r="BC142" i="1"/>
  <c r="BD142" i="1"/>
  <c r="BE142" i="1"/>
  <c r="BF142" i="1"/>
  <c r="BG142" i="1"/>
  <c r="BH142" i="1"/>
  <c r="BI142" i="1"/>
  <c r="BJ142" i="1"/>
  <c r="BK142" i="1"/>
  <c r="BL142" i="1"/>
  <c r="BM142" i="1"/>
  <c r="BN142" i="1"/>
  <c r="BO142" i="1"/>
  <c r="BP142" i="1"/>
  <c r="BQ142" i="1"/>
  <c r="BR142" i="1"/>
  <c r="BS142" i="1"/>
  <c r="BT142" i="1"/>
  <c r="BU142" i="1"/>
  <c r="BV142" i="1"/>
  <c r="BW142" i="1"/>
  <c r="BX142" i="1"/>
  <c r="BY142" i="1"/>
  <c r="BZ142" i="1"/>
  <c r="CA142" i="1"/>
  <c r="CB142" i="1"/>
  <c r="CC142" i="1"/>
  <c r="CD142" i="1"/>
  <c r="A143" i="1"/>
  <c r="B143" i="1"/>
  <c r="I143" i="1" s="1"/>
  <c r="C143" i="1"/>
  <c r="D143" i="1"/>
  <c r="E143" i="1"/>
  <c r="G143" i="1"/>
  <c r="J143" i="1"/>
  <c r="M143" i="1"/>
  <c r="P143" i="1"/>
  <c r="F143" i="1" s="1"/>
  <c r="Q143" i="1"/>
  <c r="R143" i="1"/>
  <c r="H143" i="1" s="1"/>
  <c r="T143" i="1"/>
  <c r="U143" i="1"/>
  <c r="V143" i="1"/>
  <c r="W143" i="1"/>
  <c r="Z143" i="1"/>
  <c r="AA143" i="1"/>
  <c r="AC143" i="1"/>
  <c r="AE143" i="1"/>
  <c r="AH143" i="1"/>
  <c r="AQ143" i="1"/>
  <c r="AR143" i="1"/>
  <c r="AS143" i="1"/>
  <c r="AT143" i="1"/>
  <c r="AU143" i="1"/>
  <c r="AV143" i="1"/>
  <c r="AW143" i="1"/>
  <c r="AX143" i="1"/>
  <c r="AY143" i="1"/>
  <c r="AZ143" i="1"/>
  <c r="BA143" i="1"/>
  <c r="BB143" i="1"/>
  <c r="BC143" i="1"/>
  <c r="BD143" i="1"/>
  <c r="BE143" i="1"/>
  <c r="BF143" i="1"/>
  <c r="BG143" i="1"/>
  <c r="BH143" i="1"/>
  <c r="BI143" i="1"/>
  <c r="BJ143" i="1"/>
  <c r="BK143" i="1"/>
  <c r="BL143" i="1"/>
  <c r="BM143" i="1"/>
  <c r="BN143" i="1"/>
  <c r="BO143" i="1"/>
  <c r="BP143" i="1"/>
  <c r="BQ143" i="1"/>
  <c r="BR143" i="1"/>
  <c r="BS143" i="1"/>
  <c r="BT143" i="1"/>
  <c r="BU143" i="1"/>
  <c r="BV143" i="1"/>
  <c r="BW143" i="1"/>
  <c r="BX143" i="1"/>
  <c r="BY143" i="1"/>
  <c r="BZ143" i="1"/>
  <c r="CA143" i="1"/>
  <c r="CB143" i="1"/>
  <c r="CC143" i="1"/>
  <c r="CD143" i="1"/>
  <c r="A144" i="1"/>
  <c r="B144" i="1"/>
  <c r="C144" i="1"/>
  <c r="D144" i="1"/>
  <c r="E144" i="1"/>
  <c r="G144" i="1"/>
  <c r="I144" i="1"/>
  <c r="J144" i="1"/>
  <c r="M144" i="1"/>
  <c r="P144" i="1"/>
  <c r="F144" i="1" s="1"/>
  <c r="Q144" i="1"/>
  <c r="R144" i="1"/>
  <c r="H144" i="1" s="1"/>
  <c r="T144" i="1"/>
  <c r="U144" i="1"/>
  <c r="V144" i="1"/>
  <c r="W144" i="1"/>
  <c r="Z144" i="1"/>
  <c r="AA144" i="1"/>
  <c r="AC144" i="1"/>
  <c r="AE144" i="1"/>
  <c r="AH144" i="1"/>
  <c r="AQ144" i="1"/>
  <c r="AR144" i="1"/>
  <c r="AS144" i="1"/>
  <c r="AT144" i="1"/>
  <c r="AU144" i="1"/>
  <c r="AV144" i="1"/>
  <c r="AW144" i="1"/>
  <c r="AX144" i="1"/>
  <c r="AY144" i="1"/>
  <c r="AZ144" i="1"/>
  <c r="BA144" i="1"/>
  <c r="BB144" i="1"/>
  <c r="BC144" i="1"/>
  <c r="BD144" i="1"/>
  <c r="BE144" i="1"/>
  <c r="BF144" i="1"/>
  <c r="BG144" i="1"/>
  <c r="BH144" i="1"/>
  <c r="BI144" i="1"/>
  <c r="BJ144" i="1"/>
  <c r="BK144" i="1"/>
  <c r="BL144" i="1"/>
  <c r="BM144" i="1"/>
  <c r="BN144" i="1"/>
  <c r="BO144" i="1"/>
  <c r="BP144" i="1"/>
  <c r="BQ144" i="1"/>
  <c r="BR144" i="1"/>
  <c r="BS144" i="1"/>
  <c r="BT144" i="1"/>
  <c r="BU144" i="1"/>
  <c r="BV144" i="1"/>
  <c r="BW144" i="1"/>
  <c r="BX144" i="1"/>
  <c r="BY144" i="1"/>
  <c r="BZ144" i="1"/>
  <c r="CA144" i="1"/>
  <c r="CB144" i="1"/>
  <c r="CC144" i="1"/>
  <c r="CD144" i="1"/>
  <c r="A145" i="1"/>
  <c r="B145" i="1"/>
  <c r="C145" i="1"/>
  <c r="D145" i="1"/>
  <c r="E145" i="1"/>
  <c r="G145" i="1"/>
  <c r="I145" i="1"/>
  <c r="J145" i="1"/>
  <c r="M145" i="1"/>
  <c r="P145" i="1"/>
  <c r="F145" i="1" s="1"/>
  <c r="Q145" i="1"/>
  <c r="R145" i="1"/>
  <c r="H145" i="1" s="1"/>
  <c r="T145" i="1"/>
  <c r="U145" i="1"/>
  <c r="V145" i="1"/>
  <c r="W145" i="1"/>
  <c r="Z145" i="1"/>
  <c r="AA145" i="1"/>
  <c r="AC145" i="1"/>
  <c r="AE145" i="1"/>
  <c r="AH145" i="1"/>
  <c r="AQ145" i="1"/>
  <c r="AR145" i="1"/>
  <c r="AS145" i="1"/>
  <c r="AT145" i="1"/>
  <c r="AU145" i="1"/>
  <c r="AV145" i="1"/>
  <c r="AW145" i="1"/>
  <c r="AX145" i="1"/>
  <c r="AY145" i="1"/>
  <c r="AZ145" i="1"/>
  <c r="BA145" i="1"/>
  <c r="BB145" i="1"/>
  <c r="BC145" i="1"/>
  <c r="BD145" i="1"/>
  <c r="BE145" i="1"/>
  <c r="BF145" i="1"/>
  <c r="BG145" i="1"/>
  <c r="BH145" i="1"/>
  <c r="BI145" i="1"/>
  <c r="BJ145" i="1"/>
  <c r="BK145" i="1"/>
  <c r="BL145" i="1"/>
  <c r="BM145" i="1"/>
  <c r="BN145" i="1"/>
  <c r="BO145" i="1"/>
  <c r="BP145" i="1"/>
  <c r="BQ145" i="1"/>
  <c r="BR145" i="1"/>
  <c r="BS145" i="1"/>
  <c r="BT145" i="1"/>
  <c r="BU145" i="1"/>
  <c r="BV145" i="1"/>
  <c r="BW145" i="1"/>
  <c r="BX145" i="1"/>
  <c r="BY145" i="1"/>
  <c r="BZ145" i="1"/>
  <c r="CA145" i="1"/>
  <c r="CB145" i="1"/>
  <c r="CC145" i="1"/>
  <c r="CD145" i="1"/>
  <c r="A146" i="1"/>
  <c r="B146" i="1"/>
  <c r="C146" i="1"/>
  <c r="D146" i="1"/>
  <c r="E146" i="1"/>
  <c r="G146" i="1"/>
  <c r="I146" i="1"/>
  <c r="J146" i="1"/>
  <c r="M146" i="1"/>
  <c r="P146" i="1"/>
  <c r="F146" i="1" s="1"/>
  <c r="Q146" i="1"/>
  <c r="R146" i="1"/>
  <c r="H146" i="1" s="1"/>
  <c r="T146" i="1"/>
  <c r="U146" i="1"/>
  <c r="V146" i="1"/>
  <c r="W146" i="1"/>
  <c r="Z146" i="1"/>
  <c r="AA146" i="1"/>
  <c r="AC146" i="1"/>
  <c r="AE146" i="1"/>
  <c r="AH146" i="1"/>
  <c r="AQ146" i="1"/>
  <c r="AR146" i="1"/>
  <c r="AS146" i="1"/>
  <c r="AT146" i="1"/>
  <c r="AU146" i="1"/>
  <c r="AV146" i="1"/>
  <c r="AW146" i="1"/>
  <c r="AX146" i="1"/>
  <c r="AY146" i="1"/>
  <c r="AZ146" i="1"/>
  <c r="BA146" i="1"/>
  <c r="BB146" i="1"/>
  <c r="BC146" i="1"/>
  <c r="BD146" i="1"/>
  <c r="BE146" i="1"/>
  <c r="BF146" i="1"/>
  <c r="BG146" i="1"/>
  <c r="BH146" i="1"/>
  <c r="BI146" i="1"/>
  <c r="BJ146" i="1"/>
  <c r="BK146" i="1"/>
  <c r="BL146" i="1"/>
  <c r="BM146" i="1"/>
  <c r="BN146" i="1"/>
  <c r="BO146" i="1"/>
  <c r="BP146" i="1"/>
  <c r="BQ146" i="1"/>
  <c r="BR146" i="1"/>
  <c r="BS146" i="1"/>
  <c r="BT146" i="1"/>
  <c r="BU146" i="1"/>
  <c r="BV146" i="1"/>
  <c r="BW146" i="1"/>
  <c r="BX146" i="1"/>
  <c r="BY146" i="1"/>
  <c r="BZ146" i="1"/>
  <c r="CA146" i="1"/>
  <c r="CB146" i="1"/>
  <c r="CC146" i="1"/>
  <c r="CD146" i="1"/>
  <c r="A147" i="1"/>
  <c r="B147" i="1"/>
  <c r="C147" i="1"/>
  <c r="D147" i="1"/>
  <c r="E147" i="1"/>
  <c r="G147" i="1"/>
  <c r="I147" i="1"/>
  <c r="J147" i="1"/>
  <c r="M147" i="1"/>
  <c r="P147" i="1"/>
  <c r="F147" i="1" s="1"/>
  <c r="Q147" i="1"/>
  <c r="R147" i="1"/>
  <c r="H147" i="1" s="1"/>
  <c r="T147" i="1"/>
  <c r="U147" i="1"/>
  <c r="V147" i="1"/>
  <c r="W147" i="1"/>
  <c r="Z147" i="1"/>
  <c r="AA147" i="1"/>
  <c r="AC147" i="1"/>
  <c r="AE147" i="1"/>
  <c r="AH147" i="1"/>
  <c r="AQ147" i="1"/>
  <c r="AR147" i="1"/>
  <c r="AS147" i="1"/>
  <c r="AT147" i="1"/>
  <c r="AU147" i="1"/>
  <c r="AV147" i="1"/>
  <c r="AW147" i="1"/>
  <c r="AX147" i="1"/>
  <c r="AY147" i="1"/>
  <c r="AZ147" i="1"/>
  <c r="BA147" i="1"/>
  <c r="BB147" i="1"/>
  <c r="BC147" i="1"/>
  <c r="BD147" i="1"/>
  <c r="BE147" i="1"/>
  <c r="BF147" i="1"/>
  <c r="BG147" i="1"/>
  <c r="BH147" i="1"/>
  <c r="BI147" i="1"/>
  <c r="BJ147" i="1"/>
  <c r="BK147" i="1"/>
  <c r="BL147" i="1"/>
  <c r="BM147" i="1"/>
  <c r="BN147" i="1"/>
  <c r="BO147" i="1"/>
  <c r="BP147" i="1"/>
  <c r="BQ147" i="1"/>
  <c r="BR147" i="1"/>
  <c r="BS147" i="1"/>
  <c r="BT147" i="1"/>
  <c r="BU147" i="1"/>
  <c r="BV147" i="1"/>
  <c r="BW147" i="1"/>
  <c r="BX147" i="1"/>
  <c r="BY147" i="1"/>
  <c r="BZ147" i="1"/>
  <c r="CA147" i="1"/>
  <c r="CB147" i="1"/>
  <c r="CC147" i="1"/>
  <c r="CD147" i="1"/>
  <c r="A148" i="1"/>
  <c r="B148" i="1"/>
  <c r="C148" i="1"/>
  <c r="D148" i="1"/>
  <c r="E148" i="1"/>
  <c r="G148" i="1"/>
  <c r="I148" i="1"/>
  <c r="J148" i="1"/>
  <c r="M148" i="1"/>
  <c r="P148" i="1"/>
  <c r="F148" i="1" s="1"/>
  <c r="Q148" i="1"/>
  <c r="R148" i="1"/>
  <c r="H148" i="1" s="1"/>
  <c r="T148" i="1"/>
  <c r="U148" i="1"/>
  <c r="V148" i="1"/>
  <c r="W148" i="1"/>
  <c r="Z148" i="1"/>
  <c r="AA148" i="1"/>
  <c r="AC148" i="1"/>
  <c r="AE148" i="1"/>
  <c r="AH148" i="1"/>
  <c r="AQ148" i="1"/>
  <c r="AR148" i="1"/>
  <c r="AS148" i="1"/>
  <c r="AT148" i="1"/>
  <c r="AU148" i="1"/>
  <c r="AV148" i="1"/>
  <c r="AW148" i="1"/>
  <c r="AX148" i="1"/>
  <c r="AY148" i="1"/>
  <c r="AZ148" i="1"/>
  <c r="BA148" i="1"/>
  <c r="BB148" i="1"/>
  <c r="BC148" i="1"/>
  <c r="BD148" i="1"/>
  <c r="BE148" i="1"/>
  <c r="BF148" i="1"/>
  <c r="BG148" i="1"/>
  <c r="BH148" i="1"/>
  <c r="BI148" i="1"/>
  <c r="BJ148" i="1"/>
  <c r="BK148" i="1"/>
  <c r="BL148" i="1"/>
  <c r="BM148" i="1"/>
  <c r="BN148" i="1"/>
  <c r="BO148" i="1"/>
  <c r="BP148" i="1"/>
  <c r="BQ148" i="1"/>
  <c r="BR148" i="1"/>
  <c r="BS148" i="1"/>
  <c r="BT148" i="1"/>
  <c r="BU148" i="1"/>
  <c r="BV148" i="1"/>
  <c r="BW148" i="1"/>
  <c r="BX148" i="1"/>
  <c r="BY148" i="1"/>
  <c r="BZ148" i="1"/>
  <c r="CA148" i="1"/>
  <c r="CB148" i="1"/>
  <c r="CC148" i="1"/>
  <c r="CD148" i="1"/>
  <c r="A149" i="1"/>
  <c r="B149" i="1"/>
  <c r="C149" i="1"/>
  <c r="D149" i="1"/>
  <c r="E149" i="1"/>
  <c r="G149" i="1"/>
  <c r="I149" i="1"/>
  <c r="J149" i="1"/>
  <c r="M149" i="1"/>
  <c r="P149" i="1"/>
  <c r="F149" i="1" s="1"/>
  <c r="Q149" i="1"/>
  <c r="R149" i="1"/>
  <c r="H149" i="1" s="1"/>
  <c r="T149" i="1"/>
  <c r="U149" i="1"/>
  <c r="V149" i="1"/>
  <c r="W149" i="1"/>
  <c r="Z149" i="1"/>
  <c r="AA149" i="1"/>
  <c r="AC149" i="1"/>
  <c r="AE149" i="1"/>
  <c r="AH149" i="1"/>
  <c r="AQ149" i="1"/>
  <c r="AR149" i="1"/>
  <c r="AS149" i="1"/>
  <c r="AT149" i="1"/>
  <c r="AU149" i="1"/>
  <c r="AV149" i="1"/>
  <c r="AW149" i="1"/>
  <c r="AX149" i="1"/>
  <c r="AY149" i="1"/>
  <c r="AZ149" i="1"/>
  <c r="BA149" i="1"/>
  <c r="BB149" i="1"/>
  <c r="BC149" i="1"/>
  <c r="BD149" i="1"/>
  <c r="BE149" i="1"/>
  <c r="BF149" i="1"/>
  <c r="BG149" i="1"/>
  <c r="BH149" i="1"/>
  <c r="BI149" i="1"/>
  <c r="BJ149" i="1"/>
  <c r="BK149" i="1"/>
  <c r="BL149" i="1"/>
  <c r="BM149" i="1"/>
  <c r="BN149" i="1"/>
  <c r="BO149" i="1"/>
  <c r="BP149" i="1"/>
  <c r="BQ149" i="1"/>
  <c r="BR149" i="1"/>
  <c r="BS149" i="1"/>
  <c r="BT149" i="1"/>
  <c r="BU149" i="1"/>
  <c r="BV149" i="1"/>
  <c r="BW149" i="1"/>
  <c r="BX149" i="1"/>
  <c r="BY149" i="1"/>
  <c r="BZ149" i="1"/>
  <c r="CA149" i="1"/>
  <c r="CB149" i="1"/>
  <c r="CC149" i="1"/>
  <c r="CD149" i="1"/>
  <c r="A150" i="1"/>
  <c r="B150" i="1"/>
  <c r="C150" i="1"/>
  <c r="D150" i="1"/>
  <c r="E150" i="1"/>
  <c r="G150" i="1"/>
  <c r="I150" i="1"/>
  <c r="J150" i="1"/>
  <c r="M150" i="1"/>
  <c r="P150" i="1"/>
  <c r="F150" i="1" s="1"/>
  <c r="Q150" i="1"/>
  <c r="R150" i="1"/>
  <c r="H150" i="1" s="1"/>
  <c r="T150" i="1"/>
  <c r="U150" i="1"/>
  <c r="V150" i="1"/>
  <c r="W150" i="1"/>
  <c r="Z150" i="1"/>
  <c r="AA150" i="1"/>
  <c r="AC150" i="1"/>
  <c r="AE150" i="1"/>
  <c r="AH150" i="1"/>
  <c r="AQ150" i="1"/>
  <c r="AR150" i="1"/>
  <c r="AS150" i="1"/>
  <c r="AT150" i="1"/>
  <c r="AU150" i="1"/>
  <c r="AV150" i="1"/>
  <c r="AW150" i="1"/>
  <c r="AX150" i="1"/>
  <c r="AY150" i="1"/>
  <c r="AZ150" i="1"/>
  <c r="BA150" i="1"/>
  <c r="BB150" i="1"/>
  <c r="BC150" i="1"/>
  <c r="BD150" i="1"/>
  <c r="BE150" i="1"/>
  <c r="BF150" i="1"/>
  <c r="BG150" i="1"/>
  <c r="BH150" i="1"/>
  <c r="BI150" i="1"/>
  <c r="BJ150" i="1"/>
  <c r="BK150" i="1"/>
  <c r="BL150" i="1"/>
  <c r="BM150" i="1"/>
  <c r="BN150" i="1"/>
  <c r="BO150" i="1"/>
  <c r="BP150" i="1"/>
  <c r="BQ150" i="1"/>
  <c r="BR150" i="1"/>
  <c r="BS150" i="1"/>
  <c r="BT150" i="1"/>
  <c r="BU150" i="1"/>
  <c r="BV150" i="1"/>
  <c r="BW150" i="1"/>
  <c r="BX150" i="1"/>
  <c r="BY150" i="1"/>
  <c r="BZ150" i="1"/>
  <c r="CA150" i="1"/>
  <c r="CB150" i="1"/>
  <c r="CC150" i="1"/>
  <c r="CD150" i="1"/>
  <c r="A151" i="1"/>
  <c r="B151" i="1"/>
  <c r="C151" i="1"/>
  <c r="D151" i="1"/>
  <c r="E151" i="1"/>
  <c r="G151" i="1"/>
  <c r="I151" i="1"/>
  <c r="J151" i="1"/>
  <c r="M151" i="1"/>
  <c r="P151" i="1"/>
  <c r="F151" i="1" s="1"/>
  <c r="Q151" i="1"/>
  <c r="R151" i="1"/>
  <c r="H151" i="1" s="1"/>
  <c r="T151" i="1"/>
  <c r="U151" i="1"/>
  <c r="V151" i="1"/>
  <c r="W151" i="1"/>
  <c r="Z151" i="1"/>
  <c r="AA151" i="1"/>
  <c r="AC151" i="1"/>
  <c r="AE151" i="1"/>
  <c r="AH151" i="1"/>
  <c r="AQ151" i="1"/>
  <c r="AR151" i="1"/>
  <c r="AS151" i="1"/>
  <c r="AT151" i="1"/>
  <c r="AU151" i="1"/>
  <c r="AV151" i="1"/>
  <c r="AW151" i="1"/>
  <c r="AX151" i="1"/>
  <c r="AY151" i="1"/>
  <c r="AZ151" i="1"/>
  <c r="BA151" i="1"/>
  <c r="BB151" i="1"/>
  <c r="BC151" i="1"/>
  <c r="BD151" i="1"/>
  <c r="BE151" i="1"/>
  <c r="BF151" i="1"/>
  <c r="BG151" i="1"/>
  <c r="BH151" i="1"/>
  <c r="BI151" i="1"/>
  <c r="BJ151" i="1"/>
  <c r="BK151" i="1"/>
  <c r="BL151" i="1"/>
  <c r="BM151" i="1"/>
  <c r="BN151" i="1"/>
  <c r="BO151" i="1"/>
  <c r="BP151" i="1"/>
  <c r="BQ151" i="1"/>
  <c r="BR151" i="1"/>
  <c r="BS151" i="1"/>
  <c r="BT151" i="1"/>
  <c r="BU151" i="1"/>
  <c r="BV151" i="1"/>
  <c r="BW151" i="1"/>
  <c r="BX151" i="1"/>
  <c r="BY151" i="1"/>
  <c r="BZ151" i="1"/>
  <c r="CA151" i="1"/>
  <c r="CB151" i="1"/>
  <c r="CC151" i="1"/>
  <c r="CD151" i="1"/>
  <c r="A152" i="1"/>
  <c r="B152" i="1"/>
  <c r="C152" i="1"/>
  <c r="D152" i="1"/>
  <c r="E152" i="1"/>
  <c r="G152" i="1"/>
  <c r="J152" i="1"/>
  <c r="M152" i="1"/>
  <c r="P152" i="1"/>
  <c r="Q152" i="1"/>
  <c r="R152" i="1"/>
  <c r="H152" i="1" s="1"/>
  <c r="T152" i="1"/>
  <c r="U152" i="1"/>
  <c r="V152" i="1"/>
  <c r="W152" i="1"/>
  <c r="Z152" i="1"/>
  <c r="AA152" i="1"/>
  <c r="AC152" i="1"/>
  <c r="AE152" i="1"/>
  <c r="AH152" i="1"/>
  <c r="AQ152" i="1"/>
  <c r="AR152" i="1"/>
  <c r="AS152" i="1"/>
  <c r="AT152" i="1"/>
  <c r="AU152" i="1"/>
  <c r="AV152" i="1"/>
  <c r="AW152" i="1"/>
  <c r="AX152" i="1"/>
  <c r="AY152" i="1"/>
  <c r="AZ152" i="1"/>
  <c r="BA152" i="1"/>
  <c r="BB152" i="1"/>
  <c r="BC152" i="1"/>
  <c r="BD152" i="1"/>
  <c r="BE152" i="1"/>
  <c r="BF152" i="1"/>
  <c r="BG152" i="1"/>
  <c r="BH152" i="1"/>
  <c r="BI152" i="1"/>
  <c r="BJ152" i="1"/>
  <c r="BK152" i="1"/>
  <c r="BL152" i="1"/>
  <c r="BM152" i="1"/>
  <c r="BN152" i="1"/>
  <c r="BO152" i="1"/>
  <c r="BP152" i="1"/>
  <c r="BQ152" i="1"/>
  <c r="BR152" i="1"/>
  <c r="BS152" i="1"/>
  <c r="BT152" i="1"/>
  <c r="BU152" i="1"/>
  <c r="BV152" i="1"/>
  <c r="BW152" i="1"/>
  <c r="BX152" i="1"/>
  <c r="BY152" i="1"/>
  <c r="BZ152" i="1"/>
  <c r="CA152" i="1"/>
  <c r="CB152" i="1"/>
  <c r="CC152" i="1"/>
  <c r="CD152" i="1"/>
  <c r="A153" i="1"/>
  <c r="B153" i="1"/>
  <c r="C153" i="1"/>
  <c r="D153" i="1"/>
  <c r="E153" i="1"/>
  <c r="G153" i="1"/>
  <c r="I153" i="1"/>
  <c r="J153" i="1"/>
  <c r="M153" i="1"/>
  <c r="P153" i="1"/>
  <c r="F153" i="1" s="1"/>
  <c r="Q153" i="1"/>
  <c r="R153" i="1"/>
  <c r="H153" i="1" s="1"/>
  <c r="T153" i="1"/>
  <c r="U153" i="1"/>
  <c r="V153" i="1"/>
  <c r="W153" i="1"/>
  <c r="Z153" i="1"/>
  <c r="AA153" i="1"/>
  <c r="AC153" i="1"/>
  <c r="AE153" i="1"/>
  <c r="AH153" i="1"/>
  <c r="AQ153" i="1"/>
  <c r="AR153" i="1"/>
  <c r="AS153" i="1"/>
  <c r="AT153" i="1"/>
  <c r="AU153" i="1"/>
  <c r="AV153" i="1"/>
  <c r="AW153" i="1"/>
  <c r="AX153" i="1"/>
  <c r="AY153" i="1"/>
  <c r="AZ153" i="1"/>
  <c r="BA153" i="1"/>
  <c r="BB153" i="1"/>
  <c r="BC153" i="1"/>
  <c r="BD153" i="1"/>
  <c r="BE153" i="1"/>
  <c r="BF153" i="1"/>
  <c r="BG153" i="1"/>
  <c r="BH153" i="1"/>
  <c r="BI153" i="1"/>
  <c r="BJ153" i="1"/>
  <c r="BK153" i="1"/>
  <c r="BL153" i="1"/>
  <c r="BM153" i="1"/>
  <c r="BN153" i="1"/>
  <c r="BO153" i="1"/>
  <c r="BP153" i="1"/>
  <c r="BQ153" i="1"/>
  <c r="BR153" i="1"/>
  <c r="BS153" i="1"/>
  <c r="BT153" i="1"/>
  <c r="BU153" i="1"/>
  <c r="BV153" i="1"/>
  <c r="BW153" i="1"/>
  <c r="BX153" i="1"/>
  <c r="BY153" i="1"/>
  <c r="BZ153" i="1"/>
  <c r="CA153" i="1"/>
  <c r="CB153" i="1"/>
  <c r="CC153" i="1"/>
  <c r="CD153" i="1"/>
  <c r="A154" i="1"/>
  <c r="B154" i="1"/>
  <c r="C154" i="1"/>
  <c r="D154" i="1"/>
  <c r="E154" i="1"/>
  <c r="G154" i="1"/>
  <c r="I154" i="1"/>
  <c r="J154" i="1"/>
  <c r="M154" i="1"/>
  <c r="P154" i="1"/>
  <c r="F154" i="1" s="1"/>
  <c r="Q154" i="1"/>
  <c r="R154" i="1"/>
  <c r="T154" i="1"/>
  <c r="U154" i="1"/>
  <c r="V154" i="1"/>
  <c r="W154" i="1"/>
  <c r="Z154" i="1"/>
  <c r="AA154" i="1"/>
  <c r="AC154" i="1"/>
  <c r="AE154" i="1"/>
  <c r="AH154" i="1"/>
  <c r="AQ154" i="1"/>
  <c r="AR154" i="1"/>
  <c r="AS154" i="1"/>
  <c r="AT154" i="1"/>
  <c r="AU154" i="1"/>
  <c r="AV154" i="1"/>
  <c r="AW154" i="1"/>
  <c r="AX154" i="1"/>
  <c r="AY154" i="1"/>
  <c r="AZ154" i="1"/>
  <c r="BA154" i="1"/>
  <c r="BB154" i="1"/>
  <c r="BC154" i="1"/>
  <c r="BD154" i="1"/>
  <c r="BE154" i="1"/>
  <c r="BF154" i="1"/>
  <c r="BG154" i="1"/>
  <c r="BH154" i="1"/>
  <c r="BI154" i="1"/>
  <c r="BJ154" i="1"/>
  <c r="BK154" i="1"/>
  <c r="BL154" i="1"/>
  <c r="BM154" i="1"/>
  <c r="BN154" i="1"/>
  <c r="BO154" i="1"/>
  <c r="BP154" i="1"/>
  <c r="BQ154" i="1"/>
  <c r="BR154" i="1"/>
  <c r="BS154" i="1"/>
  <c r="BT154" i="1"/>
  <c r="BU154" i="1"/>
  <c r="BV154" i="1"/>
  <c r="BW154" i="1"/>
  <c r="BX154" i="1"/>
  <c r="BY154" i="1"/>
  <c r="BZ154" i="1"/>
  <c r="CA154" i="1"/>
  <c r="CB154" i="1"/>
  <c r="CC154" i="1"/>
  <c r="CD154" i="1"/>
  <c r="A155" i="1"/>
  <c r="B155" i="1"/>
  <c r="C155" i="1"/>
  <c r="D155" i="1"/>
  <c r="E155" i="1"/>
  <c r="G155" i="1"/>
  <c r="J155" i="1"/>
  <c r="M155" i="1"/>
  <c r="P155" i="1"/>
  <c r="Q155" i="1"/>
  <c r="R155" i="1"/>
  <c r="H155" i="1" s="1"/>
  <c r="T155" i="1"/>
  <c r="U155" i="1"/>
  <c r="V155" i="1"/>
  <c r="W155" i="1"/>
  <c r="Z155" i="1"/>
  <c r="AA155" i="1"/>
  <c r="AC155" i="1"/>
  <c r="AE155" i="1"/>
  <c r="AH155" i="1"/>
  <c r="AQ155" i="1"/>
  <c r="AR155" i="1"/>
  <c r="AS155" i="1"/>
  <c r="AT155" i="1"/>
  <c r="AU155" i="1"/>
  <c r="AV155" i="1"/>
  <c r="AW155" i="1"/>
  <c r="AX155" i="1"/>
  <c r="AY155" i="1"/>
  <c r="AZ155" i="1"/>
  <c r="BA155" i="1"/>
  <c r="BB155" i="1"/>
  <c r="BC155" i="1"/>
  <c r="BD155" i="1"/>
  <c r="BE155" i="1"/>
  <c r="BF155" i="1"/>
  <c r="BG155" i="1"/>
  <c r="BH155" i="1"/>
  <c r="BI155" i="1"/>
  <c r="BJ155" i="1"/>
  <c r="BK155" i="1"/>
  <c r="BL155" i="1"/>
  <c r="BM155" i="1"/>
  <c r="BN155" i="1"/>
  <c r="BO155" i="1"/>
  <c r="BP155" i="1"/>
  <c r="BQ155" i="1"/>
  <c r="BR155" i="1"/>
  <c r="BS155" i="1"/>
  <c r="BT155" i="1"/>
  <c r="BU155" i="1"/>
  <c r="BV155" i="1"/>
  <c r="BW155" i="1"/>
  <c r="BX155" i="1"/>
  <c r="BY155" i="1"/>
  <c r="BZ155" i="1"/>
  <c r="CA155" i="1"/>
  <c r="CB155" i="1"/>
  <c r="CC155" i="1"/>
  <c r="CD155" i="1"/>
  <c r="A156" i="1"/>
  <c r="B156" i="1"/>
  <c r="C156" i="1"/>
  <c r="D156" i="1"/>
  <c r="E156" i="1"/>
  <c r="G156" i="1"/>
  <c r="I156" i="1"/>
  <c r="J156" i="1"/>
  <c r="M156" i="1"/>
  <c r="P156" i="1"/>
  <c r="F156" i="1" s="1"/>
  <c r="Q156" i="1"/>
  <c r="R156" i="1"/>
  <c r="H156" i="1" s="1"/>
  <c r="T156" i="1"/>
  <c r="U156" i="1"/>
  <c r="V156" i="1"/>
  <c r="W156" i="1"/>
  <c r="Z156" i="1"/>
  <c r="AA156" i="1"/>
  <c r="AC156" i="1"/>
  <c r="AE156" i="1"/>
  <c r="AH156" i="1"/>
  <c r="AQ156" i="1"/>
  <c r="AR156" i="1"/>
  <c r="AS156" i="1"/>
  <c r="AT156" i="1"/>
  <c r="AU156" i="1"/>
  <c r="AV156" i="1"/>
  <c r="AW156" i="1"/>
  <c r="AX156" i="1"/>
  <c r="AY156" i="1"/>
  <c r="AZ156" i="1"/>
  <c r="BA156" i="1"/>
  <c r="BB156" i="1"/>
  <c r="BC156" i="1"/>
  <c r="BD156" i="1"/>
  <c r="BE156" i="1"/>
  <c r="BF156" i="1"/>
  <c r="BG156" i="1"/>
  <c r="BH156" i="1"/>
  <c r="BI156" i="1"/>
  <c r="BJ156" i="1"/>
  <c r="BK156" i="1"/>
  <c r="BL156" i="1"/>
  <c r="BM156" i="1"/>
  <c r="BN156" i="1"/>
  <c r="BO156" i="1"/>
  <c r="BP156" i="1"/>
  <c r="BQ156" i="1"/>
  <c r="BR156" i="1"/>
  <c r="BS156" i="1"/>
  <c r="BT156" i="1"/>
  <c r="BU156" i="1"/>
  <c r="BV156" i="1"/>
  <c r="BW156" i="1"/>
  <c r="BX156" i="1"/>
  <c r="BY156" i="1"/>
  <c r="BZ156" i="1"/>
  <c r="CA156" i="1"/>
  <c r="CB156" i="1"/>
  <c r="CC156" i="1"/>
  <c r="CD156" i="1"/>
  <c r="A157" i="1"/>
  <c r="B157" i="1"/>
  <c r="C157" i="1"/>
  <c r="D157" i="1"/>
  <c r="E157" i="1"/>
  <c r="G157" i="1"/>
  <c r="I157" i="1"/>
  <c r="J157" i="1"/>
  <c r="M157" i="1"/>
  <c r="P157" i="1"/>
  <c r="F157" i="1" s="1"/>
  <c r="Q157" i="1"/>
  <c r="R157" i="1"/>
  <c r="H157" i="1" s="1"/>
  <c r="T157" i="1"/>
  <c r="U157" i="1"/>
  <c r="V157" i="1"/>
  <c r="W157" i="1"/>
  <c r="Z157" i="1"/>
  <c r="AA157" i="1"/>
  <c r="AC157" i="1"/>
  <c r="AE157" i="1"/>
  <c r="AH157" i="1"/>
  <c r="AQ157" i="1"/>
  <c r="AR157" i="1"/>
  <c r="AS157" i="1"/>
  <c r="AT157" i="1"/>
  <c r="AU157" i="1"/>
  <c r="AV157" i="1"/>
  <c r="AW157" i="1"/>
  <c r="AX157" i="1"/>
  <c r="AY157" i="1"/>
  <c r="AZ157" i="1"/>
  <c r="BA157" i="1"/>
  <c r="BB157" i="1"/>
  <c r="BC157" i="1"/>
  <c r="BD157" i="1"/>
  <c r="BE157" i="1"/>
  <c r="BF157" i="1"/>
  <c r="BG157" i="1"/>
  <c r="BH157" i="1"/>
  <c r="BI157" i="1"/>
  <c r="BJ157" i="1"/>
  <c r="BK157" i="1"/>
  <c r="BL157" i="1"/>
  <c r="BM157" i="1"/>
  <c r="BN157" i="1"/>
  <c r="BO157" i="1"/>
  <c r="BP157" i="1"/>
  <c r="BQ157" i="1"/>
  <c r="BR157" i="1"/>
  <c r="BS157" i="1"/>
  <c r="BT157" i="1"/>
  <c r="BU157" i="1"/>
  <c r="BV157" i="1"/>
  <c r="BW157" i="1"/>
  <c r="BX157" i="1"/>
  <c r="BY157" i="1"/>
  <c r="BZ157" i="1"/>
  <c r="CA157" i="1"/>
  <c r="CB157" i="1"/>
  <c r="CC157" i="1"/>
  <c r="CD157" i="1"/>
  <c r="A158" i="1"/>
  <c r="B158" i="1"/>
  <c r="C158" i="1"/>
  <c r="D158" i="1"/>
  <c r="E158" i="1"/>
  <c r="G158" i="1"/>
  <c r="J158" i="1"/>
  <c r="M158" i="1"/>
  <c r="P158" i="1"/>
  <c r="Q158" i="1"/>
  <c r="R158" i="1"/>
  <c r="H158" i="1" s="1"/>
  <c r="T158" i="1"/>
  <c r="U158" i="1"/>
  <c r="V158" i="1"/>
  <c r="W158" i="1"/>
  <c r="Z158" i="1"/>
  <c r="AA158" i="1"/>
  <c r="AC158" i="1"/>
  <c r="AE158" i="1"/>
  <c r="AH158" i="1"/>
  <c r="AQ158" i="1"/>
  <c r="AR158" i="1"/>
  <c r="AS158" i="1"/>
  <c r="AT158" i="1"/>
  <c r="AU158" i="1"/>
  <c r="AV158" i="1"/>
  <c r="AW158" i="1"/>
  <c r="AX158" i="1"/>
  <c r="AY158" i="1"/>
  <c r="AZ158" i="1"/>
  <c r="BA158" i="1"/>
  <c r="BB158" i="1"/>
  <c r="BC158" i="1"/>
  <c r="BD158" i="1"/>
  <c r="BE158" i="1"/>
  <c r="BF158" i="1"/>
  <c r="BG158" i="1"/>
  <c r="BH158" i="1"/>
  <c r="BI158" i="1"/>
  <c r="BJ158" i="1"/>
  <c r="BK158" i="1"/>
  <c r="BL158" i="1"/>
  <c r="BM158" i="1"/>
  <c r="BN158" i="1"/>
  <c r="BO158" i="1"/>
  <c r="BP158" i="1"/>
  <c r="BQ158" i="1"/>
  <c r="BR158" i="1"/>
  <c r="BS158" i="1"/>
  <c r="BT158" i="1"/>
  <c r="BU158" i="1"/>
  <c r="BV158" i="1"/>
  <c r="BW158" i="1"/>
  <c r="BX158" i="1"/>
  <c r="BY158" i="1"/>
  <c r="BZ158" i="1"/>
  <c r="CA158" i="1"/>
  <c r="CB158" i="1"/>
  <c r="CC158" i="1"/>
  <c r="CD158" i="1"/>
  <c r="A159" i="1"/>
  <c r="B159" i="1"/>
  <c r="C159" i="1"/>
  <c r="D159" i="1"/>
  <c r="E159" i="1"/>
  <c r="G159" i="1"/>
  <c r="J159" i="1"/>
  <c r="M159" i="1"/>
  <c r="P159" i="1"/>
  <c r="Q159" i="1"/>
  <c r="R159" i="1"/>
  <c r="H159" i="1" s="1"/>
  <c r="T159" i="1"/>
  <c r="U159" i="1"/>
  <c r="V159" i="1"/>
  <c r="W159" i="1"/>
  <c r="Z159" i="1"/>
  <c r="AA159" i="1"/>
  <c r="AC159" i="1"/>
  <c r="AE159" i="1"/>
  <c r="AH159" i="1"/>
  <c r="AQ159" i="1"/>
  <c r="AR159" i="1"/>
  <c r="AS159" i="1"/>
  <c r="AT159" i="1"/>
  <c r="AU159" i="1"/>
  <c r="AV159" i="1"/>
  <c r="AW159" i="1"/>
  <c r="AX159" i="1"/>
  <c r="AY159" i="1"/>
  <c r="AZ159" i="1"/>
  <c r="BA159" i="1"/>
  <c r="BB159" i="1"/>
  <c r="BC159" i="1"/>
  <c r="BD159" i="1"/>
  <c r="BE159" i="1"/>
  <c r="BF159" i="1"/>
  <c r="BG159" i="1"/>
  <c r="BH159" i="1"/>
  <c r="BI159" i="1"/>
  <c r="BJ159" i="1"/>
  <c r="BK159" i="1"/>
  <c r="BL159" i="1"/>
  <c r="BM159" i="1"/>
  <c r="BN159" i="1"/>
  <c r="BO159" i="1"/>
  <c r="BP159" i="1"/>
  <c r="BQ159" i="1"/>
  <c r="BR159" i="1"/>
  <c r="BS159" i="1"/>
  <c r="BT159" i="1"/>
  <c r="BU159" i="1"/>
  <c r="BV159" i="1"/>
  <c r="BW159" i="1"/>
  <c r="BX159" i="1"/>
  <c r="BY159" i="1"/>
  <c r="BZ159" i="1"/>
  <c r="CA159" i="1"/>
  <c r="CB159" i="1"/>
  <c r="CC159" i="1"/>
  <c r="CD159" i="1"/>
  <c r="A160" i="1"/>
  <c r="B160" i="1"/>
  <c r="C160" i="1"/>
  <c r="D160" i="1"/>
  <c r="E160" i="1"/>
  <c r="G160" i="1"/>
  <c r="I160" i="1"/>
  <c r="J160" i="1"/>
  <c r="M160" i="1"/>
  <c r="P160" i="1"/>
  <c r="F160" i="1" s="1"/>
  <c r="Q160" i="1"/>
  <c r="R160" i="1"/>
  <c r="H160" i="1" s="1"/>
  <c r="T160" i="1"/>
  <c r="U160" i="1"/>
  <c r="V160" i="1"/>
  <c r="W160" i="1"/>
  <c r="Z160" i="1"/>
  <c r="AA160" i="1"/>
  <c r="AC160" i="1"/>
  <c r="AE160" i="1"/>
  <c r="AH160" i="1"/>
  <c r="AQ160" i="1"/>
  <c r="AR160" i="1"/>
  <c r="AS160" i="1"/>
  <c r="AT160" i="1"/>
  <c r="AU160" i="1"/>
  <c r="AV160" i="1"/>
  <c r="AW160" i="1"/>
  <c r="AX160" i="1"/>
  <c r="AY160" i="1"/>
  <c r="AZ160" i="1"/>
  <c r="BA160" i="1"/>
  <c r="BB160" i="1"/>
  <c r="BC160" i="1"/>
  <c r="BD160" i="1"/>
  <c r="BE160" i="1"/>
  <c r="BF160" i="1"/>
  <c r="BG160" i="1"/>
  <c r="BH160" i="1"/>
  <c r="BI160" i="1"/>
  <c r="BJ160" i="1"/>
  <c r="BK160" i="1"/>
  <c r="BL160" i="1"/>
  <c r="BM160" i="1"/>
  <c r="BN160" i="1"/>
  <c r="BO160" i="1"/>
  <c r="BP160" i="1"/>
  <c r="BQ160" i="1"/>
  <c r="BR160" i="1"/>
  <c r="BS160" i="1"/>
  <c r="BT160" i="1"/>
  <c r="BU160" i="1"/>
  <c r="BV160" i="1"/>
  <c r="BW160" i="1"/>
  <c r="BX160" i="1"/>
  <c r="BY160" i="1"/>
  <c r="BZ160" i="1"/>
  <c r="CA160" i="1"/>
  <c r="CB160" i="1"/>
  <c r="CC160" i="1"/>
  <c r="CD160" i="1"/>
  <c r="A161" i="1"/>
  <c r="B161" i="1"/>
  <c r="C161" i="1"/>
  <c r="D161" i="1"/>
  <c r="E161" i="1"/>
  <c r="G161" i="1"/>
  <c r="I161" i="1"/>
  <c r="J161" i="1"/>
  <c r="M161" i="1"/>
  <c r="P161" i="1"/>
  <c r="F161" i="1" s="1"/>
  <c r="Q161" i="1"/>
  <c r="R161" i="1"/>
  <c r="H161" i="1" s="1"/>
  <c r="T161" i="1"/>
  <c r="U161" i="1"/>
  <c r="V161" i="1"/>
  <c r="W161" i="1"/>
  <c r="Z161" i="1"/>
  <c r="AA161" i="1"/>
  <c r="AC161" i="1"/>
  <c r="AE161" i="1"/>
  <c r="AH161" i="1"/>
  <c r="AQ161" i="1"/>
  <c r="AR161" i="1"/>
  <c r="AS161" i="1"/>
  <c r="AT161" i="1"/>
  <c r="AU161" i="1"/>
  <c r="AV161" i="1"/>
  <c r="AW161" i="1"/>
  <c r="AX161" i="1"/>
  <c r="AY161" i="1"/>
  <c r="AZ161" i="1"/>
  <c r="BA161" i="1"/>
  <c r="BB161" i="1"/>
  <c r="BC161" i="1"/>
  <c r="BD161" i="1"/>
  <c r="BE161" i="1"/>
  <c r="BF161" i="1"/>
  <c r="BG161" i="1"/>
  <c r="BH161" i="1"/>
  <c r="BI161" i="1"/>
  <c r="BJ161" i="1"/>
  <c r="BK161" i="1"/>
  <c r="BL161" i="1"/>
  <c r="BM161" i="1"/>
  <c r="BN161" i="1"/>
  <c r="BO161" i="1"/>
  <c r="BP161" i="1"/>
  <c r="BQ161" i="1"/>
  <c r="BR161" i="1"/>
  <c r="BS161" i="1"/>
  <c r="BT161" i="1"/>
  <c r="BU161" i="1"/>
  <c r="BV161" i="1"/>
  <c r="BW161" i="1"/>
  <c r="BX161" i="1"/>
  <c r="BY161" i="1"/>
  <c r="BZ161" i="1"/>
  <c r="CA161" i="1"/>
  <c r="CB161" i="1"/>
  <c r="CC161" i="1"/>
  <c r="CD161" i="1"/>
  <c r="A162" i="1"/>
  <c r="B162" i="1"/>
  <c r="C162" i="1"/>
  <c r="D162" i="1"/>
  <c r="E162" i="1"/>
  <c r="G162" i="1"/>
  <c r="I162" i="1"/>
  <c r="J162" i="1"/>
  <c r="M162" i="1"/>
  <c r="P162" i="1"/>
  <c r="F162" i="1" s="1"/>
  <c r="Q162" i="1"/>
  <c r="R162" i="1"/>
  <c r="T162" i="1"/>
  <c r="U162" i="1"/>
  <c r="V162" i="1"/>
  <c r="W162" i="1"/>
  <c r="Z162" i="1"/>
  <c r="AA162" i="1"/>
  <c r="AC162" i="1"/>
  <c r="AE162" i="1"/>
  <c r="AH162" i="1"/>
  <c r="AQ162" i="1"/>
  <c r="AR162" i="1"/>
  <c r="AS162" i="1"/>
  <c r="AT162" i="1"/>
  <c r="AU162" i="1"/>
  <c r="AV162" i="1"/>
  <c r="AW162" i="1"/>
  <c r="AX162" i="1"/>
  <c r="AY162" i="1"/>
  <c r="AZ162" i="1"/>
  <c r="BA162" i="1"/>
  <c r="BB162" i="1"/>
  <c r="BC162" i="1"/>
  <c r="BD162" i="1"/>
  <c r="BE162" i="1"/>
  <c r="BF162" i="1"/>
  <c r="BG162" i="1"/>
  <c r="BH162" i="1"/>
  <c r="BI162" i="1"/>
  <c r="BJ162" i="1"/>
  <c r="BK162" i="1"/>
  <c r="BL162" i="1"/>
  <c r="BM162" i="1"/>
  <c r="BN162" i="1"/>
  <c r="BO162" i="1"/>
  <c r="BP162" i="1"/>
  <c r="BQ162" i="1"/>
  <c r="BR162" i="1"/>
  <c r="BS162" i="1"/>
  <c r="BT162" i="1"/>
  <c r="BU162" i="1"/>
  <c r="BV162" i="1"/>
  <c r="BW162" i="1"/>
  <c r="BX162" i="1"/>
  <c r="BY162" i="1"/>
  <c r="BZ162" i="1"/>
  <c r="CA162" i="1"/>
  <c r="CB162" i="1"/>
  <c r="CC162" i="1"/>
  <c r="CD162" i="1"/>
  <c r="A163" i="1"/>
  <c r="B163" i="1"/>
  <c r="C163" i="1"/>
  <c r="D163" i="1"/>
  <c r="E163" i="1"/>
  <c r="G163" i="1"/>
  <c r="I163" i="1"/>
  <c r="J163" i="1"/>
  <c r="M163" i="1"/>
  <c r="P163" i="1"/>
  <c r="F163" i="1" s="1"/>
  <c r="Q163" i="1"/>
  <c r="R163" i="1"/>
  <c r="H163" i="1" s="1"/>
  <c r="T163" i="1"/>
  <c r="U163" i="1"/>
  <c r="V163" i="1"/>
  <c r="W163" i="1"/>
  <c r="Z163" i="1"/>
  <c r="AA163" i="1"/>
  <c r="AC163" i="1"/>
  <c r="AE163" i="1"/>
  <c r="AH163" i="1"/>
  <c r="AQ163" i="1"/>
  <c r="AR163" i="1"/>
  <c r="AS163" i="1"/>
  <c r="AT163" i="1"/>
  <c r="AU163" i="1"/>
  <c r="AV163" i="1"/>
  <c r="AW163" i="1"/>
  <c r="AX163" i="1"/>
  <c r="AY163" i="1"/>
  <c r="AZ163" i="1"/>
  <c r="BA163" i="1"/>
  <c r="BB163" i="1"/>
  <c r="BC163" i="1"/>
  <c r="BD163" i="1"/>
  <c r="BE163" i="1"/>
  <c r="BF163" i="1"/>
  <c r="BG163" i="1"/>
  <c r="BH163" i="1"/>
  <c r="BI163" i="1"/>
  <c r="BJ163" i="1"/>
  <c r="BK163" i="1"/>
  <c r="BL163" i="1"/>
  <c r="BM163" i="1"/>
  <c r="BN163" i="1"/>
  <c r="BO163" i="1"/>
  <c r="BP163" i="1"/>
  <c r="BQ163" i="1"/>
  <c r="BR163" i="1"/>
  <c r="BS163" i="1"/>
  <c r="BT163" i="1"/>
  <c r="BU163" i="1"/>
  <c r="BV163" i="1"/>
  <c r="BW163" i="1"/>
  <c r="BX163" i="1"/>
  <c r="BY163" i="1"/>
  <c r="BZ163" i="1"/>
  <c r="CA163" i="1"/>
  <c r="CB163" i="1"/>
  <c r="CC163" i="1"/>
  <c r="CD163" i="1"/>
  <c r="A164" i="1"/>
  <c r="B164" i="1"/>
  <c r="C164" i="1"/>
  <c r="D164" i="1"/>
  <c r="E164" i="1"/>
  <c r="G164" i="1"/>
  <c r="J164" i="1"/>
  <c r="M164" i="1"/>
  <c r="P164" i="1"/>
  <c r="Q164" i="1"/>
  <c r="R164" i="1"/>
  <c r="H164" i="1" s="1"/>
  <c r="T164" i="1"/>
  <c r="U164" i="1"/>
  <c r="V164" i="1"/>
  <c r="W164" i="1"/>
  <c r="Z164" i="1"/>
  <c r="AA164" i="1"/>
  <c r="AC164" i="1"/>
  <c r="AE164" i="1"/>
  <c r="AH164" i="1"/>
  <c r="AQ164" i="1"/>
  <c r="AR164" i="1"/>
  <c r="AS164" i="1"/>
  <c r="AT164" i="1"/>
  <c r="AU164" i="1"/>
  <c r="AV164" i="1"/>
  <c r="AW164" i="1"/>
  <c r="AX164" i="1"/>
  <c r="AY164" i="1"/>
  <c r="AZ164" i="1"/>
  <c r="BA164" i="1"/>
  <c r="BB164" i="1"/>
  <c r="BC164" i="1"/>
  <c r="BD164" i="1"/>
  <c r="BE164" i="1"/>
  <c r="BF164" i="1"/>
  <c r="BG164" i="1"/>
  <c r="BH164" i="1"/>
  <c r="BI164" i="1"/>
  <c r="BJ164" i="1"/>
  <c r="BK164" i="1"/>
  <c r="BL164" i="1"/>
  <c r="BM164" i="1"/>
  <c r="BN164" i="1"/>
  <c r="BO164" i="1"/>
  <c r="BP164" i="1"/>
  <c r="BQ164" i="1"/>
  <c r="BR164" i="1"/>
  <c r="BS164" i="1"/>
  <c r="BT164" i="1"/>
  <c r="BU164" i="1"/>
  <c r="BV164" i="1"/>
  <c r="BW164" i="1"/>
  <c r="BX164" i="1"/>
  <c r="BY164" i="1"/>
  <c r="BZ164" i="1"/>
  <c r="CA164" i="1"/>
  <c r="CB164" i="1"/>
  <c r="CC164" i="1"/>
  <c r="CD164" i="1"/>
  <c r="A165" i="1"/>
  <c r="B165" i="1"/>
  <c r="C165" i="1"/>
  <c r="D165" i="1"/>
  <c r="E165" i="1"/>
  <c r="G165" i="1"/>
  <c r="I165" i="1"/>
  <c r="J165" i="1"/>
  <c r="M165" i="1"/>
  <c r="P165" i="1"/>
  <c r="F165" i="1" s="1"/>
  <c r="Q165" i="1"/>
  <c r="R165" i="1"/>
  <c r="H165" i="1" s="1"/>
  <c r="T165" i="1"/>
  <c r="U165" i="1"/>
  <c r="V165" i="1"/>
  <c r="W165" i="1"/>
  <c r="Z165" i="1"/>
  <c r="AA165" i="1"/>
  <c r="AC165" i="1"/>
  <c r="AE165" i="1"/>
  <c r="AH165" i="1"/>
  <c r="AQ165" i="1"/>
  <c r="AR165" i="1"/>
  <c r="AS165" i="1"/>
  <c r="AT165" i="1"/>
  <c r="AU165" i="1"/>
  <c r="AV165" i="1"/>
  <c r="AW165" i="1"/>
  <c r="AX165" i="1"/>
  <c r="AY165" i="1"/>
  <c r="AZ165" i="1"/>
  <c r="BA165" i="1"/>
  <c r="BB165" i="1"/>
  <c r="BC165" i="1"/>
  <c r="BD165" i="1"/>
  <c r="BE165" i="1"/>
  <c r="BF165" i="1"/>
  <c r="BG165" i="1"/>
  <c r="BH165" i="1"/>
  <c r="BI165" i="1"/>
  <c r="BJ165" i="1"/>
  <c r="BK165" i="1"/>
  <c r="BL165" i="1"/>
  <c r="BM165" i="1"/>
  <c r="BN165" i="1"/>
  <c r="BO165" i="1"/>
  <c r="BP165" i="1"/>
  <c r="BQ165" i="1"/>
  <c r="BR165" i="1"/>
  <c r="BS165" i="1"/>
  <c r="BT165" i="1"/>
  <c r="BU165" i="1"/>
  <c r="BV165" i="1"/>
  <c r="BW165" i="1"/>
  <c r="BX165" i="1"/>
  <c r="BY165" i="1"/>
  <c r="BZ165" i="1"/>
  <c r="CA165" i="1"/>
  <c r="CB165" i="1"/>
  <c r="CC165" i="1"/>
  <c r="CD165" i="1"/>
  <c r="A166" i="1"/>
  <c r="B166" i="1"/>
  <c r="C166" i="1"/>
  <c r="D166" i="1"/>
  <c r="E166" i="1"/>
  <c r="G166" i="1"/>
  <c r="J166" i="1"/>
  <c r="M166" i="1"/>
  <c r="P166" i="1"/>
  <c r="F166" i="1" s="1"/>
  <c r="Q166" i="1"/>
  <c r="R166" i="1"/>
  <c r="H166" i="1" s="1"/>
  <c r="T166" i="1"/>
  <c r="U166" i="1"/>
  <c r="V166" i="1"/>
  <c r="W166" i="1"/>
  <c r="Z166" i="1"/>
  <c r="AA166" i="1"/>
  <c r="AC166" i="1"/>
  <c r="AE166" i="1"/>
  <c r="AH166" i="1"/>
  <c r="AQ166" i="1"/>
  <c r="AR166" i="1"/>
  <c r="AS166" i="1"/>
  <c r="AT166" i="1"/>
  <c r="AU166" i="1"/>
  <c r="AV166" i="1"/>
  <c r="AW166" i="1"/>
  <c r="AX166" i="1"/>
  <c r="AY166" i="1"/>
  <c r="AZ166" i="1"/>
  <c r="BA166" i="1"/>
  <c r="BB166" i="1"/>
  <c r="BC166" i="1"/>
  <c r="BD166" i="1"/>
  <c r="BE166" i="1"/>
  <c r="BF166" i="1"/>
  <c r="BG166" i="1"/>
  <c r="BH166" i="1"/>
  <c r="BI166" i="1"/>
  <c r="BJ166" i="1"/>
  <c r="BK166" i="1"/>
  <c r="BL166" i="1"/>
  <c r="BM166" i="1"/>
  <c r="BN166" i="1"/>
  <c r="BO166" i="1"/>
  <c r="BP166" i="1"/>
  <c r="BQ166" i="1"/>
  <c r="BR166" i="1"/>
  <c r="BS166" i="1"/>
  <c r="BT166" i="1"/>
  <c r="BU166" i="1"/>
  <c r="BV166" i="1"/>
  <c r="BW166" i="1"/>
  <c r="BX166" i="1"/>
  <c r="BY166" i="1"/>
  <c r="BZ166" i="1"/>
  <c r="CA166" i="1"/>
  <c r="CB166" i="1"/>
  <c r="CC166" i="1"/>
  <c r="CD166" i="1"/>
  <c r="A167" i="1"/>
  <c r="B167" i="1"/>
  <c r="C167" i="1"/>
  <c r="D167" i="1"/>
  <c r="E167" i="1"/>
  <c r="G167" i="1"/>
  <c r="I167" i="1"/>
  <c r="J167" i="1"/>
  <c r="M167" i="1"/>
  <c r="P167" i="1"/>
  <c r="F167" i="1" s="1"/>
  <c r="Q167" i="1"/>
  <c r="R167" i="1"/>
  <c r="H167" i="1" s="1"/>
  <c r="T167" i="1"/>
  <c r="U167" i="1"/>
  <c r="V167" i="1"/>
  <c r="W167" i="1"/>
  <c r="Z167" i="1"/>
  <c r="AA167" i="1"/>
  <c r="AC167" i="1"/>
  <c r="AE167" i="1"/>
  <c r="AH167" i="1"/>
  <c r="AQ167" i="1"/>
  <c r="AR167" i="1"/>
  <c r="AS167" i="1"/>
  <c r="AT167" i="1"/>
  <c r="AU167" i="1"/>
  <c r="AV167" i="1"/>
  <c r="AW167" i="1"/>
  <c r="AX167" i="1"/>
  <c r="AY167" i="1"/>
  <c r="AZ167" i="1"/>
  <c r="BA167" i="1"/>
  <c r="BB167" i="1"/>
  <c r="BC167" i="1"/>
  <c r="BD167" i="1"/>
  <c r="BE167" i="1"/>
  <c r="BF167" i="1"/>
  <c r="BG167" i="1"/>
  <c r="BH167" i="1"/>
  <c r="BI167" i="1"/>
  <c r="BJ167" i="1"/>
  <c r="BK167" i="1"/>
  <c r="BL167" i="1"/>
  <c r="BM167" i="1"/>
  <c r="BN167" i="1"/>
  <c r="BO167" i="1"/>
  <c r="BP167" i="1"/>
  <c r="BQ167" i="1"/>
  <c r="BR167" i="1"/>
  <c r="BS167" i="1"/>
  <c r="BT167" i="1"/>
  <c r="BU167" i="1"/>
  <c r="BV167" i="1"/>
  <c r="BW167" i="1"/>
  <c r="BX167" i="1"/>
  <c r="BY167" i="1"/>
  <c r="BZ167" i="1"/>
  <c r="CA167" i="1"/>
  <c r="CB167" i="1"/>
  <c r="CC167" i="1"/>
  <c r="CD167" i="1"/>
  <c r="A168" i="1"/>
  <c r="B168" i="1"/>
  <c r="C168" i="1"/>
  <c r="D168" i="1"/>
  <c r="E168" i="1"/>
  <c r="G168" i="1"/>
  <c r="J168" i="1"/>
  <c r="M168" i="1"/>
  <c r="P168" i="1"/>
  <c r="Q168" i="1"/>
  <c r="R168" i="1"/>
  <c r="H168" i="1" s="1"/>
  <c r="T168" i="1"/>
  <c r="U168" i="1"/>
  <c r="V168" i="1"/>
  <c r="W168" i="1"/>
  <c r="Z168" i="1"/>
  <c r="AA168" i="1"/>
  <c r="AC168" i="1"/>
  <c r="AE168" i="1"/>
  <c r="AH168" i="1"/>
  <c r="AQ168" i="1"/>
  <c r="AR168" i="1"/>
  <c r="AS168" i="1"/>
  <c r="AT168" i="1"/>
  <c r="AU168" i="1"/>
  <c r="AV168" i="1"/>
  <c r="AW168" i="1"/>
  <c r="AX168" i="1"/>
  <c r="AY168" i="1"/>
  <c r="AZ168" i="1"/>
  <c r="BA168" i="1"/>
  <c r="BB168" i="1"/>
  <c r="BC168" i="1"/>
  <c r="BD168" i="1"/>
  <c r="BE168" i="1"/>
  <c r="BF168" i="1"/>
  <c r="BG168" i="1"/>
  <c r="BH168" i="1"/>
  <c r="BI168" i="1"/>
  <c r="BJ168" i="1"/>
  <c r="BK168" i="1"/>
  <c r="BL168" i="1"/>
  <c r="BM168" i="1"/>
  <c r="BN168" i="1"/>
  <c r="BO168" i="1"/>
  <c r="BP168" i="1"/>
  <c r="BQ168" i="1"/>
  <c r="BR168" i="1"/>
  <c r="BS168" i="1"/>
  <c r="BT168" i="1"/>
  <c r="BU168" i="1"/>
  <c r="BV168" i="1"/>
  <c r="BW168" i="1"/>
  <c r="BX168" i="1"/>
  <c r="BY168" i="1"/>
  <c r="BZ168" i="1"/>
  <c r="CA168" i="1"/>
  <c r="CB168" i="1"/>
  <c r="CC168" i="1"/>
  <c r="CD168" i="1"/>
  <c r="A169" i="1"/>
  <c r="B169" i="1"/>
  <c r="C169" i="1"/>
  <c r="D169" i="1"/>
  <c r="E169" i="1"/>
  <c r="G169" i="1"/>
  <c r="I169" i="1"/>
  <c r="J169" i="1"/>
  <c r="M169" i="1"/>
  <c r="P169" i="1"/>
  <c r="F169" i="1" s="1"/>
  <c r="Q169" i="1"/>
  <c r="R169" i="1"/>
  <c r="H169" i="1" s="1"/>
  <c r="T169" i="1"/>
  <c r="U169" i="1"/>
  <c r="V169" i="1"/>
  <c r="W169" i="1"/>
  <c r="Z169" i="1"/>
  <c r="AA169" i="1"/>
  <c r="AC169" i="1"/>
  <c r="AE169" i="1"/>
  <c r="AH169" i="1"/>
  <c r="AQ169" i="1"/>
  <c r="AR169" i="1"/>
  <c r="AS169" i="1"/>
  <c r="AT169" i="1"/>
  <c r="AU169" i="1"/>
  <c r="AV169" i="1"/>
  <c r="AW169" i="1"/>
  <c r="AX169" i="1"/>
  <c r="AY169" i="1"/>
  <c r="AZ169" i="1"/>
  <c r="BA169" i="1"/>
  <c r="BB169" i="1"/>
  <c r="BC169" i="1"/>
  <c r="BD169" i="1"/>
  <c r="BE169" i="1"/>
  <c r="BF169" i="1"/>
  <c r="BG169" i="1"/>
  <c r="BH169" i="1"/>
  <c r="BI169" i="1"/>
  <c r="BJ169" i="1"/>
  <c r="BK169" i="1"/>
  <c r="BL169" i="1"/>
  <c r="BM169" i="1"/>
  <c r="BN169" i="1"/>
  <c r="BO169" i="1"/>
  <c r="BP169" i="1"/>
  <c r="BQ169" i="1"/>
  <c r="BR169" i="1"/>
  <c r="BS169" i="1"/>
  <c r="BT169" i="1"/>
  <c r="BU169" i="1"/>
  <c r="BV169" i="1"/>
  <c r="BW169" i="1"/>
  <c r="BX169" i="1"/>
  <c r="BY169" i="1"/>
  <c r="BZ169" i="1"/>
  <c r="CA169" i="1"/>
  <c r="CB169" i="1"/>
  <c r="CC169" i="1"/>
  <c r="CD169" i="1"/>
  <c r="A170" i="1"/>
  <c r="B170" i="1"/>
  <c r="C170" i="1"/>
  <c r="D170" i="1"/>
  <c r="E170" i="1"/>
  <c r="G170" i="1"/>
  <c r="I170" i="1"/>
  <c r="J170" i="1"/>
  <c r="M170" i="1"/>
  <c r="P170" i="1"/>
  <c r="F170" i="1" s="1"/>
  <c r="Q170" i="1"/>
  <c r="R170" i="1"/>
  <c r="H170" i="1" s="1"/>
  <c r="T170" i="1"/>
  <c r="U170" i="1"/>
  <c r="V170" i="1"/>
  <c r="W170" i="1"/>
  <c r="Z170" i="1"/>
  <c r="AA170" i="1"/>
  <c r="AC170" i="1"/>
  <c r="AE170" i="1"/>
  <c r="AH170" i="1"/>
  <c r="AQ170" i="1"/>
  <c r="AR170" i="1"/>
  <c r="AS170" i="1"/>
  <c r="AT170" i="1"/>
  <c r="AU170" i="1"/>
  <c r="AV170" i="1"/>
  <c r="AW170" i="1"/>
  <c r="AX170" i="1"/>
  <c r="AY170" i="1"/>
  <c r="AZ170" i="1"/>
  <c r="BA170" i="1"/>
  <c r="BB170" i="1"/>
  <c r="BC170" i="1"/>
  <c r="BD170" i="1"/>
  <c r="BE170" i="1"/>
  <c r="BF170" i="1"/>
  <c r="BG170" i="1"/>
  <c r="BH170" i="1"/>
  <c r="BI170" i="1"/>
  <c r="BJ170" i="1"/>
  <c r="BK170" i="1"/>
  <c r="BL170" i="1"/>
  <c r="BM170" i="1"/>
  <c r="BN170" i="1"/>
  <c r="BO170" i="1"/>
  <c r="BP170" i="1"/>
  <c r="BQ170" i="1"/>
  <c r="BR170" i="1"/>
  <c r="BS170" i="1"/>
  <c r="BT170" i="1"/>
  <c r="BU170" i="1"/>
  <c r="BV170" i="1"/>
  <c r="BW170" i="1"/>
  <c r="BX170" i="1"/>
  <c r="BY170" i="1"/>
  <c r="BZ170" i="1"/>
  <c r="CA170" i="1"/>
  <c r="CB170" i="1"/>
  <c r="CC170" i="1"/>
  <c r="CD170" i="1"/>
  <c r="A171" i="1"/>
  <c r="B171" i="1"/>
  <c r="C171" i="1"/>
  <c r="D171" i="1"/>
  <c r="E171" i="1"/>
  <c r="G171" i="1"/>
  <c r="I171" i="1"/>
  <c r="J171" i="1"/>
  <c r="M171" i="1"/>
  <c r="P171" i="1"/>
  <c r="F171" i="1" s="1"/>
  <c r="Q171" i="1"/>
  <c r="R171" i="1"/>
  <c r="H171" i="1" s="1"/>
  <c r="T171" i="1"/>
  <c r="U171" i="1"/>
  <c r="V171" i="1"/>
  <c r="W171" i="1"/>
  <c r="Z171" i="1"/>
  <c r="AA171" i="1"/>
  <c r="AC171" i="1"/>
  <c r="AE171" i="1"/>
  <c r="AH171" i="1"/>
  <c r="AQ171" i="1"/>
  <c r="AR171" i="1"/>
  <c r="AS171" i="1"/>
  <c r="AT171" i="1"/>
  <c r="AU171" i="1"/>
  <c r="AV171" i="1"/>
  <c r="AW171" i="1"/>
  <c r="AX171" i="1"/>
  <c r="AY171" i="1"/>
  <c r="AZ171" i="1"/>
  <c r="BA171" i="1"/>
  <c r="BB171" i="1"/>
  <c r="BC171" i="1"/>
  <c r="BD171" i="1"/>
  <c r="BE171" i="1"/>
  <c r="BF171" i="1"/>
  <c r="BG171" i="1"/>
  <c r="BH171" i="1"/>
  <c r="BI171" i="1"/>
  <c r="BJ171" i="1"/>
  <c r="BK171" i="1"/>
  <c r="BL171" i="1"/>
  <c r="BM171" i="1"/>
  <c r="BN171" i="1"/>
  <c r="BO171" i="1"/>
  <c r="BP171" i="1"/>
  <c r="BQ171" i="1"/>
  <c r="BR171" i="1"/>
  <c r="BS171" i="1"/>
  <c r="BT171" i="1"/>
  <c r="BU171" i="1"/>
  <c r="BV171" i="1"/>
  <c r="BW171" i="1"/>
  <c r="BX171" i="1"/>
  <c r="BY171" i="1"/>
  <c r="BZ171" i="1"/>
  <c r="CA171" i="1"/>
  <c r="CB171" i="1"/>
  <c r="CC171" i="1"/>
  <c r="CD171" i="1"/>
  <c r="A172" i="1"/>
  <c r="B172" i="1"/>
  <c r="C172" i="1"/>
  <c r="D172" i="1"/>
  <c r="E172" i="1"/>
  <c r="G172" i="1"/>
  <c r="J172" i="1"/>
  <c r="M172" i="1"/>
  <c r="P172" i="1"/>
  <c r="Q172" i="1"/>
  <c r="R172" i="1"/>
  <c r="H172" i="1" s="1"/>
  <c r="T172" i="1"/>
  <c r="U172" i="1"/>
  <c r="V172" i="1"/>
  <c r="W172" i="1"/>
  <c r="Z172" i="1"/>
  <c r="AA172" i="1"/>
  <c r="AC172" i="1"/>
  <c r="AE172" i="1"/>
  <c r="AH172" i="1"/>
  <c r="AQ172" i="1"/>
  <c r="AR172" i="1"/>
  <c r="AS172" i="1"/>
  <c r="AT172" i="1"/>
  <c r="AU172" i="1"/>
  <c r="AV172" i="1"/>
  <c r="AW172" i="1"/>
  <c r="AX172" i="1"/>
  <c r="AY172" i="1"/>
  <c r="AZ172" i="1"/>
  <c r="BA172" i="1"/>
  <c r="BB172" i="1"/>
  <c r="BC172" i="1"/>
  <c r="BD172" i="1"/>
  <c r="BE172" i="1"/>
  <c r="BF172" i="1"/>
  <c r="BG172" i="1"/>
  <c r="BH172" i="1"/>
  <c r="BI172" i="1"/>
  <c r="BJ172" i="1"/>
  <c r="BK172" i="1"/>
  <c r="BL172" i="1"/>
  <c r="BM172" i="1"/>
  <c r="BN172" i="1"/>
  <c r="BO172" i="1"/>
  <c r="BP172" i="1"/>
  <c r="BQ172" i="1"/>
  <c r="BR172" i="1"/>
  <c r="BS172" i="1"/>
  <c r="BT172" i="1"/>
  <c r="BU172" i="1"/>
  <c r="BV172" i="1"/>
  <c r="BW172" i="1"/>
  <c r="BX172" i="1"/>
  <c r="BY172" i="1"/>
  <c r="BZ172" i="1"/>
  <c r="CA172" i="1"/>
  <c r="CB172" i="1"/>
  <c r="CC172" i="1"/>
  <c r="CD172" i="1"/>
  <c r="A173" i="1"/>
  <c r="B173" i="1"/>
  <c r="C173" i="1"/>
  <c r="D173" i="1"/>
  <c r="E173" i="1"/>
  <c r="G173" i="1"/>
  <c r="I173" i="1"/>
  <c r="J173" i="1"/>
  <c r="M173" i="1"/>
  <c r="P173" i="1"/>
  <c r="F173" i="1" s="1"/>
  <c r="Q173" i="1"/>
  <c r="R173" i="1"/>
  <c r="H173" i="1" s="1"/>
  <c r="T173" i="1"/>
  <c r="U173" i="1"/>
  <c r="V173" i="1"/>
  <c r="W173" i="1"/>
  <c r="Z173" i="1"/>
  <c r="AA173" i="1"/>
  <c r="AC173" i="1"/>
  <c r="AE173" i="1"/>
  <c r="AH173" i="1"/>
  <c r="AQ173" i="1"/>
  <c r="AR173" i="1"/>
  <c r="AS173" i="1"/>
  <c r="AT173" i="1"/>
  <c r="AU173" i="1"/>
  <c r="AV173" i="1"/>
  <c r="AW173" i="1"/>
  <c r="AX173" i="1"/>
  <c r="AY173" i="1"/>
  <c r="AZ173" i="1"/>
  <c r="BA173" i="1"/>
  <c r="BB173" i="1"/>
  <c r="BC173" i="1"/>
  <c r="BD173" i="1"/>
  <c r="BE173" i="1"/>
  <c r="BF173" i="1"/>
  <c r="BG173" i="1"/>
  <c r="BH173" i="1"/>
  <c r="BI173" i="1"/>
  <c r="BJ173" i="1"/>
  <c r="BK173" i="1"/>
  <c r="BL173" i="1"/>
  <c r="BM173" i="1"/>
  <c r="BN173" i="1"/>
  <c r="BO173" i="1"/>
  <c r="BP173" i="1"/>
  <c r="BQ173" i="1"/>
  <c r="BR173" i="1"/>
  <c r="BS173" i="1"/>
  <c r="BT173" i="1"/>
  <c r="BU173" i="1"/>
  <c r="BV173" i="1"/>
  <c r="BW173" i="1"/>
  <c r="BX173" i="1"/>
  <c r="BY173" i="1"/>
  <c r="BZ173" i="1"/>
  <c r="CA173" i="1"/>
  <c r="CB173" i="1"/>
  <c r="CC173" i="1"/>
  <c r="CD173" i="1"/>
  <c r="A174" i="1"/>
  <c r="B174" i="1"/>
  <c r="C174" i="1"/>
  <c r="D174" i="1"/>
  <c r="E174" i="1"/>
  <c r="G174" i="1"/>
  <c r="I174" i="1"/>
  <c r="J174" i="1"/>
  <c r="M174" i="1"/>
  <c r="P174" i="1"/>
  <c r="F174" i="1" s="1"/>
  <c r="Q174" i="1"/>
  <c r="R174" i="1"/>
  <c r="H174" i="1" s="1"/>
  <c r="T174" i="1"/>
  <c r="U174" i="1"/>
  <c r="V174" i="1"/>
  <c r="W174" i="1"/>
  <c r="Z174" i="1"/>
  <c r="AA174" i="1"/>
  <c r="AC174" i="1"/>
  <c r="AE174" i="1"/>
  <c r="AH174" i="1"/>
  <c r="AQ174" i="1"/>
  <c r="AR174" i="1"/>
  <c r="AS174" i="1"/>
  <c r="AT174" i="1"/>
  <c r="AU174" i="1"/>
  <c r="AV174" i="1"/>
  <c r="AW174" i="1"/>
  <c r="AX174" i="1"/>
  <c r="AY174" i="1"/>
  <c r="AZ174" i="1"/>
  <c r="BA174" i="1"/>
  <c r="BB174" i="1"/>
  <c r="BC174" i="1"/>
  <c r="BD174" i="1"/>
  <c r="BE174" i="1"/>
  <c r="BF174" i="1"/>
  <c r="BG174" i="1"/>
  <c r="BH174" i="1"/>
  <c r="BI174" i="1"/>
  <c r="BJ174" i="1"/>
  <c r="BK174" i="1"/>
  <c r="BL174" i="1"/>
  <c r="BM174" i="1"/>
  <c r="BN174" i="1"/>
  <c r="BO174" i="1"/>
  <c r="BP174" i="1"/>
  <c r="BQ174" i="1"/>
  <c r="BR174" i="1"/>
  <c r="BS174" i="1"/>
  <c r="BT174" i="1"/>
  <c r="BU174" i="1"/>
  <c r="BV174" i="1"/>
  <c r="BW174" i="1"/>
  <c r="BX174" i="1"/>
  <c r="BY174" i="1"/>
  <c r="BZ174" i="1"/>
  <c r="CA174" i="1"/>
  <c r="CB174" i="1"/>
  <c r="CC174" i="1"/>
  <c r="CD174" i="1"/>
  <c r="A175" i="1"/>
  <c r="B175" i="1"/>
  <c r="C175" i="1"/>
  <c r="D175" i="1"/>
  <c r="E175" i="1"/>
  <c r="G175" i="1"/>
  <c r="I175" i="1"/>
  <c r="J175" i="1"/>
  <c r="M175" i="1"/>
  <c r="P175" i="1"/>
  <c r="F175" i="1" s="1"/>
  <c r="Q175" i="1"/>
  <c r="R175" i="1"/>
  <c r="H175" i="1" s="1"/>
  <c r="T175" i="1"/>
  <c r="U175" i="1"/>
  <c r="V175" i="1"/>
  <c r="W175" i="1"/>
  <c r="Z175" i="1"/>
  <c r="AA175" i="1"/>
  <c r="AC175" i="1"/>
  <c r="AE175" i="1"/>
  <c r="AH175" i="1"/>
  <c r="AQ175" i="1"/>
  <c r="AR175" i="1"/>
  <c r="AS175" i="1"/>
  <c r="AT175" i="1"/>
  <c r="AU175" i="1"/>
  <c r="AV175" i="1"/>
  <c r="AW175" i="1"/>
  <c r="AX175" i="1"/>
  <c r="AY175" i="1"/>
  <c r="AZ175" i="1"/>
  <c r="BA175" i="1"/>
  <c r="BB175" i="1"/>
  <c r="BC175" i="1"/>
  <c r="BD175" i="1"/>
  <c r="BE175" i="1"/>
  <c r="BF175" i="1"/>
  <c r="BG175" i="1"/>
  <c r="BH175" i="1"/>
  <c r="BI175" i="1"/>
  <c r="BJ175" i="1"/>
  <c r="BK175" i="1"/>
  <c r="BL175" i="1"/>
  <c r="BM175" i="1"/>
  <c r="BN175" i="1"/>
  <c r="BO175" i="1"/>
  <c r="BP175" i="1"/>
  <c r="BQ175" i="1"/>
  <c r="BR175" i="1"/>
  <c r="BS175" i="1"/>
  <c r="BT175" i="1"/>
  <c r="BU175" i="1"/>
  <c r="BV175" i="1"/>
  <c r="BW175" i="1"/>
  <c r="BX175" i="1"/>
  <c r="BY175" i="1"/>
  <c r="BZ175" i="1"/>
  <c r="CA175" i="1"/>
  <c r="CB175" i="1"/>
  <c r="CC175" i="1"/>
  <c r="CD175" i="1"/>
  <c r="A176" i="1"/>
  <c r="B176" i="1"/>
  <c r="C176" i="1"/>
  <c r="D176" i="1"/>
  <c r="E176" i="1"/>
  <c r="G176" i="1"/>
  <c r="I176" i="1"/>
  <c r="J176" i="1"/>
  <c r="M176" i="1"/>
  <c r="P176" i="1"/>
  <c r="F176" i="1" s="1"/>
  <c r="Q176" i="1"/>
  <c r="R176" i="1"/>
  <c r="T176" i="1"/>
  <c r="U176" i="1"/>
  <c r="V176" i="1"/>
  <c r="W176" i="1"/>
  <c r="Z176" i="1"/>
  <c r="AA176" i="1"/>
  <c r="AC176" i="1"/>
  <c r="AE176" i="1"/>
  <c r="AH176" i="1"/>
  <c r="AQ176" i="1"/>
  <c r="AR176" i="1"/>
  <c r="AS176" i="1"/>
  <c r="AT176" i="1"/>
  <c r="AU176" i="1"/>
  <c r="AV176" i="1"/>
  <c r="AW176" i="1"/>
  <c r="AX176" i="1"/>
  <c r="AY176" i="1"/>
  <c r="AZ176" i="1"/>
  <c r="BA176" i="1"/>
  <c r="BB176" i="1"/>
  <c r="BC176" i="1"/>
  <c r="BD176" i="1"/>
  <c r="BE176" i="1"/>
  <c r="BF176" i="1"/>
  <c r="BG176" i="1"/>
  <c r="BH176" i="1"/>
  <c r="BI176" i="1"/>
  <c r="BJ176" i="1"/>
  <c r="BK176" i="1"/>
  <c r="BL176" i="1"/>
  <c r="BM176" i="1"/>
  <c r="BN176" i="1"/>
  <c r="BO176" i="1"/>
  <c r="BP176" i="1"/>
  <c r="BQ176" i="1"/>
  <c r="BR176" i="1"/>
  <c r="BS176" i="1"/>
  <c r="BT176" i="1"/>
  <c r="BU176" i="1"/>
  <c r="BV176" i="1"/>
  <c r="BW176" i="1"/>
  <c r="BX176" i="1"/>
  <c r="BY176" i="1"/>
  <c r="BZ176" i="1"/>
  <c r="CA176" i="1"/>
  <c r="CB176" i="1"/>
  <c r="CC176" i="1"/>
  <c r="CD176" i="1"/>
  <c r="A177" i="1"/>
  <c r="B177" i="1"/>
  <c r="C177" i="1"/>
  <c r="D177" i="1"/>
  <c r="E177" i="1"/>
  <c r="G177" i="1"/>
  <c r="I177" i="1"/>
  <c r="J177" i="1"/>
  <c r="M177" i="1"/>
  <c r="P177" i="1"/>
  <c r="F177" i="1" s="1"/>
  <c r="Q177" i="1"/>
  <c r="R177" i="1"/>
  <c r="H177" i="1" s="1"/>
  <c r="T177" i="1"/>
  <c r="U177" i="1"/>
  <c r="V177" i="1"/>
  <c r="W177" i="1"/>
  <c r="Z177" i="1"/>
  <c r="AA177" i="1"/>
  <c r="AC177" i="1"/>
  <c r="AE177" i="1"/>
  <c r="AH177" i="1"/>
  <c r="AQ177" i="1"/>
  <c r="AR177" i="1"/>
  <c r="AS177" i="1"/>
  <c r="AT177" i="1"/>
  <c r="AU177" i="1"/>
  <c r="AV177" i="1"/>
  <c r="AW177" i="1"/>
  <c r="AX177" i="1"/>
  <c r="AY177" i="1"/>
  <c r="AZ177" i="1"/>
  <c r="BA177" i="1"/>
  <c r="BB177" i="1"/>
  <c r="BC177" i="1"/>
  <c r="BD177" i="1"/>
  <c r="BE177" i="1"/>
  <c r="BF177" i="1"/>
  <c r="BG177" i="1"/>
  <c r="BH177" i="1"/>
  <c r="BI177" i="1"/>
  <c r="BJ177" i="1"/>
  <c r="BK177" i="1"/>
  <c r="BL177" i="1"/>
  <c r="BM177" i="1"/>
  <c r="BN177" i="1"/>
  <c r="BO177" i="1"/>
  <c r="BP177" i="1"/>
  <c r="BQ177" i="1"/>
  <c r="BR177" i="1"/>
  <c r="BS177" i="1"/>
  <c r="BT177" i="1"/>
  <c r="BU177" i="1"/>
  <c r="BV177" i="1"/>
  <c r="BW177" i="1"/>
  <c r="BX177" i="1"/>
  <c r="BY177" i="1"/>
  <c r="BZ177" i="1"/>
  <c r="CA177" i="1"/>
  <c r="CB177" i="1"/>
  <c r="CC177" i="1"/>
  <c r="CD177" i="1"/>
  <c r="A178" i="1"/>
  <c r="B178" i="1"/>
  <c r="C178" i="1"/>
  <c r="D178" i="1"/>
  <c r="E178" i="1"/>
  <c r="G178" i="1"/>
  <c r="I178" i="1"/>
  <c r="J178" i="1"/>
  <c r="M178" i="1"/>
  <c r="P178" i="1"/>
  <c r="F178" i="1" s="1"/>
  <c r="Q178" i="1"/>
  <c r="R178" i="1"/>
  <c r="H178" i="1" s="1"/>
  <c r="T178" i="1"/>
  <c r="U178" i="1"/>
  <c r="V178" i="1"/>
  <c r="W178" i="1"/>
  <c r="Z178" i="1"/>
  <c r="AA178" i="1"/>
  <c r="AC178" i="1"/>
  <c r="AE178" i="1"/>
  <c r="AH178" i="1"/>
  <c r="AQ178" i="1"/>
  <c r="AR178" i="1"/>
  <c r="AS178" i="1"/>
  <c r="AT178" i="1"/>
  <c r="AU178" i="1"/>
  <c r="AV178" i="1"/>
  <c r="AW178" i="1"/>
  <c r="AX178" i="1"/>
  <c r="AY178" i="1"/>
  <c r="AZ178" i="1"/>
  <c r="BA178" i="1"/>
  <c r="BB178" i="1"/>
  <c r="BC178" i="1"/>
  <c r="BD178" i="1"/>
  <c r="BE178" i="1"/>
  <c r="BF178" i="1"/>
  <c r="BG178" i="1"/>
  <c r="BH178" i="1"/>
  <c r="BI178" i="1"/>
  <c r="BJ178" i="1"/>
  <c r="BK178" i="1"/>
  <c r="BL178" i="1"/>
  <c r="BM178" i="1"/>
  <c r="BN178" i="1"/>
  <c r="BO178" i="1"/>
  <c r="BP178" i="1"/>
  <c r="BQ178" i="1"/>
  <c r="BR178" i="1"/>
  <c r="BS178" i="1"/>
  <c r="BT178" i="1"/>
  <c r="BU178" i="1"/>
  <c r="BV178" i="1"/>
  <c r="BW178" i="1"/>
  <c r="BX178" i="1"/>
  <c r="BY178" i="1"/>
  <c r="BZ178" i="1"/>
  <c r="CA178" i="1"/>
  <c r="CB178" i="1"/>
  <c r="CC178" i="1"/>
  <c r="CD178" i="1"/>
  <c r="A179" i="1"/>
  <c r="B179" i="1"/>
  <c r="I179" i="1" s="1"/>
  <c r="C179" i="1"/>
  <c r="D179" i="1"/>
  <c r="E179" i="1"/>
  <c r="G179" i="1"/>
  <c r="J179" i="1"/>
  <c r="M179" i="1"/>
  <c r="P179" i="1"/>
  <c r="F179" i="1" s="1"/>
  <c r="Q179" i="1"/>
  <c r="R179" i="1"/>
  <c r="H179" i="1" s="1"/>
  <c r="T179" i="1"/>
  <c r="U179" i="1"/>
  <c r="V179" i="1"/>
  <c r="W179" i="1"/>
  <c r="Z179" i="1"/>
  <c r="AA179" i="1"/>
  <c r="AC179" i="1"/>
  <c r="AE179" i="1"/>
  <c r="AH179" i="1"/>
  <c r="AQ179" i="1"/>
  <c r="AR179" i="1"/>
  <c r="AS179" i="1"/>
  <c r="AT179" i="1"/>
  <c r="AU179" i="1"/>
  <c r="AV179" i="1"/>
  <c r="AW179" i="1"/>
  <c r="AX179" i="1"/>
  <c r="AY179" i="1"/>
  <c r="AZ179" i="1"/>
  <c r="BA179" i="1"/>
  <c r="BB179" i="1"/>
  <c r="BC179" i="1"/>
  <c r="BD179" i="1"/>
  <c r="BE179" i="1"/>
  <c r="BF179" i="1"/>
  <c r="BG179" i="1"/>
  <c r="BH179" i="1"/>
  <c r="BI179" i="1"/>
  <c r="BJ179" i="1"/>
  <c r="BK179" i="1"/>
  <c r="BL179" i="1"/>
  <c r="BM179" i="1"/>
  <c r="BN179" i="1"/>
  <c r="BO179" i="1"/>
  <c r="BP179" i="1"/>
  <c r="BQ179" i="1"/>
  <c r="BR179" i="1"/>
  <c r="BS179" i="1"/>
  <c r="BT179" i="1"/>
  <c r="BU179" i="1"/>
  <c r="BV179" i="1"/>
  <c r="BW179" i="1"/>
  <c r="BX179" i="1"/>
  <c r="BY179" i="1"/>
  <c r="BZ179" i="1"/>
  <c r="CA179" i="1"/>
  <c r="CB179" i="1"/>
  <c r="CC179" i="1"/>
  <c r="CD179" i="1"/>
  <c r="A180" i="1"/>
  <c r="B180" i="1"/>
  <c r="C180" i="1"/>
  <c r="D180" i="1"/>
  <c r="E180" i="1"/>
  <c r="G180" i="1"/>
  <c r="I180" i="1"/>
  <c r="J180" i="1"/>
  <c r="M180" i="1"/>
  <c r="P180" i="1"/>
  <c r="F180" i="1" s="1"/>
  <c r="Q180" i="1"/>
  <c r="R180" i="1"/>
  <c r="H180" i="1" s="1"/>
  <c r="T180" i="1"/>
  <c r="U180" i="1"/>
  <c r="V180" i="1"/>
  <c r="W180" i="1"/>
  <c r="Z180" i="1"/>
  <c r="AA180" i="1"/>
  <c r="AC180" i="1"/>
  <c r="AE180" i="1"/>
  <c r="AH180" i="1"/>
  <c r="AQ180" i="1"/>
  <c r="AR180" i="1"/>
  <c r="AS180" i="1"/>
  <c r="AT180" i="1"/>
  <c r="AU180" i="1"/>
  <c r="AV180" i="1"/>
  <c r="AW180" i="1"/>
  <c r="AX180" i="1"/>
  <c r="AY180" i="1"/>
  <c r="AZ180" i="1"/>
  <c r="BA180" i="1"/>
  <c r="BB180" i="1"/>
  <c r="BC180" i="1"/>
  <c r="BD180" i="1"/>
  <c r="BE180" i="1"/>
  <c r="BF180" i="1"/>
  <c r="BG180" i="1"/>
  <c r="BH180" i="1"/>
  <c r="BI180" i="1"/>
  <c r="BJ180" i="1"/>
  <c r="BK180" i="1"/>
  <c r="BL180" i="1"/>
  <c r="BM180" i="1"/>
  <c r="BN180" i="1"/>
  <c r="BO180" i="1"/>
  <c r="BP180" i="1"/>
  <c r="BQ180" i="1"/>
  <c r="BR180" i="1"/>
  <c r="BS180" i="1"/>
  <c r="BT180" i="1"/>
  <c r="BU180" i="1"/>
  <c r="BV180" i="1"/>
  <c r="BW180" i="1"/>
  <c r="BX180" i="1"/>
  <c r="BY180" i="1"/>
  <c r="BZ180" i="1"/>
  <c r="CA180" i="1"/>
  <c r="CB180" i="1"/>
  <c r="CC180" i="1"/>
  <c r="CD180" i="1"/>
  <c r="A181" i="1"/>
  <c r="B181" i="1"/>
  <c r="C181" i="1"/>
  <c r="D181" i="1"/>
  <c r="E181" i="1"/>
  <c r="G181" i="1"/>
  <c r="I181" i="1"/>
  <c r="J181" i="1"/>
  <c r="M181" i="1"/>
  <c r="P181" i="1"/>
  <c r="F181" i="1" s="1"/>
  <c r="Q181" i="1"/>
  <c r="R181" i="1"/>
  <c r="H181" i="1" s="1"/>
  <c r="T181" i="1"/>
  <c r="U181" i="1"/>
  <c r="V181" i="1"/>
  <c r="W181" i="1"/>
  <c r="Z181" i="1"/>
  <c r="AA181" i="1"/>
  <c r="AC181" i="1"/>
  <c r="AE181" i="1"/>
  <c r="AH181" i="1"/>
  <c r="AQ181" i="1"/>
  <c r="AR181" i="1"/>
  <c r="AS181" i="1"/>
  <c r="AT181" i="1"/>
  <c r="AU181" i="1"/>
  <c r="AV181" i="1"/>
  <c r="AW181" i="1"/>
  <c r="AX181" i="1"/>
  <c r="AY181" i="1"/>
  <c r="AZ181" i="1"/>
  <c r="BA181" i="1"/>
  <c r="BB181" i="1"/>
  <c r="BC181" i="1"/>
  <c r="BD181" i="1"/>
  <c r="BE181" i="1"/>
  <c r="BF181" i="1"/>
  <c r="BG181" i="1"/>
  <c r="BH181" i="1"/>
  <c r="BI181" i="1"/>
  <c r="BJ181" i="1"/>
  <c r="BK181" i="1"/>
  <c r="BL181" i="1"/>
  <c r="BM181" i="1"/>
  <c r="BN181" i="1"/>
  <c r="BO181" i="1"/>
  <c r="BP181" i="1"/>
  <c r="BQ181" i="1"/>
  <c r="BR181" i="1"/>
  <c r="BS181" i="1"/>
  <c r="BT181" i="1"/>
  <c r="BU181" i="1"/>
  <c r="BV181" i="1"/>
  <c r="BW181" i="1"/>
  <c r="BX181" i="1"/>
  <c r="BY181" i="1"/>
  <c r="BZ181" i="1"/>
  <c r="CA181" i="1"/>
  <c r="CB181" i="1"/>
  <c r="CC181" i="1"/>
  <c r="CD181" i="1"/>
  <c r="A182" i="1"/>
  <c r="B182" i="1"/>
  <c r="C182" i="1"/>
  <c r="D182" i="1"/>
  <c r="E182" i="1"/>
  <c r="G182" i="1"/>
  <c r="I182" i="1"/>
  <c r="J182" i="1"/>
  <c r="M182" i="1"/>
  <c r="P182" i="1"/>
  <c r="F182" i="1" s="1"/>
  <c r="Q182" i="1"/>
  <c r="R182" i="1"/>
  <c r="H182" i="1" s="1"/>
  <c r="T182" i="1"/>
  <c r="U182" i="1"/>
  <c r="V182" i="1"/>
  <c r="W182" i="1"/>
  <c r="Z182" i="1"/>
  <c r="AA182" i="1"/>
  <c r="AC182" i="1"/>
  <c r="AE182" i="1"/>
  <c r="AH182" i="1"/>
  <c r="AQ182" i="1"/>
  <c r="AR182" i="1"/>
  <c r="AS182" i="1"/>
  <c r="AT182" i="1"/>
  <c r="AU182" i="1"/>
  <c r="AV182" i="1"/>
  <c r="AW182" i="1"/>
  <c r="AX182" i="1"/>
  <c r="AY182" i="1"/>
  <c r="AZ182" i="1"/>
  <c r="BA182" i="1"/>
  <c r="BB182" i="1"/>
  <c r="BC182" i="1"/>
  <c r="BD182" i="1"/>
  <c r="BE182" i="1"/>
  <c r="BF182" i="1"/>
  <c r="BG182" i="1"/>
  <c r="BH182" i="1"/>
  <c r="BI182" i="1"/>
  <c r="BJ182" i="1"/>
  <c r="BK182" i="1"/>
  <c r="BL182" i="1"/>
  <c r="BM182" i="1"/>
  <c r="BN182" i="1"/>
  <c r="BO182" i="1"/>
  <c r="BP182" i="1"/>
  <c r="BQ182" i="1"/>
  <c r="BR182" i="1"/>
  <c r="BS182" i="1"/>
  <c r="BT182" i="1"/>
  <c r="BU182" i="1"/>
  <c r="BV182" i="1"/>
  <c r="BW182" i="1"/>
  <c r="BX182" i="1"/>
  <c r="BY182" i="1"/>
  <c r="BZ182" i="1"/>
  <c r="CA182" i="1"/>
  <c r="CB182" i="1"/>
  <c r="CC182" i="1"/>
  <c r="CD182" i="1"/>
  <c r="A183" i="1"/>
  <c r="B183" i="1"/>
  <c r="C183" i="1"/>
  <c r="D183" i="1"/>
  <c r="E183" i="1"/>
  <c r="G183" i="1"/>
  <c r="J183" i="1"/>
  <c r="M183" i="1"/>
  <c r="P183" i="1"/>
  <c r="Q183" i="1"/>
  <c r="R183" i="1"/>
  <c r="H183" i="1" s="1"/>
  <c r="T183" i="1"/>
  <c r="U183" i="1"/>
  <c r="V183" i="1"/>
  <c r="W183" i="1"/>
  <c r="Z183" i="1"/>
  <c r="AA183" i="1"/>
  <c r="AC183" i="1"/>
  <c r="AE183" i="1"/>
  <c r="AH183" i="1"/>
  <c r="AQ183" i="1"/>
  <c r="AR183" i="1"/>
  <c r="AS183" i="1"/>
  <c r="AT183" i="1"/>
  <c r="AU183" i="1"/>
  <c r="AV183" i="1"/>
  <c r="AW183" i="1"/>
  <c r="AX183" i="1"/>
  <c r="AY183" i="1"/>
  <c r="AZ183" i="1"/>
  <c r="BA183" i="1"/>
  <c r="BB183" i="1"/>
  <c r="BC183" i="1"/>
  <c r="BD183" i="1"/>
  <c r="BE183" i="1"/>
  <c r="BF183" i="1"/>
  <c r="BG183" i="1"/>
  <c r="BH183" i="1"/>
  <c r="BI183" i="1"/>
  <c r="BJ183" i="1"/>
  <c r="BK183" i="1"/>
  <c r="BL183" i="1"/>
  <c r="BM183" i="1"/>
  <c r="BN183" i="1"/>
  <c r="BO183" i="1"/>
  <c r="BP183" i="1"/>
  <c r="BQ183" i="1"/>
  <c r="BR183" i="1"/>
  <c r="BS183" i="1"/>
  <c r="BT183" i="1"/>
  <c r="BU183" i="1"/>
  <c r="BV183" i="1"/>
  <c r="BW183" i="1"/>
  <c r="BX183" i="1"/>
  <c r="BY183" i="1"/>
  <c r="BZ183" i="1"/>
  <c r="CA183" i="1"/>
  <c r="CB183" i="1"/>
  <c r="CC183" i="1"/>
  <c r="CD183" i="1"/>
  <c r="A184" i="1"/>
  <c r="B184" i="1"/>
  <c r="C184" i="1"/>
  <c r="D184" i="1"/>
  <c r="E184" i="1"/>
  <c r="G184" i="1"/>
  <c r="I184" i="1"/>
  <c r="J184" i="1"/>
  <c r="M184" i="1"/>
  <c r="P184" i="1"/>
  <c r="F184" i="1" s="1"/>
  <c r="Q184" i="1"/>
  <c r="R184" i="1"/>
  <c r="H184" i="1" s="1"/>
  <c r="T184" i="1"/>
  <c r="U184" i="1"/>
  <c r="V184" i="1"/>
  <c r="W184" i="1"/>
  <c r="Z184" i="1"/>
  <c r="AA184" i="1"/>
  <c r="AC184" i="1"/>
  <c r="AE184" i="1"/>
  <c r="AH184" i="1"/>
  <c r="AQ184" i="1"/>
  <c r="AR184" i="1"/>
  <c r="AS184" i="1"/>
  <c r="AT184" i="1"/>
  <c r="AU184" i="1"/>
  <c r="AV184" i="1"/>
  <c r="AW184" i="1"/>
  <c r="AX184" i="1"/>
  <c r="AY184" i="1"/>
  <c r="AZ184" i="1"/>
  <c r="BA184" i="1"/>
  <c r="BB184" i="1"/>
  <c r="BC184" i="1"/>
  <c r="BD184" i="1"/>
  <c r="BE184" i="1"/>
  <c r="BF184" i="1"/>
  <c r="BG184" i="1"/>
  <c r="BH184" i="1"/>
  <c r="BI184" i="1"/>
  <c r="BJ184" i="1"/>
  <c r="BK184" i="1"/>
  <c r="BL184" i="1"/>
  <c r="BM184" i="1"/>
  <c r="BN184" i="1"/>
  <c r="BO184" i="1"/>
  <c r="BP184" i="1"/>
  <c r="BQ184" i="1"/>
  <c r="BR184" i="1"/>
  <c r="BS184" i="1"/>
  <c r="BT184" i="1"/>
  <c r="BU184" i="1"/>
  <c r="BV184" i="1"/>
  <c r="BW184" i="1"/>
  <c r="BX184" i="1"/>
  <c r="BY184" i="1"/>
  <c r="BZ184" i="1"/>
  <c r="CA184" i="1"/>
  <c r="CB184" i="1"/>
  <c r="CC184" i="1"/>
  <c r="CD184" i="1"/>
  <c r="A185" i="1"/>
  <c r="B185" i="1"/>
  <c r="I185" i="1" s="1"/>
  <c r="C185" i="1"/>
  <c r="D185" i="1"/>
  <c r="E185" i="1"/>
  <c r="G185" i="1"/>
  <c r="J185" i="1"/>
  <c r="M185" i="1"/>
  <c r="P185" i="1"/>
  <c r="F185" i="1" s="1"/>
  <c r="Q185" i="1"/>
  <c r="R185" i="1"/>
  <c r="H185" i="1" s="1"/>
  <c r="T185" i="1"/>
  <c r="U185" i="1"/>
  <c r="V185" i="1"/>
  <c r="W185" i="1"/>
  <c r="Z185" i="1"/>
  <c r="AA185" i="1"/>
  <c r="AC185" i="1"/>
  <c r="AE185" i="1"/>
  <c r="AH185" i="1"/>
  <c r="AQ185" i="1"/>
  <c r="AR185" i="1"/>
  <c r="AS185" i="1"/>
  <c r="AT185" i="1"/>
  <c r="AU185" i="1"/>
  <c r="AV185" i="1"/>
  <c r="AW185" i="1"/>
  <c r="AX185" i="1"/>
  <c r="AY185" i="1"/>
  <c r="AZ185" i="1"/>
  <c r="BA185" i="1"/>
  <c r="BB185" i="1"/>
  <c r="BC185" i="1"/>
  <c r="BD185" i="1"/>
  <c r="BE185" i="1"/>
  <c r="BF185" i="1"/>
  <c r="BG185" i="1"/>
  <c r="BH185" i="1"/>
  <c r="BI185" i="1"/>
  <c r="BJ185" i="1"/>
  <c r="BK185" i="1"/>
  <c r="BL185" i="1"/>
  <c r="BM185" i="1"/>
  <c r="BN185" i="1"/>
  <c r="BO185" i="1"/>
  <c r="BP185" i="1"/>
  <c r="BQ185" i="1"/>
  <c r="BR185" i="1"/>
  <c r="BS185" i="1"/>
  <c r="BT185" i="1"/>
  <c r="BU185" i="1"/>
  <c r="BV185" i="1"/>
  <c r="BW185" i="1"/>
  <c r="BX185" i="1"/>
  <c r="BY185" i="1"/>
  <c r="BZ185" i="1"/>
  <c r="CA185" i="1"/>
  <c r="CB185" i="1"/>
  <c r="CC185" i="1"/>
  <c r="CD185" i="1"/>
  <c r="A186" i="1"/>
  <c r="B186" i="1"/>
  <c r="I186" i="1" s="1"/>
  <c r="C186" i="1"/>
  <c r="D186" i="1"/>
  <c r="E186" i="1"/>
  <c r="G186" i="1"/>
  <c r="J186" i="1"/>
  <c r="M186" i="1"/>
  <c r="P186" i="1"/>
  <c r="F186" i="1" s="1"/>
  <c r="Q186" i="1"/>
  <c r="R186" i="1"/>
  <c r="H186" i="1" s="1"/>
  <c r="T186" i="1"/>
  <c r="U186" i="1"/>
  <c r="V186" i="1"/>
  <c r="W186" i="1"/>
  <c r="Z186" i="1"/>
  <c r="AA186" i="1"/>
  <c r="AC186" i="1"/>
  <c r="AE186" i="1"/>
  <c r="AH186" i="1"/>
  <c r="AQ186" i="1"/>
  <c r="AR186" i="1"/>
  <c r="AS186" i="1"/>
  <c r="AT186" i="1"/>
  <c r="AU186" i="1"/>
  <c r="AV186" i="1"/>
  <c r="AW186" i="1"/>
  <c r="AX186" i="1"/>
  <c r="AY186" i="1"/>
  <c r="AZ186" i="1"/>
  <c r="BA186" i="1"/>
  <c r="BB186" i="1"/>
  <c r="BC186" i="1"/>
  <c r="BD186" i="1"/>
  <c r="BE186" i="1"/>
  <c r="BF186" i="1"/>
  <c r="BG186" i="1"/>
  <c r="BH186" i="1"/>
  <c r="BI186" i="1"/>
  <c r="BJ186" i="1"/>
  <c r="BK186" i="1"/>
  <c r="BL186" i="1"/>
  <c r="BM186" i="1"/>
  <c r="BN186" i="1"/>
  <c r="BO186" i="1"/>
  <c r="BP186" i="1"/>
  <c r="BQ186" i="1"/>
  <c r="BR186" i="1"/>
  <c r="BS186" i="1"/>
  <c r="BT186" i="1"/>
  <c r="BU186" i="1"/>
  <c r="BV186" i="1"/>
  <c r="BW186" i="1"/>
  <c r="BX186" i="1"/>
  <c r="BY186" i="1"/>
  <c r="BZ186" i="1"/>
  <c r="CA186" i="1"/>
  <c r="CB186" i="1"/>
  <c r="CC186" i="1"/>
  <c r="CD186" i="1"/>
  <c r="A187" i="1"/>
  <c r="B187" i="1"/>
  <c r="C187" i="1"/>
  <c r="D187" i="1"/>
  <c r="E187" i="1"/>
  <c r="G187" i="1"/>
  <c r="J187" i="1"/>
  <c r="M187" i="1"/>
  <c r="P187" i="1"/>
  <c r="Q187" i="1"/>
  <c r="R187" i="1"/>
  <c r="H187" i="1" s="1"/>
  <c r="T187" i="1"/>
  <c r="U187" i="1"/>
  <c r="V187" i="1"/>
  <c r="W187" i="1"/>
  <c r="Z187" i="1"/>
  <c r="AA187" i="1"/>
  <c r="AC187" i="1"/>
  <c r="AE187" i="1"/>
  <c r="AH187" i="1"/>
  <c r="AQ187" i="1"/>
  <c r="AR187" i="1"/>
  <c r="AS187" i="1"/>
  <c r="AT187" i="1"/>
  <c r="AU187" i="1"/>
  <c r="AV187" i="1"/>
  <c r="AW187" i="1"/>
  <c r="AX187" i="1"/>
  <c r="AY187" i="1"/>
  <c r="AZ187" i="1"/>
  <c r="BA187" i="1"/>
  <c r="BB187" i="1"/>
  <c r="BC187" i="1"/>
  <c r="BD187" i="1"/>
  <c r="BE187" i="1"/>
  <c r="BF187" i="1"/>
  <c r="BG187" i="1"/>
  <c r="BH187" i="1"/>
  <c r="BI187" i="1"/>
  <c r="BJ187" i="1"/>
  <c r="BK187" i="1"/>
  <c r="BL187" i="1"/>
  <c r="BM187" i="1"/>
  <c r="BN187" i="1"/>
  <c r="BO187" i="1"/>
  <c r="BP187" i="1"/>
  <c r="BQ187" i="1"/>
  <c r="BR187" i="1"/>
  <c r="BS187" i="1"/>
  <c r="BT187" i="1"/>
  <c r="BU187" i="1"/>
  <c r="BV187" i="1"/>
  <c r="BW187" i="1"/>
  <c r="BX187" i="1"/>
  <c r="BY187" i="1"/>
  <c r="BZ187" i="1"/>
  <c r="CA187" i="1"/>
  <c r="CB187" i="1"/>
  <c r="CC187" i="1"/>
  <c r="CD187" i="1"/>
  <c r="A188" i="1"/>
  <c r="B188" i="1"/>
  <c r="C188" i="1"/>
  <c r="D188" i="1"/>
  <c r="E188" i="1"/>
  <c r="G188" i="1"/>
  <c r="I188" i="1"/>
  <c r="J188" i="1"/>
  <c r="M188" i="1"/>
  <c r="P188" i="1"/>
  <c r="F188" i="1" s="1"/>
  <c r="Q188" i="1"/>
  <c r="R188" i="1"/>
  <c r="T188" i="1"/>
  <c r="U188" i="1"/>
  <c r="V188" i="1"/>
  <c r="W188" i="1"/>
  <c r="Z188" i="1"/>
  <c r="AA188" i="1"/>
  <c r="AC188" i="1"/>
  <c r="AE188" i="1"/>
  <c r="AH188" i="1"/>
  <c r="AQ188" i="1"/>
  <c r="AR188" i="1"/>
  <c r="AS188" i="1"/>
  <c r="AT188" i="1"/>
  <c r="AU188" i="1"/>
  <c r="AV188" i="1"/>
  <c r="AW188" i="1"/>
  <c r="AX188" i="1"/>
  <c r="AY188" i="1"/>
  <c r="AZ188" i="1"/>
  <c r="BA188" i="1"/>
  <c r="BB188" i="1"/>
  <c r="BC188" i="1"/>
  <c r="BD188" i="1"/>
  <c r="BE188" i="1"/>
  <c r="BF188" i="1"/>
  <c r="BG188" i="1"/>
  <c r="BH188" i="1"/>
  <c r="BI188" i="1"/>
  <c r="BJ188" i="1"/>
  <c r="BK188" i="1"/>
  <c r="BL188" i="1"/>
  <c r="BM188" i="1"/>
  <c r="BN188" i="1"/>
  <c r="BO188" i="1"/>
  <c r="BP188" i="1"/>
  <c r="BQ188" i="1"/>
  <c r="BR188" i="1"/>
  <c r="BS188" i="1"/>
  <c r="BT188" i="1"/>
  <c r="BU188" i="1"/>
  <c r="BV188" i="1"/>
  <c r="BW188" i="1"/>
  <c r="BX188" i="1"/>
  <c r="BY188" i="1"/>
  <c r="BZ188" i="1"/>
  <c r="CA188" i="1"/>
  <c r="CB188" i="1"/>
  <c r="CC188" i="1"/>
  <c r="CD188" i="1"/>
  <c r="A189" i="1"/>
  <c r="B189" i="1"/>
  <c r="C189" i="1"/>
  <c r="D189" i="1"/>
  <c r="E189" i="1"/>
  <c r="G189" i="1"/>
  <c r="I189" i="1"/>
  <c r="J189" i="1"/>
  <c r="M189" i="1"/>
  <c r="P189" i="1"/>
  <c r="F189" i="1" s="1"/>
  <c r="Q189" i="1"/>
  <c r="R189" i="1"/>
  <c r="H189" i="1" s="1"/>
  <c r="T189" i="1"/>
  <c r="U189" i="1"/>
  <c r="V189" i="1"/>
  <c r="W189" i="1"/>
  <c r="Z189" i="1"/>
  <c r="AA189" i="1"/>
  <c r="AC189" i="1"/>
  <c r="AE189" i="1"/>
  <c r="AH189" i="1"/>
  <c r="AQ189" i="1"/>
  <c r="AR189" i="1"/>
  <c r="AS189" i="1"/>
  <c r="AT189" i="1"/>
  <c r="AU189" i="1"/>
  <c r="AV189" i="1"/>
  <c r="AW189" i="1"/>
  <c r="AX189" i="1"/>
  <c r="AY189" i="1"/>
  <c r="AZ189" i="1"/>
  <c r="BA189" i="1"/>
  <c r="BB189" i="1"/>
  <c r="BC189" i="1"/>
  <c r="BD189" i="1"/>
  <c r="BE189" i="1"/>
  <c r="BF189" i="1"/>
  <c r="BG189" i="1"/>
  <c r="BH189" i="1"/>
  <c r="BI189" i="1"/>
  <c r="BJ189" i="1"/>
  <c r="BK189" i="1"/>
  <c r="BL189" i="1"/>
  <c r="BM189" i="1"/>
  <c r="BN189" i="1"/>
  <c r="BO189" i="1"/>
  <c r="BP189" i="1"/>
  <c r="BQ189" i="1"/>
  <c r="BR189" i="1"/>
  <c r="BS189" i="1"/>
  <c r="BT189" i="1"/>
  <c r="BU189" i="1"/>
  <c r="BV189" i="1"/>
  <c r="BW189" i="1"/>
  <c r="BX189" i="1"/>
  <c r="BY189" i="1"/>
  <c r="BZ189" i="1"/>
  <c r="CA189" i="1"/>
  <c r="CB189" i="1"/>
  <c r="CC189" i="1"/>
  <c r="CD189" i="1"/>
  <c r="A190" i="1"/>
  <c r="B190" i="1"/>
  <c r="C190" i="1"/>
  <c r="D190" i="1"/>
  <c r="E190" i="1"/>
  <c r="G190" i="1"/>
  <c r="J190" i="1"/>
  <c r="M190" i="1"/>
  <c r="P190" i="1"/>
  <c r="Q190" i="1"/>
  <c r="R190" i="1"/>
  <c r="H190" i="1" s="1"/>
  <c r="T190" i="1"/>
  <c r="U190" i="1"/>
  <c r="V190" i="1"/>
  <c r="W190" i="1"/>
  <c r="Z190" i="1"/>
  <c r="AA190" i="1"/>
  <c r="AC190" i="1"/>
  <c r="AE190" i="1"/>
  <c r="AH190" i="1"/>
  <c r="AQ190" i="1"/>
  <c r="AR190" i="1"/>
  <c r="AS190" i="1"/>
  <c r="AT190" i="1"/>
  <c r="AU190" i="1"/>
  <c r="AV190" i="1"/>
  <c r="AW190" i="1"/>
  <c r="AX190" i="1"/>
  <c r="AY190" i="1"/>
  <c r="AZ190" i="1"/>
  <c r="BA190" i="1"/>
  <c r="BB190" i="1"/>
  <c r="BC190" i="1"/>
  <c r="BD190" i="1"/>
  <c r="BE190" i="1"/>
  <c r="BF190" i="1"/>
  <c r="BG190" i="1"/>
  <c r="BH190" i="1"/>
  <c r="BI190" i="1"/>
  <c r="BJ190" i="1"/>
  <c r="BK190" i="1"/>
  <c r="BL190" i="1"/>
  <c r="BM190" i="1"/>
  <c r="BN190" i="1"/>
  <c r="BO190" i="1"/>
  <c r="BP190" i="1"/>
  <c r="BQ190" i="1"/>
  <c r="BR190" i="1"/>
  <c r="BS190" i="1"/>
  <c r="BT190" i="1"/>
  <c r="BU190" i="1"/>
  <c r="BV190" i="1"/>
  <c r="BW190" i="1"/>
  <c r="BX190" i="1"/>
  <c r="BY190" i="1"/>
  <c r="BZ190" i="1"/>
  <c r="CA190" i="1"/>
  <c r="CB190" i="1"/>
  <c r="CC190" i="1"/>
  <c r="CD190" i="1"/>
  <c r="A191" i="1"/>
  <c r="B191" i="1"/>
  <c r="C191" i="1"/>
  <c r="D191" i="1"/>
  <c r="E191" i="1"/>
  <c r="G191" i="1"/>
  <c r="I191" i="1"/>
  <c r="J191" i="1"/>
  <c r="M191" i="1"/>
  <c r="P191" i="1"/>
  <c r="F191" i="1" s="1"/>
  <c r="Q191" i="1"/>
  <c r="R191" i="1"/>
  <c r="H191" i="1" s="1"/>
  <c r="T191" i="1"/>
  <c r="U191" i="1"/>
  <c r="V191" i="1"/>
  <c r="W191" i="1"/>
  <c r="Z191" i="1"/>
  <c r="AA191" i="1"/>
  <c r="AC191" i="1"/>
  <c r="AE191" i="1"/>
  <c r="AH191" i="1"/>
  <c r="AQ191" i="1"/>
  <c r="AR191" i="1"/>
  <c r="AS191" i="1"/>
  <c r="AT191" i="1"/>
  <c r="AU191" i="1"/>
  <c r="AV191" i="1"/>
  <c r="AW191" i="1"/>
  <c r="AX191" i="1"/>
  <c r="AY191" i="1"/>
  <c r="AZ191" i="1"/>
  <c r="BA191" i="1"/>
  <c r="BB191" i="1"/>
  <c r="BC191" i="1"/>
  <c r="BD191" i="1"/>
  <c r="BE191" i="1"/>
  <c r="BF191" i="1"/>
  <c r="BG191" i="1"/>
  <c r="BH191" i="1"/>
  <c r="BI191" i="1"/>
  <c r="BJ191" i="1"/>
  <c r="BK191" i="1"/>
  <c r="BL191" i="1"/>
  <c r="BM191" i="1"/>
  <c r="BN191" i="1"/>
  <c r="BO191" i="1"/>
  <c r="BP191" i="1"/>
  <c r="BQ191" i="1"/>
  <c r="BR191" i="1"/>
  <c r="BS191" i="1"/>
  <c r="BT191" i="1"/>
  <c r="BU191" i="1"/>
  <c r="BV191" i="1"/>
  <c r="BW191" i="1"/>
  <c r="BX191" i="1"/>
  <c r="BY191" i="1"/>
  <c r="BZ191" i="1"/>
  <c r="CA191" i="1"/>
  <c r="CB191" i="1"/>
  <c r="CC191" i="1"/>
  <c r="CD191" i="1"/>
  <c r="A192" i="1"/>
  <c r="B192" i="1"/>
  <c r="C192" i="1"/>
  <c r="D192" i="1"/>
  <c r="E192" i="1"/>
  <c r="G192" i="1"/>
  <c r="I192" i="1"/>
  <c r="J192" i="1"/>
  <c r="M192" i="1"/>
  <c r="P192" i="1"/>
  <c r="F192" i="1" s="1"/>
  <c r="Q192" i="1"/>
  <c r="R192" i="1"/>
  <c r="H192" i="1" s="1"/>
  <c r="T192" i="1"/>
  <c r="U192" i="1"/>
  <c r="V192" i="1"/>
  <c r="W192" i="1"/>
  <c r="Z192" i="1"/>
  <c r="AA192" i="1"/>
  <c r="AC192" i="1"/>
  <c r="AE192" i="1"/>
  <c r="AH192" i="1"/>
  <c r="AQ192" i="1"/>
  <c r="AR192" i="1"/>
  <c r="AS192" i="1"/>
  <c r="AT192" i="1"/>
  <c r="AU192" i="1"/>
  <c r="AV192" i="1"/>
  <c r="AW192" i="1"/>
  <c r="AX192" i="1"/>
  <c r="AY192" i="1"/>
  <c r="AZ192" i="1"/>
  <c r="BA192" i="1"/>
  <c r="BB192" i="1"/>
  <c r="BC192" i="1"/>
  <c r="BD192" i="1"/>
  <c r="BE192" i="1"/>
  <c r="BF192" i="1"/>
  <c r="BG192" i="1"/>
  <c r="BH192" i="1"/>
  <c r="BI192" i="1"/>
  <c r="BJ192" i="1"/>
  <c r="BK192" i="1"/>
  <c r="BL192" i="1"/>
  <c r="BM192" i="1"/>
  <c r="BN192" i="1"/>
  <c r="BO192" i="1"/>
  <c r="BP192" i="1"/>
  <c r="BQ192" i="1"/>
  <c r="BR192" i="1"/>
  <c r="BS192" i="1"/>
  <c r="BT192" i="1"/>
  <c r="BU192" i="1"/>
  <c r="BV192" i="1"/>
  <c r="BW192" i="1"/>
  <c r="BX192" i="1"/>
  <c r="BY192" i="1"/>
  <c r="BZ192" i="1"/>
  <c r="CA192" i="1"/>
  <c r="CB192" i="1"/>
  <c r="CC192" i="1"/>
  <c r="CD192" i="1"/>
  <c r="A193" i="1"/>
  <c r="B193" i="1"/>
  <c r="C193" i="1"/>
  <c r="D193" i="1"/>
  <c r="E193" i="1"/>
  <c r="G193" i="1"/>
  <c r="I193" i="1"/>
  <c r="J193" i="1"/>
  <c r="M193" i="1"/>
  <c r="P193" i="1"/>
  <c r="F193" i="1" s="1"/>
  <c r="Q193" i="1"/>
  <c r="R193" i="1"/>
  <c r="H193" i="1" s="1"/>
  <c r="T193" i="1"/>
  <c r="U193" i="1"/>
  <c r="V193" i="1"/>
  <c r="W193" i="1"/>
  <c r="Z193" i="1"/>
  <c r="AA193" i="1"/>
  <c r="AC193" i="1"/>
  <c r="AE193" i="1"/>
  <c r="AH193" i="1"/>
  <c r="AQ193" i="1"/>
  <c r="AR193" i="1"/>
  <c r="AS193" i="1"/>
  <c r="AT193" i="1"/>
  <c r="AU193" i="1"/>
  <c r="AV193" i="1"/>
  <c r="AW193" i="1"/>
  <c r="AX193" i="1"/>
  <c r="AY193" i="1"/>
  <c r="AZ193" i="1"/>
  <c r="BA193" i="1"/>
  <c r="BB193" i="1"/>
  <c r="BC193" i="1"/>
  <c r="BD193" i="1"/>
  <c r="BE193" i="1"/>
  <c r="BF193" i="1"/>
  <c r="BG193" i="1"/>
  <c r="BH193" i="1"/>
  <c r="BI193" i="1"/>
  <c r="BJ193" i="1"/>
  <c r="BK193" i="1"/>
  <c r="BL193" i="1"/>
  <c r="BM193" i="1"/>
  <c r="BN193" i="1"/>
  <c r="BO193" i="1"/>
  <c r="BP193" i="1"/>
  <c r="BQ193" i="1"/>
  <c r="BR193" i="1"/>
  <c r="BS193" i="1"/>
  <c r="BT193" i="1"/>
  <c r="BU193" i="1"/>
  <c r="BV193" i="1"/>
  <c r="BW193" i="1"/>
  <c r="BX193" i="1"/>
  <c r="BY193" i="1"/>
  <c r="BZ193" i="1"/>
  <c r="CA193" i="1"/>
  <c r="CB193" i="1"/>
  <c r="CC193" i="1"/>
  <c r="CD193" i="1"/>
  <c r="A194" i="1"/>
  <c r="B194" i="1"/>
  <c r="C194" i="1"/>
  <c r="D194" i="1"/>
  <c r="E194" i="1"/>
  <c r="G194" i="1"/>
  <c r="J194" i="1"/>
  <c r="M194" i="1"/>
  <c r="P194" i="1"/>
  <c r="Q194" i="1"/>
  <c r="R194" i="1"/>
  <c r="H194" i="1" s="1"/>
  <c r="T194" i="1"/>
  <c r="U194" i="1"/>
  <c r="V194" i="1"/>
  <c r="W194" i="1"/>
  <c r="Z194" i="1"/>
  <c r="AA194" i="1"/>
  <c r="AC194" i="1"/>
  <c r="AE194" i="1"/>
  <c r="AH194" i="1"/>
  <c r="AQ194" i="1"/>
  <c r="AR194" i="1"/>
  <c r="AS194" i="1"/>
  <c r="AT194" i="1"/>
  <c r="AU194" i="1"/>
  <c r="AV194" i="1"/>
  <c r="AW194" i="1"/>
  <c r="AX194" i="1"/>
  <c r="AY194" i="1"/>
  <c r="AZ194" i="1"/>
  <c r="BA194" i="1"/>
  <c r="BB194" i="1"/>
  <c r="BC194" i="1"/>
  <c r="BD194" i="1"/>
  <c r="BE194" i="1"/>
  <c r="BF194" i="1"/>
  <c r="BG194" i="1"/>
  <c r="BH194" i="1"/>
  <c r="BI194" i="1"/>
  <c r="BJ194" i="1"/>
  <c r="BK194" i="1"/>
  <c r="BL194" i="1"/>
  <c r="BM194" i="1"/>
  <c r="BN194" i="1"/>
  <c r="BO194" i="1"/>
  <c r="BP194" i="1"/>
  <c r="BQ194" i="1"/>
  <c r="BR194" i="1"/>
  <c r="BS194" i="1"/>
  <c r="BT194" i="1"/>
  <c r="BU194" i="1"/>
  <c r="BV194" i="1"/>
  <c r="BW194" i="1"/>
  <c r="BX194" i="1"/>
  <c r="BY194" i="1"/>
  <c r="BZ194" i="1"/>
  <c r="CA194" i="1"/>
  <c r="CB194" i="1"/>
  <c r="CC194" i="1"/>
  <c r="CD194" i="1"/>
  <c r="A195" i="1"/>
  <c r="B195" i="1"/>
  <c r="C195" i="1"/>
  <c r="D195" i="1"/>
  <c r="E195" i="1"/>
  <c r="G195" i="1"/>
  <c r="I195" i="1"/>
  <c r="J195" i="1"/>
  <c r="M195" i="1"/>
  <c r="P195" i="1"/>
  <c r="F195" i="1" s="1"/>
  <c r="Q195" i="1"/>
  <c r="R195" i="1"/>
  <c r="H195" i="1" s="1"/>
  <c r="T195" i="1"/>
  <c r="U195" i="1"/>
  <c r="V195" i="1"/>
  <c r="W195" i="1"/>
  <c r="Z195" i="1"/>
  <c r="AA195" i="1"/>
  <c r="AC195" i="1"/>
  <c r="AE195" i="1"/>
  <c r="AH195" i="1"/>
  <c r="AQ195" i="1"/>
  <c r="AR195" i="1"/>
  <c r="AS195" i="1"/>
  <c r="AT195" i="1"/>
  <c r="AU195" i="1"/>
  <c r="AV195" i="1"/>
  <c r="AW195" i="1"/>
  <c r="AX195" i="1"/>
  <c r="AY195" i="1"/>
  <c r="AZ195" i="1"/>
  <c r="BA195" i="1"/>
  <c r="BB195" i="1"/>
  <c r="BC195" i="1"/>
  <c r="BD195" i="1"/>
  <c r="BE195" i="1"/>
  <c r="BF195" i="1"/>
  <c r="BG195" i="1"/>
  <c r="BH195" i="1"/>
  <c r="BI195" i="1"/>
  <c r="BJ195" i="1"/>
  <c r="BK195" i="1"/>
  <c r="BL195" i="1"/>
  <c r="BM195" i="1"/>
  <c r="BN195" i="1"/>
  <c r="BO195" i="1"/>
  <c r="BP195" i="1"/>
  <c r="BQ195" i="1"/>
  <c r="BR195" i="1"/>
  <c r="BS195" i="1"/>
  <c r="BT195" i="1"/>
  <c r="BU195" i="1"/>
  <c r="BV195" i="1"/>
  <c r="BW195" i="1"/>
  <c r="BX195" i="1"/>
  <c r="BY195" i="1"/>
  <c r="BZ195" i="1"/>
  <c r="CA195" i="1"/>
  <c r="CB195" i="1"/>
  <c r="CC195" i="1"/>
  <c r="CD195" i="1"/>
  <c r="A196" i="1"/>
  <c r="B196" i="1"/>
  <c r="C196" i="1"/>
  <c r="D196" i="1"/>
  <c r="E196" i="1"/>
  <c r="G196" i="1"/>
  <c r="J196" i="1"/>
  <c r="M196" i="1"/>
  <c r="P196" i="1"/>
  <c r="F196" i="1" s="1"/>
  <c r="Q196" i="1"/>
  <c r="R196" i="1"/>
  <c r="H196" i="1" s="1"/>
  <c r="T196" i="1"/>
  <c r="U196" i="1"/>
  <c r="V196" i="1"/>
  <c r="W196" i="1"/>
  <c r="Z196" i="1"/>
  <c r="AA196" i="1"/>
  <c r="AC196" i="1"/>
  <c r="AE196" i="1"/>
  <c r="AH196" i="1"/>
  <c r="AQ196" i="1"/>
  <c r="AR196" i="1"/>
  <c r="AS196" i="1"/>
  <c r="AT196" i="1"/>
  <c r="AU196" i="1"/>
  <c r="AV196" i="1"/>
  <c r="AW196" i="1"/>
  <c r="AX196" i="1"/>
  <c r="AY196" i="1"/>
  <c r="AZ196" i="1"/>
  <c r="BA196" i="1"/>
  <c r="BB196" i="1"/>
  <c r="BC196" i="1"/>
  <c r="BD196" i="1"/>
  <c r="BE196" i="1"/>
  <c r="BF196" i="1"/>
  <c r="BG196" i="1"/>
  <c r="BH196" i="1"/>
  <c r="BI196" i="1"/>
  <c r="BJ196" i="1"/>
  <c r="BK196" i="1"/>
  <c r="BL196" i="1"/>
  <c r="BM196" i="1"/>
  <c r="BN196" i="1"/>
  <c r="BO196" i="1"/>
  <c r="BP196" i="1"/>
  <c r="BQ196" i="1"/>
  <c r="BR196" i="1"/>
  <c r="BS196" i="1"/>
  <c r="BT196" i="1"/>
  <c r="BU196" i="1"/>
  <c r="BV196" i="1"/>
  <c r="BW196" i="1"/>
  <c r="BX196" i="1"/>
  <c r="BY196" i="1"/>
  <c r="BZ196" i="1"/>
  <c r="CA196" i="1"/>
  <c r="CB196" i="1"/>
  <c r="CC196" i="1"/>
  <c r="CD196" i="1"/>
  <c r="A197" i="1"/>
  <c r="B197" i="1"/>
  <c r="C197" i="1"/>
  <c r="D197" i="1"/>
  <c r="E197" i="1"/>
  <c r="G197" i="1"/>
  <c r="I197" i="1"/>
  <c r="J197" i="1"/>
  <c r="M197" i="1"/>
  <c r="P197" i="1"/>
  <c r="F197" i="1" s="1"/>
  <c r="Q197" i="1"/>
  <c r="R197" i="1"/>
  <c r="H197" i="1" s="1"/>
  <c r="T197" i="1"/>
  <c r="U197" i="1"/>
  <c r="V197" i="1"/>
  <c r="W197" i="1"/>
  <c r="Z197" i="1"/>
  <c r="AA197" i="1"/>
  <c r="AC197" i="1"/>
  <c r="AE197" i="1"/>
  <c r="AH197" i="1"/>
  <c r="AQ197" i="1"/>
  <c r="AR197" i="1"/>
  <c r="AS197" i="1"/>
  <c r="AT197" i="1"/>
  <c r="AU197" i="1"/>
  <c r="AV197" i="1"/>
  <c r="AW197" i="1"/>
  <c r="AX197" i="1"/>
  <c r="AY197" i="1"/>
  <c r="AZ197" i="1"/>
  <c r="BA197" i="1"/>
  <c r="BB197" i="1"/>
  <c r="BC197" i="1"/>
  <c r="BD197" i="1"/>
  <c r="BE197" i="1"/>
  <c r="BF197" i="1"/>
  <c r="BG197" i="1"/>
  <c r="BH197" i="1"/>
  <c r="BI197" i="1"/>
  <c r="BJ197" i="1"/>
  <c r="BK197" i="1"/>
  <c r="BL197" i="1"/>
  <c r="BM197" i="1"/>
  <c r="BN197" i="1"/>
  <c r="BO197" i="1"/>
  <c r="BP197" i="1"/>
  <c r="BQ197" i="1"/>
  <c r="BR197" i="1"/>
  <c r="BS197" i="1"/>
  <c r="BT197" i="1"/>
  <c r="BU197" i="1"/>
  <c r="BV197" i="1"/>
  <c r="BW197" i="1"/>
  <c r="BX197" i="1"/>
  <c r="BY197" i="1"/>
  <c r="BZ197" i="1"/>
  <c r="CA197" i="1"/>
  <c r="CB197" i="1"/>
  <c r="CC197" i="1"/>
  <c r="CD197" i="1"/>
  <c r="A198" i="1"/>
  <c r="B198" i="1"/>
  <c r="C198" i="1"/>
  <c r="D198" i="1"/>
  <c r="E198" i="1"/>
  <c r="G198" i="1"/>
  <c r="I198" i="1"/>
  <c r="J198" i="1"/>
  <c r="M198" i="1"/>
  <c r="P198" i="1"/>
  <c r="F198" i="1" s="1"/>
  <c r="Q198" i="1"/>
  <c r="R198" i="1"/>
  <c r="H198" i="1" s="1"/>
  <c r="T198" i="1"/>
  <c r="U198" i="1"/>
  <c r="V198" i="1"/>
  <c r="W198" i="1"/>
  <c r="Z198" i="1"/>
  <c r="AA198" i="1"/>
  <c r="AC198" i="1"/>
  <c r="AE198" i="1"/>
  <c r="AH198" i="1"/>
  <c r="AQ198" i="1"/>
  <c r="AR198" i="1"/>
  <c r="AS198" i="1"/>
  <c r="AT198" i="1"/>
  <c r="AU198" i="1"/>
  <c r="AV198" i="1"/>
  <c r="AW198" i="1"/>
  <c r="AX198" i="1"/>
  <c r="AY198" i="1"/>
  <c r="AZ198" i="1"/>
  <c r="BA198" i="1"/>
  <c r="BB198" i="1"/>
  <c r="BC198" i="1"/>
  <c r="BD198" i="1"/>
  <c r="BE198" i="1"/>
  <c r="BF198" i="1"/>
  <c r="BG198" i="1"/>
  <c r="BH198" i="1"/>
  <c r="BI198" i="1"/>
  <c r="BJ198" i="1"/>
  <c r="BK198" i="1"/>
  <c r="BL198" i="1"/>
  <c r="BM198" i="1"/>
  <c r="BN198" i="1"/>
  <c r="BO198" i="1"/>
  <c r="BP198" i="1"/>
  <c r="BQ198" i="1"/>
  <c r="BR198" i="1"/>
  <c r="BS198" i="1"/>
  <c r="BT198" i="1"/>
  <c r="BU198" i="1"/>
  <c r="BV198" i="1"/>
  <c r="BW198" i="1"/>
  <c r="BX198" i="1"/>
  <c r="BY198" i="1"/>
  <c r="BZ198" i="1"/>
  <c r="CA198" i="1"/>
  <c r="CB198" i="1"/>
  <c r="CC198" i="1"/>
  <c r="CD198" i="1"/>
  <c r="A199" i="1"/>
  <c r="B199" i="1"/>
  <c r="C199" i="1"/>
  <c r="D199" i="1"/>
  <c r="E199" i="1"/>
  <c r="G199" i="1"/>
  <c r="I199" i="1"/>
  <c r="J199" i="1"/>
  <c r="M199" i="1"/>
  <c r="P199" i="1"/>
  <c r="F199" i="1" s="1"/>
  <c r="Q199" i="1"/>
  <c r="R199" i="1"/>
  <c r="H199" i="1" s="1"/>
  <c r="T199" i="1"/>
  <c r="U199" i="1"/>
  <c r="V199" i="1"/>
  <c r="W199" i="1"/>
  <c r="Z199" i="1"/>
  <c r="AA199" i="1"/>
  <c r="AC199" i="1"/>
  <c r="AE199" i="1"/>
  <c r="AH199" i="1"/>
  <c r="AQ199" i="1"/>
  <c r="AR199" i="1"/>
  <c r="AS199" i="1"/>
  <c r="AT199" i="1"/>
  <c r="AU199" i="1"/>
  <c r="AV199" i="1"/>
  <c r="AW199" i="1"/>
  <c r="AX199" i="1"/>
  <c r="AY199" i="1"/>
  <c r="AZ199" i="1"/>
  <c r="BA199" i="1"/>
  <c r="BB199" i="1"/>
  <c r="BC199" i="1"/>
  <c r="BD199" i="1"/>
  <c r="BE199" i="1"/>
  <c r="BF199" i="1"/>
  <c r="BG199" i="1"/>
  <c r="BH199" i="1"/>
  <c r="BI199" i="1"/>
  <c r="BJ199" i="1"/>
  <c r="BK199" i="1"/>
  <c r="BL199" i="1"/>
  <c r="BM199" i="1"/>
  <c r="BN199" i="1"/>
  <c r="BO199" i="1"/>
  <c r="BP199" i="1"/>
  <c r="BQ199" i="1"/>
  <c r="BR199" i="1"/>
  <c r="BS199" i="1"/>
  <c r="BT199" i="1"/>
  <c r="BU199" i="1"/>
  <c r="BV199" i="1"/>
  <c r="BW199" i="1"/>
  <c r="BX199" i="1"/>
  <c r="BY199" i="1"/>
  <c r="BZ199" i="1"/>
  <c r="CA199" i="1"/>
  <c r="CB199" i="1"/>
  <c r="CC199" i="1"/>
  <c r="CD199" i="1"/>
  <c r="A200" i="1"/>
  <c r="B200" i="1"/>
  <c r="C200" i="1"/>
  <c r="D200" i="1"/>
  <c r="E200" i="1"/>
  <c r="G200" i="1"/>
  <c r="J200" i="1"/>
  <c r="M200" i="1"/>
  <c r="P200" i="1"/>
  <c r="Q200" i="1"/>
  <c r="R200" i="1"/>
  <c r="H200" i="1" s="1"/>
  <c r="T200" i="1"/>
  <c r="U200" i="1"/>
  <c r="V200" i="1"/>
  <c r="W200" i="1"/>
  <c r="Z200" i="1"/>
  <c r="AA200" i="1"/>
  <c r="AC200" i="1"/>
  <c r="AE200" i="1"/>
  <c r="AH200" i="1"/>
  <c r="AQ200" i="1"/>
  <c r="AR200" i="1"/>
  <c r="AS200" i="1"/>
  <c r="AT200" i="1"/>
  <c r="AU200" i="1"/>
  <c r="AV200" i="1"/>
  <c r="AW200" i="1"/>
  <c r="AX200" i="1"/>
  <c r="AY200" i="1"/>
  <c r="AZ200" i="1"/>
  <c r="BA200" i="1"/>
  <c r="BB200" i="1"/>
  <c r="BC200" i="1"/>
  <c r="BD200" i="1"/>
  <c r="BE200" i="1"/>
  <c r="BF200" i="1"/>
  <c r="BG200" i="1"/>
  <c r="BH200" i="1"/>
  <c r="BI200" i="1"/>
  <c r="BJ200" i="1"/>
  <c r="BK200" i="1"/>
  <c r="BL200" i="1"/>
  <c r="BM200" i="1"/>
  <c r="BN200" i="1"/>
  <c r="BO200" i="1"/>
  <c r="BP200" i="1"/>
  <c r="BQ200" i="1"/>
  <c r="BR200" i="1"/>
  <c r="BS200" i="1"/>
  <c r="BT200" i="1"/>
  <c r="BU200" i="1"/>
  <c r="BV200" i="1"/>
  <c r="BW200" i="1"/>
  <c r="BX200" i="1"/>
  <c r="BY200" i="1"/>
  <c r="BZ200" i="1"/>
  <c r="CA200" i="1"/>
  <c r="CB200" i="1"/>
  <c r="CC200" i="1"/>
  <c r="CD200" i="1"/>
  <c r="A201" i="1"/>
  <c r="B201" i="1"/>
  <c r="C201" i="1"/>
  <c r="D201" i="1"/>
  <c r="E201" i="1"/>
  <c r="G201" i="1"/>
  <c r="I201" i="1"/>
  <c r="J201" i="1"/>
  <c r="M201" i="1"/>
  <c r="P201" i="1"/>
  <c r="F201" i="1" s="1"/>
  <c r="Q201" i="1"/>
  <c r="R201" i="1"/>
  <c r="H201" i="1" s="1"/>
  <c r="T201" i="1"/>
  <c r="U201" i="1"/>
  <c r="V201" i="1"/>
  <c r="W201" i="1"/>
  <c r="Z201" i="1"/>
  <c r="AA201" i="1"/>
  <c r="AC201" i="1"/>
  <c r="AE201" i="1"/>
  <c r="AH201" i="1"/>
  <c r="AQ201" i="1"/>
  <c r="AR201" i="1"/>
  <c r="AS201" i="1"/>
  <c r="AT201" i="1"/>
  <c r="AU201" i="1"/>
  <c r="AV201" i="1"/>
  <c r="AW201" i="1"/>
  <c r="AX201" i="1"/>
  <c r="AY201" i="1"/>
  <c r="AZ201" i="1"/>
  <c r="BA201" i="1"/>
  <c r="BB201" i="1"/>
  <c r="BC201" i="1"/>
  <c r="BD201" i="1"/>
  <c r="BE201" i="1"/>
  <c r="BF201" i="1"/>
  <c r="BG201" i="1"/>
  <c r="BH201" i="1"/>
  <c r="BI201" i="1"/>
  <c r="BJ201" i="1"/>
  <c r="BK201" i="1"/>
  <c r="BL201" i="1"/>
  <c r="BM201" i="1"/>
  <c r="BN201" i="1"/>
  <c r="BO201" i="1"/>
  <c r="BP201" i="1"/>
  <c r="BQ201" i="1"/>
  <c r="BR201" i="1"/>
  <c r="BS201" i="1"/>
  <c r="BT201" i="1"/>
  <c r="BU201" i="1"/>
  <c r="BV201" i="1"/>
  <c r="BW201" i="1"/>
  <c r="BX201" i="1"/>
  <c r="BY201" i="1"/>
  <c r="BZ201" i="1"/>
  <c r="CA201" i="1"/>
  <c r="CB201" i="1"/>
  <c r="CC201" i="1"/>
  <c r="CD201" i="1"/>
  <c r="A202" i="1"/>
  <c r="B202" i="1"/>
  <c r="C202" i="1"/>
  <c r="D202" i="1"/>
  <c r="E202" i="1"/>
  <c r="G202" i="1"/>
  <c r="I202" i="1"/>
  <c r="J202" i="1"/>
  <c r="M202" i="1"/>
  <c r="P202" i="1"/>
  <c r="F202" i="1" s="1"/>
  <c r="Q202" i="1"/>
  <c r="R202" i="1"/>
  <c r="H202" i="1" s="1"/>
  <c r="T202" i="1"/>
  <c r="U202" i="1"/>
  <c r="V202" i="1"/>
  <c r="W202" i="1"/>
  <c r="Z202" i="1"/>
  <c r="AA202" i="1"/>
  <c r="AC202" i="1"/>
  <c r="AE202" i="1"/>
  <c r="AH202" i="1"/>
  <c r="AQ202" i="1"/>
  <c r="AR202" i="1"/>
  <c r="AS202" i="1"/>
  <c r="AT202" i="1"/>
  <c r="AU202" i="1"/>
  <c r="AV202" i="1"/>
  <c r="AW202" i="1"/>
  <c r="AX202" i="1"/>
  <c r="AY202" i="1"/>
  <c r="AZ202" i="1"/>
  <c r="BA202" i="1"/>
  <c r="BB202" i="1"/>
  <c r="BC202" i="1"/>
  <c r="BD202" i="1"/>
  <c r="BE202" i="1"/>
  <c r="BF202" i="1"/>
  <c r="BG202" i="1"/>
  <c r="BH202" i="1"/>
  <c r="BI202" i="1"/>
  <c r="BJ202" i="1"/>
  <c r="BK202" i="1"/>
  <c r="BL202" i="1"/>
  <c r="BM202" i="1"/>
  <c r="BN202" i="1"/>
  <c r="BO202" i="1"/>
  <c r="BP202" i="1"/>
  <c r="BQ202" i="1"/>
  <c r="BR202" i="1"/>
  <c r="BS202" i="1"/>
  <c r="BT202" i="1"/>
  <c r="BU202" i="1"/>
  <c r="BV202" i="1"/>
  <c r="BW202" i="1"/>
  <c r="BX202" i="1"/>
  <c r="BY202" i="1"/>
  <c r="BZ202" i="1"/>
  <c r="CA202" i="1"/>
  <c r="CB202" i="1"/>
  <c r="CC202" i="1"/>
  <c r="CD202" i="1"/>
  <c r="A203" i="1"/>
  <c r="B203" i="1"/>
  <c r="C203" i="1"/>
  <c r="D203" i="1"/>
  <c r="E203" i="1"/>
  <c r="G203" i="1"/>
  <c r="I203" i="1"/>
  <c r="J203" i="1"/>
  <c r="M203" i="1"/>
  <c r="P203" i="1"/>
  <c r="F203" i="1" s="1"/>
  <c r="Q203" i="1"/>
  <c r="R203" i="1"/>
  <c r="H203" i="1" s="1"/>
  <c r="T203" i="1"/>
  <c r="U203" i="1"/>
  <c r="V203" i="1"/>
  <c r="W203" i="1"/>
  <c r="Z203" i="1"/>
  <c r="AA203" i="1"/>
  <c r="AC203" i="1"/>
  <c r="AE203" i="1"/>
  <c r="AH203" i="1"/>
  <c r="AQ203" i="1"/>
  <c r="AR203" i="1"/>
  <c r="AS203" i="1"/>
  <c r="AT203" i="1"/>
  <c r="AU203" i="1"/>
  <c r="AV203" i="1"/>
  <c r="AW203" i="1"/>
  <c r="AX203" i="1"/>
  <c r="AY203" i="1"/>
  <c r="AZ203" i="1"/>
  <c r="BA203" i="1"/>
  <c r="BB203" i="1"/>
  <c r="BC203" i="1"/>
  <c r="BD203" i="1"/>
  <c r="BE203" i="1"/>
  <c r="BF203" i="1"/>
  <c r="BG203" i="1"/>
  <c r="BH203" i="1"/>
  <c r="BI203" i="1"/>
  <c r="BJ203" i="1"/>
  <c r="BK203" i="1"/>
  <c r="BL203" i="1"/>
  <c r="BM203" i="1"/>
  <c r="BN203" i="1"/>
  <c r="BO203" i="1"/>
  <c r="BP203" i="1"/>
  <c r="BQ203" i="1"/>
  <c r="BR203" i="1"/>
  <c r="BS203" i="1"/>
  <c r="BT203" i="1"/>
  <c r="BU203" i="1"/>
  <c r="BV203" i="1"/>
  <c r="BW203" i="1"/>
  <c r="BX203" i="1"/>
  <c r="BY203" i="1"/>
  <c r="BZ203" i="1"/>
  <c r="CA203" i="1"/>
  <c r="CB203" i="1"/>
  <c r="CC203" i="1"/>
  <c r="CD203" i="1"/>
  <c r="A204" i="1"/>
  <c r="B204" i="1"/>
  <c r="C204" i="1"/>
  <c r="D204" i="1"/>
  <c r="E204" i="1"/>
  <c r="G204" i="1"/>
  <c r="J204" i="1"/>
  <c r="M204" i="1"/>
  <c r="P204" i="1"/>
  <c r="Q204" i="1"/>
  <c r="R204" i="1"/>
  <c r="H204" i="1" s="1"/>
  <c r="T204" i="1"/>
  <c r="U204" i="1"/>
  <c r="V204" i="1"/>
  <c r="W204" i="1"/>
  <c r="Z204" i="1"/>
  <c r="AA204" i="1"/>
  <c r="AC204" i="1"/>
  <c r="AE204" i="1"/>
  <c r="AH204" i="1"/>
  <c r="AQ204" i="1"/>
  <c r="AR204" i="1"/>
  <c r="AS204" i="1"/>
  <c r="AT204" i="1"/>
  <c r="AU204" i="1"/>
  <c r="AV204" i="1"/>
  <c r="AW204" i="1"/>
  <c r="AX204" i="1"/>
  <c r="AY204" i="1"/>
  <c r="AZ204" i="1"/>
  <c r="BA204" i="1"/>
  <c r="BB204" i="1"/>
  <c r="BC204" i="1"/>
  <c r="BD204" i="1"/>
  <c r="BE204" i="1"/>
  <c r="BF204" i="1"/>
  <c r="BG204" i="1"/>
  <c r="BH204" i="1"/>
  <c r="BI204" i="1"/>
  <c r="BJ204" i="1"/>
  <c r="BK204" i="1"/>
  <c r="BL204" i="1"/>
  <c r="BM204" i="1"/>
  <c r="BN204" i="1"/>
  <c r="BO204" i="1"/>
  <c r="BP204" i="1"/>
  <c r="BQ204" i="1"/>
  <c r="BR204" i="1"/>
  <c r="BS204" i="1"/>
  <c r="BT204" i="1"/>
  <c r="BU204" i="1"/>
  <c r="BV204" i="1"/>
  <c r="BW204" i="1"/>
  <c r="BX204" i="1"/>
  <c r="BY204" i="1"/>
  <c r="BZ204" i="1"/>
  <c r="CA204" i="1"/>
  <c r="CB204" i="1"/>
  <c r="CC204" i="1"/>
  <c r="CD204" i="1"/>
  <c r="A205" i="1"/>
  <c r="B205" i="1"/>
  <c r="C205" i="1"/>
  <c r="D205" i="1"/>
  <c r="E205" i="1"/>
  <c r="G205" i="1"/>
  <c r="J205" i="1"/>
  <c r="M205" i="1"/>
  <c r="P205" i="1"/>
  <c r="Q205" i="1"/>
  <c r="R205" i="1"/>
  <c r="H205" i="1" s="1"/>
  <c r="T205" i="1"/>
  <c r="U205" i="1"/>
  <c r="V205" i="1"/>
  <c r="W205" i="1"/>
  <c r="Z205" i="1"/>
  <c r="AA205" i="1"/>
  <c r="AC205" i="1"/>
  <c r="AE205" i="1"/>
  <c r="AH205" i="1"/>
  <c r="AQ205" i="1"/>
  <c r="AR205" i="1"/>
  <c r="AS205" i="1"/>
  <c r="AT205" i="1"/>
  <c r="AU205" i="1"/>
  <c r="AV205" i="1"/>
  <c r="AW205" i="1"/>
  <c r="AX205" i="1"/>
  <c r="AY205" i="1"/>
  <c r="AZ205" i="1"/>
  <c r="BA205" i="1"/>
  <c r="BB205" i="1"/>
  <c r="BC205" i="1"/>
  <c r="BD205" i="1"/>
  <c r="BE205" i="1"/>
  <c r="BF205" i="1"/>
  <c r="BG205" i="1"/>
  <c r="BH205" i="1"/>
  <c r="BI205" i="1"/>
  <c r="BJ205" i="1"/>
  <c r="BK205" i="1"/>
  <c r="BL205" i="1"/>
  <c r="BM205" i="1"/>
  <c r="BN205" i="1"/>
  <c r="BO205" i="1"/>
  <c r="BP205" i="1"/>
  <c r="BQ205" i="1"/>
  <c r="BR205" i="1"/>
  <c r="BS205" i="1"/>
  <c r="BT205" i="1"/>
  <c r="BU205" i="1"/>
  <c r="BV205" i="1"/>
  <c r="BW205" i="1"/>
  <c r="BX205" i="1"/>
  <c r="BY205" i="1"/>
  <c r="BZ205" i="1"/>
  <c r="CA205" i="1"/>
  <c r="CB205" i="1"/>
  <c r="CC205" i="1"/>
  <c r="CD205" i="1"/>
  <c r="A206" i="1"/>
  <c r="B206" i="1"/>
  <c r="C206" i="1"/>
  <c r="D206" i="1"/>
  <c r="E206" i="1"/>
  <c r="G206" i="1"/>
  <c r="J206" i="1"/>
  <c r="M206" i="1"/>
  <c r="P206" i="1"/>
  <c r="Q206" i="1"/>
  <c r="R206" i="1"/>
  <c r="H206" i="1" s="1"/>
  <c r="T206" i="1"/>
  <c r="U206" i="1"/>
  <c r="V206" i="1"/>
  <c r="W206" i="1"/>
  <c r="Z206" i="1"/>
  <c r="AA206" i="1"/>
  <c r="AC206" i="1"/>
  <c r="AE206" i="1"/>
  <c r="AH206" i="1"/>
  <c r="AQ206" i="1"/>
  <c r="AR206" i="1"/>
  <c r="AS206" i="1"/>
  <c r="AT206" i="1"/>
  <c r="AU206" i="1"/>
  <c r="AV206" i="1"/>
  <c r="AW206" i="1"/>
  <c r="AX206" i="1"/>
  <c r="AY206" i="1"/>
  <c r="AZ206" i="1"/>
  <c r="BA206" i="1"/>
  <c r="BB206" i="1"/>
  <c r="BC206" i="1"/>
  <c r="BD206" i="1"/>
  <c r="BE206" i="1"/>
  <c r="BF206" i="1"/>
  <c r="BG206" i="1"/>
  <c r="BH206" i="1"/>
  <c r="BI206" i="1"/>
  <c r="BJ206" i="1"/>
  <c r="BK206" i="1"/>
  <c r="BL206" i="1"/>
  <c r="BM206" i="1"/>
  <c r="BN206" i="1"/>
  <c r="BO206" i="1"/>
  <c r="BP206" i="1"/>
  <c r="BQ206" i="1"/>
  <c r="BR206" i="1"/>
  <c r="BS206" i="1"/>
  <c r="BT206" i="1"/>
  <c r="BU206" i="1"/>
  <c r="BV206" i="1"/>
  <c r="BW206" i="1"/>
  <c r="BX206" i="1"/>
  <c r="BY206" i="1"/>
  <c r="BZ206" i="1"/>
  <c r="CA206" i="1"/>
  <c r="CB206" i="1"/>
  <c r="CC206" i="1"/>
  <c r="CD206" i="1"/>
  <c r="A207" i="1"/>
  <c r="B207" i="1"/>
  <c r="C207" i="1"/>
  <c r="D207" i="1"/>
  <c r="E207" i="1"/>
  <c r="G207" i="1"/>
  <c r="J207" i="1"/>
  <c r="M207" i="1"/>
  <c r="P207" i="1"/>
  <c r="Q207" i="1"/>
  <c r="R207" i="1"/>
  <c r="H207" i="1" s="1"/>
  <c r="T207" i="1"/>
  <c r="U207" i="1"/>
  <c r="V207" i="1"/>
  <c r="W207" i="1"/>
  <c r="Z207" i="1"/>
  <c r="AA207" i="1"/>
  <c r="AC207" i="1"/>
  <c r="AE207" i="1"/>
  <c r="AH207" i="1"/>
  <c r="AQ207" i="1"/>
  <c r="AR207" i="1"/>
  <c r="AS207" i="1"/>
  <c r="AT207" i="1"/>
  <c r="AU207" i="1"/>
  <c r="AV207" i="1"/>
  <c r="AW207" i="1"/>
  <c r="AX207" i="1"/>
  <c r="AY207" i="1"/>
  <c r="AZ207" i="1"/>
  <c r="BA207" i="1"/>
  <c r="BB207" i="1"/>
  <c r="BC207" i="1"/>
  <c r="BD207" i="1"/>
  <c r="BE207" i="1"/>
  <c r="BF207" i="1"/>
  <c r="BG207" i="1"/>
  <c r="BH207" i="1"/>
  <c r="BI207" i="1"/>
  <c r="BJ207" i="1"/>
  <c r="BK207" i="1"/>
  <c r="BL207" i="1"/>
  <c r="BM207" i="1"/>
  <c r="BN207" i="1"/>
  <c r="BO207" i="1"/>
  <c r="BP207" i="1"/>
  <c r="BQ207" i="1"/>
  <c r="BR207" i="1"/>
  <c r="BS207" i="1"/>
  <c r="BT207" i="1"/>
  <c r="BU207" i="1"/>
  <c r="BV207" i="1"/>
  <c r="BW207" i="1"/>
  <c r="BX207" i="1"/>
  <c r="BY207" i="1"/>
  <c r="BZ207" i="1"/>
  <c r="CA207" i="1"/>
  <c r="CB207" i="1"/>
  <c r="CC207" i="1"/>
  <c r="CD207" i="1"/>
  <c r="A208" i="1"/>
  <c r="B208" i="1"/>
  <c r="C208" i="1"/>
  <c r="D208" i="1"/>
  <c r="E208" i="1"/>
  <c r="G208" i="1"/>
  <c r="J208" i="1"/>
  <c r="M208" i="1"/>
  <c r="P208" i="1"/>
  <c r="Q208" i="1"/>
  <c r="R208" i="1"/>
  <c r="H208" i="1" s="1"/>
  <c r="T208" i="1"/>
  <c r="U208" i="1"/>
  <c r="V208" i="1"/>
  <c r="W208" i="1"/>
  <c r="Z208" i="1"/>
  <c r="AA208" i="1"/>
  <c r="AC208" i="1"/>
  <c r="AE208" i="1"/>
  <c r="AH208" i="1"/>
  <c r="AQ208" i="1"/>
  <c r="AR208" i="1"/>
  <c r="AS208" i="1"/>
  <c r="AT208" i="1"/>
  <c r="AU208" i="1"/>
  <c r="AV208" i="1"/>
  <c r="AW208" i="1"/>
  <c r="AX208" i="1"/>
  <c r="AY208" i="1"/>
  <c r="AZ208" i="1"/>
  <c r="BA208" i="1"/>
  <c r="BB208" i="1"/>
  <c r="BC208" i="1"/>
  <c r="BD208" i="1"/>
  <c r="BE208" i="1"/>
  <c r="BF208" i="1"/>
  <c r="BG208" i="1"/>
  <c r="BH208" i="1"/>
  <c r="BI208" i="1"/>
  <c r="BJ208" i="1"/>
  <c r="BK208" i="1"/>
  <c r="BL208" i="1"/>
  <c r="BM208" i="1"/>
  <c r="BN208" i="1"/>
  <c r="BO208" i="1"/>
  <c r="BP208" i="1"/>
  <c r="BQ208" i="1"/>
  <c r="BR208" i="1"/>
  <c r="BS208" i="1"/>
  <c r="BT208" i="1"/>
  <c r="BU208" i="1"/>
  <c r="BV208" i="1"/>
  <c r="BW208" i="1"/>
  <c r="BX208" i="1"/>
  <c r="BY208" i="1"/>
  <c r="BZ208" i="1"/>
  <c r="CA208" i="1"/>
  <c r="CB208" i="1"/>
  <c r="CC208" i="1"/>
  <c r="CD208" i="1"/>
  <c r="A209" i="1"/>
  <c r="B209" i="1"/>
  <c r="C209" i="1"/>
  <c r="D209" i="1"/>
  <c r="E209" i="1"/>
  <c r="G209" i="1"/>
  <c r="J209" i="1"/>
  <c r="M209" i="1"/>
  <c r="P209" i="1"/>
  <c r="Q209" i="1"/>
  <c r="R209" i="1"/>
  <c r="H209" i="1" s="1"/>
  <c r="T209" i="1"/>
  <c r="U209" i="1"/>
  <c r="V209" i="1"/>
  <c r="W209" i="1"/>
  <c r="Z209" i="1"/>
  <c r="AA209" i="1"/>
  <c r="AC209" i="1"/>
  <c r="AE209" i="1"/>
  <c r="AH209" i="1"/>
  <c r="AQ209" i="1"/>
  <c r="AR209" i="1"/>
  <c r="AS209" i="1"/>
  <c r="AT209" i="1"/>
  <c r="AU209" i="1"/>
  <c r="AV209" i="1"/>
  <c r="AW209" i="1"/>
  <c r="AX209" i="1"/>
  <c r="AY209" i="1"/>
  <c r="AZ209" i="1"/>
  <c r="BA209" i="1"/>
  <c r="BB209" i="1"/>
  <c r="BC209" i="1"/>
  <c r="BD209" i="1"/>
  <c r="BE209" i="1"/>
  <c r="BF209" i="1"/>
  <c r="BG209" i="1"/>
  <c r="BH209" i="1"/>
  <c r="BI209" i="1"/>
  <c r="BJ209" i="1"/>
  <c r="BK209" i="1"/>
  <c r="BL209" i="1"/>
  <c r="BM209" i="1"/>
  <c r="BN209" i="1"/>
  <c r="BO209" i="1"/>
  <c r="BP209" i="1"/>
  <c r="BQ209" i="1"/>
  <c r="BR209" i="1"/>
  <c r="BS209" i="1"/>
  <c r="BT209" i="1"/>
  <c r="BU209" i="1"/>
  <c r="BV209" i="1"/>
  <c r="BW209" i="1"/>
  <c r="BX209" i="1"/>
  <c r="BY209" i="1"/>
  <c r="BZ209" i="1"/>
  <c r="CA209" i="1"/>
  <c r="CB209" i="1"/>
  <c r="CC209" i="1"/>
  <c r="CD209" i="1"/>
  <c r="A210" i="1"/>
  <c r="B210" i="1"/>
  <c r="C210" i="1"/>
  <c r="D210" i="1"/>
  <c r="E210" i="1"/>
  <c r="G210" i="1"/>
  <c r="J210" i="1"/>
  <c r="M210" i="1"/>
  <c r="P210" i="1"/>
  <c r="Q210" i="1"/>
  <c r="R210" i="1"/>
  <c r="H210" i="1" s="1"/>
  <c r="T210" i="1"/>
  <c r="U210" i="1"/>
  <c r="V210" i="1"/>
  <c r="W210" i="1"/>
  <c r="Z210" i="1"/>
  <c r="AA210" i="1"/>
  <c r="AC210" i="1"/>
  <c r="AE210" i="1"/>
  <c r="AH210" i="1"/>
  <c r="AQ210" i="1"/>
  <c r="AR210" i="1"/>
  <c r="AS210" i="1"/>
  <c r="AT210" i="1"/>
  <c r="AU210" i="1"/>
  <c r="AV210" i="1"/>
  <c r="AW210" i="1"/>
  <c r="AX210" i="1"/>
  <c r="AY210" i="1"/>
  <c r="AZ210" i="1"/>
  <c r="BA210" i="1"/>
  <c r="BB210" i="1"/>
  <c r="BC210" i="1"/>
  <c r="BD210" i="1"/>
  <c r="BE210" i="1"/>
  <c r="BF210" i="1"/>
  <c r="BG210" i="1"/>
  <c r="BH210" i="1"/>
  <c r="BI210" i="1"/>
  <c r="BJ210" i="1"/>
  <c r="BK210" i="1"/>
  <c r="BL210" i="1"/>
  <c r="BM210" i="1"/>
  <c r="BN210" i="1"/>
  <c r="BO210" i="1"/>
  <c r="BP210" i="1"/>
  <c r="BQ210" i="1"/>
  <c r="BR210" i="1"/>
  <c r="BS210" i="1"/>
  <c r="BT210" i="1"/>
  <c r="BU210" i="1"/>
  <c r="BV210" i="1"/>
  <c r="BW210" i="1"/>
  <c r="BX210" i="1"/>
  <c r="BY210" i="1"/>
  <c r="BZ210" i="1"/>
  <c r="CA210" i="1"/>
  <c r="CB210" i="1"/>
  <c r="CC210" i="1"/>
  <c r="CD210" i="1"/>
  <c r="A211" i="1"/>
  <c r="B211" i="1"/>
  <c r="C211" i="1"/>
  <c r="D211" i="1"/>
  <c r="E211" i="1"/>
  <c r="G211" i="1"/>
  <c r="J211" i="1"/>
  <c r="M211" i="1"/>
  <c r="P211" i="1"/>
  <c r="Q211" i="1"/>
  <c r="R211" i="1"/>
  <c r="H211" i="1" s="1"/>
  <c r="T211" i="1"/>
  <c r="U211" i="1"/>
  <c r="V211" i="1"/>
  <c r="W211" i="1"/>
  <c r="Z211" i="1"/>
  <c r="AA211" i="1"/>
  <c r="AC211" i="1"/>
  <c r="AE211" i="1"/>
  <c r="AH211" i="1"/>
  <c r="AQ211" i="1"/>
  <c r="AR211" i="1"/>
  <c r="AS211" i="1"/>
  <c r="AT211" i="1"/>
  <c r="AU211" i="1"/>
  <c r="AV211" i="1"/>
  <c r="AW211" i="1"/>
  <c r="AX211" i="1"/>
  <c r="AY211" i="1"/>
  <c r="AZ211" i="1"/>
  <c r="BA211" i="1"/>
  <c r="BB211" i="1"/>
  <c r="BC211" i="1"/>
  <c r="BD211" i="1"/>
  <c r="BE211" i="1"/>
  <c r="BF211" i="1"/>
  <c r="BG211" i="1"/>
  <c r="BH211" i="1"/>
  <c r="BI211" i="1"/>
  <c r="BJ211" i="1"/>
  <c r="BK211" i="1"/>
  <c r="BL211" i="1"/>
  <c r="BM211" i="1"/>
  <c r="BN211" i="1"/>
  <c r="BO211" i="1"/>
  <c r="BP211" i="1"/>
  <c r="BQ211" i="1"/>
  <c r="BR211" i="1"/>
  <c r="BS211" i="1"/>
  <c r="BT211" i="1"/>
  <c r="BU211" i="1"/>
  <c r="BV211" i="1"/>
  <c r="BW211" i="1"/>
  <c r="BX211" i="1"/>
  <c r="BY211" i="1"/>
  <c r="BZ211" i="1"/>
  <c r="CA211" i="1"/>
  <c r="CB211" i="1"/>
  <c r="CC211" i="1"/>
  <c r="CD211" i="1"/>
  <c r="A212" i="1"/>
  <c r="B212" i="1"/>
  <c r="C212" i="1"/>
  <c r="D212" i="1"/>
  <c r="E212" i="1"/>
  <c r="G212" i="1"/>
  <c r="J212" i="1"/>
  <c r="M212" i="1"/>
  <c r="P212" i="1"/>
  <c r="Q212" i="1"/>
  <c r="R212" i="1"/>
  <c r="H212" i="1" s="1"/>
  <c r="T212" i="1"/>
  <c r="U212" i="1"/>
  <c r="V212" i="1"/>
  <c r="W212" i="1"/>
  <c r="Z212" i="1"/>
  <c r="AA212" i="1"/>
  <c r="AC212" i="1"/>
  <c r="AE212" i="1"/>
  <c r="AH212" i="1"/>
  <c r="AQ212" i="1"/>
  <c r="AR212" i="1"/>
  <c r="AS212" i="1"/>
  <c r="AT212" i="1"/>
  <c r="AU212" i="1"/>
  <c r="AV212" i="1"/>
  <c r="AW212" i="1"/>
  <c r="AX212" i="1"/>
  <c r="AY212" i="1"/>
  <c r="AZ212" i="1"/>
  <c r="BA212" i="1"/>
  <c r="BB212" i="1"/>
  <c r="BC212" i="1"/>
  <c r="BD212" i="1"/>
  <c r="BE212" i="1"/>
  <c r="BF212" i="1"/>
  <c r="BG212" i="1"/>
  <c r="BH212" i="1"/>
  <c r="BI212" i="1"/>
  <c r="BJ212" i="1"/>
  <c r="BK212" i="1"/>
  <c r="BL212" i="1"/>
  <c r="BM212" i="1"/>
  <c r="BN212" i="1"/>
  <c r="BO212" i="1"/>
  <c r="BP212" i="1"/>
  <c r="BQ212" i="1"/>
  <c r="BR212" i="1"/>
  <c r="BS212" i="1"/>
  <c r="BT212" i="1"/>
  <c r="BU212" i="1"/>
  <c r="BV212" i="1"/>
  <c r="BW212" i="1"/>
  <c r="BX212" i="1"/>
  <c r="BY212" i="1"/>
  <c r="BZ212" i="1"/>
  <c r="CA212" i="1"/>
  <c r="CB212" i="1"/>
  <c r="CC212" i="1"/>
  <c r="CD212" i="1"/>
  <c r="A213" i="1"/>
  <c r="B213" i="1"/>
  <c r="C213" i="1"/>
  <c r="D213" i="1"/>
  <c r="E213" i="1"/>
  <c r="G213" i="1"/>
  <c r="J213" i="1"/>
  <c r="M213" i="1"/>
  <c r="P213" i="1"/>
  <c r="Q213" i="1"/>
  <c r="R213" i="1"/>
  <c r="H213" i="1" s="1"/>
  <c r="T213" i="1"/>
  <c r="U213" i="1"/>
  <c r="V213" i="1"/>
  <c r="W213" i="1"/>
  <c r="Z213" i="1"/>
  <c r="AA213" i="1"/>
  <c r="AC213" i="1"/>
  <c r="AE213" i="1"/>
  <c r="AH213" i="1"/>
  <c r="AQ213" i="1"/>
  <c r="AR213" i="1"/>
  <c r="AS213" i="1"/>
  <c r="AT213" i="1"/>
  <c r="AU213" i="1"/>
  <c r="AV213" i="1"/>
  <c r="AW213" i="1"/>
  <c r="AX213" i="1"/>
  <c r="AY213" i="1"/>
  <c r="AZ213" i="1"/>
  <c r="BA213" i="1"/>
  <c r="BB213" i="1"/>
  <c r="BC213" i="1"/>
  <c r="BD213" i="1"/>
  <c r="BE213" i="1"/>
  <c r="BF213" i="1"/>
  <c r="BG213" i="1"/>
  <c r="BH213" i="1"/>
  <c r="BI213" i="1"/>
  <c r="BJ213" i="1"/>
  <c r="BK213" i="1"/>
  <c r="BL213" i="1"/>
  <c r="BM213" i="1"/>
  <c r="BN213" i="1"/>
  <c r="BO213" i="1"/>
  <c r="BP213" i="1"/>
  <c r="BQ213" i="1"/>
  <c r="BR213" i="1"/>
  <c r="BS213" i="1"/>
  <c r="BT213" i="1"/>
  <c r="BU213" i="1"/>
  <c r="BV213" i="1"/>
  <c r="BW213" i="1"/>
  <c r="BX213" i="1"/>
  <c r="BY213" i="1"/>
  <c r="BZ213" i="1"/>
  <c r="CA213" i="1"/>
  <c r="CB213" i="1"/>
  <c r="CC213" i="1"/>
  <c r="CD213" i="1"/>
  <c r="A214" i="1"/>
  <c r="B214" i="1"/>
  <c r="C214" i="1"/>
  <c r="D214" i="1"/>
  <c r="E214" i="1"/>
  <c r="G214" i="1"/>
  <c r="J214" i="1"/>
  <c r="M214" i="1"/>
  <c r="P214" i="1"/>
  <c r="Q214" i="1"/>
  <c r="R214" i="1"/>
  <c r="H214" i="1" s="1"/>
  <c r="T214" i="1"/>
  <c r="U214" i="1"/>
  <c r="V214" i="1"/>
  <c r="W214" i="1"/>
  <c r="Z214" i="1"/>
  <c r="AA214" i="1"/>
  <c r="AC214" i="1"/>
  <c r="AE214" i="1"/>
  <c r="AH214" i="1"/>
  <c r="AQ214" i="1"/>
  <c r="AR214" i="1"/>
  <c r="AS214" i="1"/>
  <c r="AT214" i="1"/>
  <c r="AU214" i="1"/>
  <c r="AV214" i="1"/>
  <c r="AW214" i="1"/>
  <c r="AX214" i="1"/>
  <c r="AY214" i="1"/>
  <c r="AZ214" i="1"/>
  <c r="BA214" i="1"/>
  <c r="BB214" i="1"/>
  <c r="BC214" i="1"/>
  <c r="BD214" i="1"/>
  <c r="BE214" i="1"/>
  <c r="BF214" i="1"/>
  <c r="BG214" i="1"/>
  <c r="BH214" i="1"/>
  <c r="BI214" i="1"/>
  <c r="BJ214" i="1"/>
  <c r="BK214" i="1"/>
  <c r="BL214" i="1"/>
  <c r="BM214" i="1"/>
  <c r="BN214" i="1"/>
  <c r="BO214" i="1"/>
  <c r="BP214" i="1"/>
  <c r="BQ214" i="1"/>
  <c r="BR214" i="1"/>
  <c r="BS214" i="1"/>
  <c r="BT214" i="1"/>
  <c r="BU214" i="1"/>
  <c r="BV214" i="1"/>
  <c r="BW214" i="1"/>
  <c r="BX214" i="1"/>
  <c r="BY214" i="1"/>
  <c r="BZ214" i="1"/>
  <c r="CA214" i="1"/>
  <c r="CB214" i="1"/>
  <c r="CC214" i="1"/>
  <c r="CD214" i="1"/>
  <c r="A215" i="1"/>
  <c r="B215" i="1"/>
  <c r="C215" i="1"/>
  <c r="D215" i="1"/>
  <c r="E215" i="1"/>
  <c r="G215" i="1"/>
  <c r="J215" i="1"/>
  <c r="M215" i="1"/>
  <c r="P215" i="1"/>
  <c r="Q215" i="1"/>
  <c r="R215" i="1"/>
  <c r="H215" i="1" s="1"/>
  <c r="T215" i="1"/>
  <c r="U215" i="1"/>
  <c r="V215" i="1"/>
  <c r="W215" i="1"/>
  <c r="Z215" i="1"/>
  <c r="AA215" i="1"/>
  <c r="AC215" i="1"/>
  <c r="AE215" i="1"/>
  <c r="AH215" i="1"/>
  <c r="AQ215" i="1"/>
  <c r="AR215" i="1"/>
  <c r="AS215" i="1"/>
  <c r="AT215" i="1"/>
  <c r="AU215" i="1"/>
  <c r="AV215" i="1"/>
  <c r="AW215" i="1"/>
  <c r="AX215" i="1"/>
  <c r="AY215" i="1"/>
  <c r="AZ215" i="1"/>
  <c r="BA215" i="1"/>
  <c r="BB215" i="1"/>
  <c r="BC215" i="1"/>
  <c r="BD215" i="1"/>
  <c r="BE215" i="1"/>
  <c r="BF215" i="1"/>
  <c r="BG215" i="1"/>
  <c r="BH215" i="1"/>
  <c r="BI215" i="1"/>
  <c r="BJ215" i="1"/>
  <c r="BK215" i="1"/>
  <c r="BL215" i="1"/>
  <c r="BM215" i="1"/>
  <c r="BN215" i="1"/>
  <c r="BO215" i="1"/>
  <c r="BP215" i="1"/>
  <c r="BQ215" i="1"/>
  <c r="BR215" i="1"/>
  <c r="BS215" i="1"/>
  <c r="BT215" i="1"/>
  <c r="BU215" i="1"/>
  <c r="BV215" i="1"/>
  <c r="BW215" i="1"/>
  <c r="BX215" i="1"/>
  <c r="BY215" i="1"/>
  <c r="BZ215" i="1"/>
  <c r="CA215" i="1"/>
  <c r="CB215" i="1"/>
  <c r="CC215" i="1"/>
  <c r="CD215" i="1"/>
  <c r="A216" i="1"/>
  <c r="B216" i="1"/>
  <c r="C216" i="1"/>
  <c r="D216" i="1"/>
  <c r="E216" i="1"/>
  <c r="G216" i="1"/>
  <c r="J216" i="1"/>
  <c r="M216" i="1"/>
  <c r="P216" i="1"/>
  <c r="Q216" i="1"/>
  <c r="R216" i="1"/>
  <c r="H216" i="1" s="1"/>
  <c r="T216" i="1"/>
  <c r="U216" i="1"/>
  <c r="V216" i="1"/>
  <c r="W216" i="1"/>
  <c r="Z216" i="1"/>
  <c r="AA216" i="1"/>
  <c r="AC216" i="1"/>
  <c r="AE216" i="1"/>
  <c r="AH216" i="1"/>
  <c r="AQ216" i="1"/>
  <c r="AR216" i="1"/>
  <c r="AS216" i="1"/>
  <c r="AT216" i="1"/>
  <c r="AU216" i="1"/>
  <c r="AV216" i="1"/>
  <c r="AW216" i="1"/>
  <c r="AX216" i="1"/>
  <c r="AY216" i="1"/>
  <c r="AZ216" i="1"/>
  <c r="BA216" i="1"/>
  <c r="BB216" i="1"/>
  <c r="BC216" i="1"/>
  <c r="BD216" i="1"/>
  <c r="BE216" i="1"/>
  <c r="BF216" i="1"/>
  <c r="BG216" i="1"/>
  <c r="BH216" i="1"/>
  <c r="BI216" i="1"/>
  <c r="BJ216" i="1"/>
  <c r="BK216" i="1"/>
  <c r="BL216" i="1"/>
  <c r="BM216" i="1"/>
  <c r="BN216" i="1"/>
  <c r="BO216" i="1"/>
  <c r="BP216" i="1"/>
  <c r="BQ216" i="1"/>
  <c r="BR216" i="1"/>
  <c r="BS216" i="1"/>
  <c r="BT216" i="1"/>
  <c r="BU216" i="1"/>
  <c r="BV216" i="1"/>
  <c r="BW216" i="1"/>
  <c r="BX216" i="1"/>
  <c r="BY216" i="1"/>
  <c r="BZ216" i="1"/>
  <c r="CA216" i="1"/>
  <c r="CB216" i="1"/>
  <c r="CC216" i="1"/>
  <c r="CD216" i="1"/>
  <c r="A217" i="1"/>
  <c r="B217" i="1"/>
  <c r="C217" i="1"/>
  <c r="D217" i="1"/>
  <c r="E217" i="1"/>
  <c r="G217" i="1"/>
  <c r="J217" i="1"/>
  <c r="M217" i="1"/>
  <c r="P217" i="1"/>
  <c r="Q217" i="1"/>
  <c r="R217" i="1"/>
  <c r="H217" i="1" s="1"/>
  <c r="T217" i="1"/>
  <c r="U217" i="1"/>
  <c r="V217" i="1"/>
  <c r="W217" i="1"/>
  <c r="Z217" i="1"/>
  <c r="AA217" i="1"/>
  <c r="AC217" i="1"/>
  <c r="AE217" i="1"/>
  <c r="AH217" i="1"/>
  <c r="AQ217" i="1"/>
  <c r="AR217" i="1"/>
  <c r="AS217" i="1"/>
  <c r="AT217" i="1"/>
  <c r="AU217" i="1"/>
  <c r="AV217" i="1"/>
  <c r="AW217" i="1"/>
  <c r="AX217" i="1"/>
  <c r="AY217" i="1"/>
  <c r="AZ217" i="1"/>
  <c r="BA217" i="1"/>
  <c r="BB217" i="1"/>
  <c r="BC217" i="1"/>
  <c r="BD217" i="1"/>
  <c r="BE217" i="1"/>
  <c r="BF217" i="1"/>
  <c r="BG217" i="1"/>
  <c r="BH217" i="1"/>
  <c r="BI217" i="1"/>
  <c r="BJ217" i="1"/>
  <c r="BK217" i="1"/>
  <c r="BL217" i="1"/>
  <c r="BM217" i="1"/>
  <c r="BN217" i="1"/>
  <c r="BO217" i="1"/>
  <c r="BP217" i="1"/>
  <c r="BQ217" i="1"/>
  <c r="BR217" i="1"/>
  <c r="BS217" i="1"/>
  <c r="BT217" i="1"/>
  <c r="BU217" i="1"/>
  <c r="BV217" i="1"/>
  <c r="BW217" i="1"/>
  <c r="BX217" i="1"/>
  <c r="BY217" i="1"/>
  <c r="BZ217" i="1"/>
  <c r="CA217" i="1"/>
  <c r="CB217" i="1"/>
  <c r="CC217" i="1"/>
  <c r="CD217" i="1"/>
  <c r="A218" i="1"/>
  <c r="B218" i="1"/>
  <c r="C218" i="1"/>
  <c r="D218" i="1"/>
  <c r="E218" i="1"/>
  <c r="G218" i="1"/>
  <c r="J218" i="1"/>
  <c r="M218" i="1"/>
  <c r="P218" i="1"/>
  <c r="Q218" i="1"/>
  <c r="R218" i="1"/>
  <c r="H218" i="1" s="1"/>
  <c r="T218" i="1"/>
  <c r="U218" i="1"/>
  <c r="V218" i="1"/>
  <c r="W218" i="1"/>
  <c r="Z218" i="1"/>
  <c r="AA218" i="1"/>
  <c r="AC218" i="1"/>
  <c r="AE218" i="1"/>
  <c r="AH218" i="1"/>
  <c r="AQ218" i="1"/>
  <c r="AR218" i="1"/>
  <c r="AS218" i="1"/>
  <c r="AT218" i="1"/>
  <c r="AU218" i="1"/>
  <c r="AV218" i="1"/>
  <c r="AW218" i="1"/>
  <c r="AX218" i="1"/>
  <c r="AY218" i="1"/>
  <c r="AZ218" i="1"/>
  <c r="BA218" i="1"/>
  <c r="BB218" i="1"/>
  <c r="BC218" i="1"/>
  <c r="BD218" i="1"/>
  <c r="BE218" i="1"/>
  <c r="BF218" i="1"/>
  <c r="BG218" i="1"/>
  <c r="BH218" i="1"/>
  <c r="BI218" i="1"/>
  <c r="BJ218" i="1"/>
  <c r="BK218" i="1"/>
  <c r="BL218" i="1"/>
  <c r="BM218" i="1"/>
  <c r="BN218" i="1"/>
  <c r="BO218" i="1"/>
  <c r="BP218" i="1"/>
  <c r="BQ218" i="1"/>
  <c r="BR218" i="1"/>
  <c r="BS218" i="1"/>
  <c r="BT218" i="1"/>
  <c r="BU218" i="1"/>
  <c r="BV218" i="1"/>
  <c r="BW218" i="1"/>
  <c r="BX218" i="1"/>
  <c r="BY218" i="1"/>
  <c r="BZ218" i="1"/>
  <c r="CA218" i="1"/>
  <c r="CB218" i="1"/>
  <c r="CC218" i="1"/>
  <c r="CD218" i="1"/>
  <c r="A219" i="1"/>
  <c r="B219" i="1"/>
  <c r="C219" i="1"/>
  <c r="D219" i="1"/>
  <c r="E219" i="1"/>
  <c r="G219" i="1"/>
  <c r="J219" i="1"/>
  <c r="M219" i="1"/>
  <c r="P219" i="1"/>
  <c r="Q219" i="1"/>
  <c r="R219" i="1"/>
  <c r="H219" i="1" s="1"/>
  <c r="T219" i="1"/>
  <c r="U219" i="1"/>
  <c r="V219" i="1"/>
  <c r="W219" i="1"/>
  <c r="Z219" i="1"/>
  <c r="AA219" i="1"/>
  <c r="AC219" i="1"/>
  <c r="AE219" i="1"/>
  <c r="AH219" i="1"/>
  <c r="AQ219" i="1"/>
  <c r="AR219" i="1"/>
  <c r="AS219" i="1"/>
  <c r="AT219" i="1"/>
  <c r="AU219" i="1"/>
  <c r="AV219" i="1"/>
  <c r="AW219" i="1"/>
  <c r="AX219" i="1"/>
  <c r="AY219" i="1"/>
  <c r="AZ219" i="1"/>
  <c r="BA219" i="1"/>
  <c r="BB219" i="1"/>
  <c r="BC219" i="1"/>
  <c r="BD219" i="1"/>
  <c r="BE219" i="1"/>
  <c r="BF219" i="1"/>
  <c r="BG219" i="1"/>
  <c r="BH219" i="1"/>
  <c r="BI219" i="1"/>
  <c r="BJ219" i="1"/>
  <c r="BK219" i="1"/>
  <c r="BL219" i="1"/>
  <c r="BM219" i="1"/>
  <c r="BN219" i="1"/>
  <c r="BO219" i="1"/>
  <c r="BP219" i="1"/>
  <c r="BQ219" i="1"/>
  <c r="BR219" i="1"/>
  <c r="BS219" i="1"/>
  <c r="BT219" i="1"/>
  <c r="BU219" i="1"/>
  <c r="BV219" i="1"/>
  <c r="BW219" i="1"/>
  <c r="BX219" i="1"/>
  <c r="BY219" i="1"/>
  <c r="BZ219" i="1"/>
  <c r="CA219" i="1"/>
  <c r="CB219" i="1"/>
  <c r="CC219" i="1"/>
  <c r="CD219" i="1"/>
  <c r="A220" i="1"/>
  <c r="B220" i="1"/>
  <c r="C220" i="1"/>
  <c r="D220" i="1"/>
  <c r="E220" i="1"/>
  <c r="G220" i="1"/>
  <c r="J220" i="1"/>
  <c r="M220" i="1"/>
  <c r="P220" i="1"/>
  <c r="Q220" i="1"/>
  <c r="R220" i="1"/>
  <c r="T220" i="1"/>
  <c r="U220" i="1"/>
  <c r="V220" i="1"/>
  <c r="W220" i="1"/>
  <c r="Z220" i="1"/>
  <c r="AA220" i="1"/>
  <c r="AC220" i="1"/>
  <c r="AE220" i="1"/>
  <c r="AH220" i="1"/>
  <c r="AQ220" i="1"/>
  <c r="AR220" i="1"/>
  <c r="AS220" i="1"/>
  <c r="AT220" i="1"/>
  <c r="AU220" i="1"/>
  <c r="AV220" i="1"/>
  <c r="AW220" i="1"/>
  <c r="AX220" i="1"/>
  <c r="AY220" i="1"/>
  <c r="AZ220" i="1"/>
  <c r="BA220" i="1"/>
  <c r="BB220" i="1"/>
  <c r="BC220" i="1"/>
  <c r="BD220" i="1"/>
  <c r="BE220" i="1"/>
  <c r="BF220" i="1"/>
  <c r="BG220" i="1"/>
  <c r="BH220" i="1"/>
  <c r="BI220" i="1"/>
  <c r="BJ220" i="1"/>
  <c r="BK220" i="1"/>
  <c r="BL220" i="1"/>
  <c r="BM220" i="1"/>
  <c r="BN220" i="1"/>
  <c r="BO220" i="1"/>
  <c r="BP220" i="1"/>
  <c r="BQ220" i="1"/>
  <c r="BR220" i="1"/>
  <c r="BS220" i="1"/>
  <c r="BT220" i="1"/>
  <c r="BU220" i="1"/>
  <c r="BV220" i="1"/>
  <c r="BW220" i="1"/>
  <c r="BX220" i="1"/>
  <c r="BY220" i="1"/>
  <c r="BZ220" i="1"/>
  <c r="CA220" i="1"/>
  <c r="CB220" i="1"/>
  <c r="CC220" i="1"/>
  <c r="CD220" i="1"/>
  <c r="A221" i="1"/>
  <c r="B221" i="1"/>
  <c r="C221" i="1"/>
  <c r="D221" i="1"/>
  <c r="E221" i="1"/>
  <c r="G221" i="1"/>
  <c r="J221" i="1"/>
  <c r="M221" i="1"/>
  <c r="P221" i="1"/>
  <c r="Q221" i="1"/>
  <c r="R221" i="1"/>
  <c r="H221" i="1" s="1"/>
  <c r="T221" i="1"/>
  <c r="U221" i="1"/>
  <c r="V221" i="1"/>
  <c r="W221" i="1"/>
  <c r="Z221" i="1"/>
  <c r="AA221" i="1"/>
  <c r="AC221" i="1"/>
  <c r="AE221" i="1"/>
  <c r="AH221" i="1"/>
  <c r="AQ221" i="1"/>
  <c r="AR221" i="1"/>
  <c r="AS221" i="1"/>
  <c r="AT221" i="1"/>
  <c r="AU221" i="1"/>
  <c r="AV221" i="1"/>
  <c r="AW221" i="1"/>
  <c r="AX221" i="1"/>
  <c r="AY221" i="1"/>
  <c r="AZ221" i="1"/>
  <c r="BA221" i="1"/>
  <c r="BB221" i="1"/>
  <c r="BC221" i="1"/>
  <c r="BD221" i="1"/>
  <c r="BE221" i="1"/>
  <c r="BF221" i="1"/>
  <c r="BG221" i="1"/>
  <c r="BH221" i="1"/>
  <c r="BI221" i="1"/>
  <c r="BJ221" i="1"/>
  <c r="BK221" i="1"/>
  <c r="BL221" i="1"/>
  <c r="BM221" i="1"/>
  <c r="BN221" i="1"/>
  <c r="BO221" i="1"/>
  <c r="BP221" i="1"/>
  <c r="BQ221" i="1"/>
  <c r="BR221" i="1"/>
  <c r="BS221" i="1"/>
  <c r="BT221" i="1"/>
  <c r="BU221" i="1"/>
  <c r="BV221" i="1"/>
  <c r="BW221" i="1"/>
  <c r="BX221" i="1"/>
  <c r="BY221" i="1"/>
  <c r="BZ221" i="1"/>
  <c r="CA221" i="1"/>
  <c r="CB221" i="1"/>
  <c r="CC221" i="1"/>
  <c r="CD221" i="1"/>
  <c r="A222" i="1"/>
  <c r="B222" i="1"/>
  <c r="C222" i="1"/>
  <c r="D222" i="1"/>
  <c r="E222" i="1"/>
  <c r="G222" i="1"/>
  <c r="J222" i="1"/>
  <c r="M222" i="1"/>
  <c r="P222" i="1"/>
  <c r="Q222" i="1"/>
  <c r="R222" i="1"/>
  <c r="H222" i="1" s="1"/>
  <c r="T222" i="1"/>
  <c r="U222" i="1"/>
  <c r="V222" i="1"/>
  <c r="W222" i="1"/>
  <c r="Z222" i="1"/>
  <c r="AA222" i="1"/>
  <c r="AC222" i="1"/>
  <c r="AE222" i="1"/>
  <c r="AH222" i="1"/>
  <c r="AQ222" i="1"/>
  <c r="AR222" i="1"/>
  <c r="AS222" i="1"/>
  <c r="AT222" i="1"/>
  <c r="AU222" i="1"/>
  <c r="AV222" i="1"/>
  <c r="AW222" i="1"/>
  <c r="AX222" i="1"/>
  <c r="AY222" i="1"/>
  <c r="AZ222" i="1"/>
  <c r="BA222" i="1"/>
  <c r="BB222" i="1"/>
  <c r="BC222" i="1"/>
  <c r="BD222" i="1"/>
  <c r="BE222" i="1"/>
  <c r="BF222" i="1"/>
  <c r="BG222" i="1"/>
  <c r="BH222" i="1"/>
  <c r="BI222" i="1"/>
  <c r="BJ222" i="1"/>
  <c r="BK222" i="1"/>
  <c r="BL222" i="1"/>
  <c r="BM222" i="1"/>
  <c r="BN222" i="1"/>
  <c r="BO222" i="1"/>
  <c r="BP222" i="1"/>
  <c r="BQ222" i="1"/>
  <c r="BR222" i="1"/>
  <c r="BS222" i="1"/>
  <c r="BT222" i="1"/>
  <c r="BU222" i="1"/>
  <c r="BV222" i="1"/>
  <c r="BW222" i="1"/>
  <c r="BX222" i="1"/>
  <c r="BY222" i="1"/>
  <c r="BZ222" i="1"/>
  <c r="CA222" i="1"/>
  <c r="CB222" i="1"/>
  <c r="CC222" i="1"/>
  <c r="CD222" i="1"/>
  <c r="A223" i="1"/>
  <c r="B223" i="1"/>
  <c r="C223" i="1"/>
  <c r="D223" i="1"/>
  <c r="E223" i="1"/>
  <c r="G223" i="1"/>
  <c r="I223" i="1"/>
  <c r="J223" i="1"/>
  <c r="M223" i="1"/>
  <c r="P223" i="1"/>
  <c r="F223" i="1" s="1"/>
  <c r="Q223" i="1"/>
  <c r="R223" i="1"/>
  <c r="H223" i="1" s="1"/>
  <c r="T223" i="1"/>
  <c r="U223" i="1"/>
  <c r="V223" i="1"/>
  <c r="W223" i="1"/>
  <c r="Z223" i="1"/>
  <c r="AA223" i="1"/>
  <c r="AC223" i="1"/>
  <c r="AE223" i="1"/>
  <c r="AH223" i="1"/>
  <c r="AQ223" i="1"/>
  <c r="AR223" i="1"/>
  <c r="AS223" i="1"/>
  <c r="AT223" i="1"/>
  <c r="AU223" i="1"/>
  <c r="AV223" i="1"/>
  <c r="AW223" i="1"/>
  <c r="AX223" i="1"/>
  <c r="AY223" i="1"/>
  <c r="AZ223" i="1"/>
  <c r="BA223" i="1"/>
  <c r="BB223" i="1"/>
  <c r="BC223" i="1"/>
  <c r="BD223" i="1"/>
  <c r="BE223" i="1"/>
  <c r="BF223" i="1"/>
  <c r="BG223" i="1"/>
  <c r="BH223" i="1"/>
  <c r="BI223" i="1"/>
  <c r="BJ223" i="1"/>
  <c r="BK223" i="1"/>
  <c r="BL223" i="1"/>
  <c r="BM223" i="1"/>
  <c r="BN223" i="1"/>
  <c r="BO223" i="1"/>
  <c r="BP223" i="1"/>
  <c r="BQ223" i="1"/>
  <c r="BR223" i="1"/>
  <c r="BS223" i="1"/>
  <c r="BT223" i="1"/>
  <c r="BU223" i="1"/>
  <c r="BV223" i="1"/>
  <c r="BW223" i="1"/>
  <c r="BX223" i="1"/>
  <c r="BY223" i="1"/>
  <c r="BZ223" i="1"/>
  <c r="CA223" i="1"/>
  <c r="CB223" i="1"/>
  <c r="CC223" i="1"/>
  <c r="CD223" i="1"/>
  <c r="A224" i="1"/>
  <c r="B224" i="1"/>
  <c r="C224" i="1"/>
  <c r="D224" i="1"/>
  <c r="E224" i="1"/>
  <c r="G224" i="1"/>
  <c r="I224" i="1"/>
  <c r="J224" i="1"/>
  <c r="M224" i="1"/>
  <c r="P224" i="1"/>
  <c r="F224" i="1" s="1"/>
  <c r="Q224" i="1"/>
  <c r="R224" i="1"/>
  <c r="H224" i="1" s="1"/>
  <c r="T224" i="1"/>
  <c r="U224" i="1"/>
  <c r="V224" i="1"/>
  <c r="W224" i="1"/>
  <c r="Z224" i="1"/>
  <c r="AA224" i="1"/>
  <c r="AC224" i="1"/>
  <c r="AE224" i="1"/>
  <c r="AH224" i="1"/>
  <c r="AQ224" i="1"/>
  <c r="AR224" i="1"/>
  <c r="AS224" i="1"/>
  <c r="AT224" i="1"/>
  <c r="AU224" i="1"/>
  <c r="AV224" i="1"/>
  <c r="AW224" i="1"/>
  <c r="AX224" i="1"/>
  <c r="AY224" i="1"/>
  <c r="AZ224" i="1"/>
  <c r="BA224" i="1"/>
  <c r="BB224" i="1"/>
  <c r="BC224" i="1"/>
  <c r="BD224" i="1"/>
  <c r="BE224" i="1"/>
  <c r="BF224" i="1"/>
  <c r="BG224" i="1"/>
  <c r="BH224" i="1"/>
  <c r="BI224" i="1"/>
  <c r="BJ224" i="1"/>
  <c r="BK224" i="1"/>
  <c r="BL224" i="1"/>
  <c r="BM224" i="1"/>
  <c r="BN224" i="1"/>
  <c r="BO224" i="1"/>
  <c r="BP224" i="1"/>
  <c r="BQ224" i="1"/>
  <c r="BR224" i="1"/>
  <c r="BS224" i="1"/>
  <c r="BT224" i="1"/>
  <c r="BU224" i="1"/>
  <c r="BV224" i="1"/>
  <c r="BW224" i="1"/>
  <c r="BX224" i="1"/>
  <c r="BY224" i="1"/>
  <c r="BZ224" i="1"/>
  <c r="CA224" i="1"/>
  <c r="CB224" i="1"/>
  <c r="CC224" i="1"/>
  <c r="CD224" i="1"/>
  <c r="A225" i="1"/>
  <c r="B225" i="1"/>
  <c r="C225" i="1"/>
  <c r="D225" i="1"/>
  <c r="E225" i="1"/>
  <c r="G225" i="1"/>
  <c r="I225" i="1"/>
  <c r="J225" i="1"/>
  <c r="M225" i="1"/>
  <c r="P225" i="1"/>
  <c r="F225" i="1" s="1"/>
  <c r="Q225" i="1"/>
  <c r="R225" i="1"/>
  <c r="H225" i="1" s="1"/>
  <c r="T225" i="1"/>
  <c r="U225" i="1"/>
  <c r="V225" i="1"/>
  <c r="W225" i="1"/>
  <c r="Z225" i="1"/>
  <c r="AA225" i="1"/>
  <c r="AC225" i="1"/>
  <c r="AE225" i="1"/>
  <c r="AH225" i="1"/>
  <c r="AQ225" i="1"/>
  <c r="AR225" i="1"/>
  <c r="AS225" i="1"/>
  <c r="AT225" i="1"/>
  <c r="AU225" i="1"/>
  <c r="AV225" i="1"/>
  <c r="AW225" i="1"/>
  <c r="AX225" i="1"/>
  <c r="AY225" i="1"/>
  <c r="AZ225" i="1"/>
  <c r="BA225" i="1"/>
  <c r="BB225" i="1"/>
  <c r="BC225" i="1"/>
  <c r="BD225" i="1"/>
  <c r="BE225" i="1"/>
  <c r="BF225" i="1"/>
  <c r="BG225" i="1"/>
  <c r="BH225" i="1"/>
  <c r="BI225" i="1"/>
  <c r="BJ225" i="1"/>
  <c r="BK225" i="1"/>
  <c r="BL225" i="1"/>
  <c r="BM225" i="1"/>
  <c r="BN225" i="1"/>
  <c r="BO225" i="1"/>
  <c r="BP225" i="1"/>
  <c r="BQ225" i="1"/>
  <c r="BR225" i="1"/>
  <c r="BS225" i="1"/>
  <c r="BT225" i="1"/>
  <c r="BU225" i="1"/>
  <c r="BV225" i="1"/>
  <c r="BW225" i="1"/>
  <c r="BX225" i="1"/>
  <c r="BY225" i="1"/>
  <c r="BZ225" i="1"/>
  <c r="CA225" i="1"/>
  <c r="CB225" i="1"/>
  <c r="CC225" i="1"/>
  <c r="CD225" i="1"/>
  <c r="A226" i="1"/>
  <c r="B226" i="1"/>
  <c r="C226" i="1"/>
  <c r="D226" i="1"/>
  <c r="E226" i="1"/>
  <c r="G226" i="1"/>
  <c r="J226" i="1"/>
  <c r="M226" i="1"/>
  <c r="P226" i="1"/>
  <c r="Q226" i="1"/>
  <c r="R226" i="1"/>
  <c r="H226" i="1" s="1"/>
  <c r="T226" i="1"/>
  <c r="U226" i="1"/>
  <c r="V226" i="1"/>
  <c r="W226" i="1"/>
  <c r="Z226" i="1"/>
  <c r="AA226" i="1"/>
  <c r="AC226" i="1"/>
  <c r="AE226" i="1"/>
  <c r="AH226" i="1"/>
  <c r="AQ226" i="1"/>
  <c r="AR226" i="1"/>
  <c r="AS226" i="1"/>
  <c r="AT226" i="1"/>
  <c r="AU226" i="1"/>
  <c r="AV226" i="1"/>
  <c r="AW226" i="1"/>
  <c r="AX226" i="1"/>
  <c r="AY226" i="1"/>
  <c r="AZ226" i="1"/>
  <c r="BA226" i="1"/>
  <c r="BB226" i="1"/>
  <c r="BC226" i="1"/>
  <c r="BD226" i="1"/>
  <c r="BE226" i="1"/>
  <c r="BF226" i="1"/>
  <c r="BG226" i="1"/>
  <c r="BH226" i="1"/>
  <c r="BI226" i="1"/>
  <c r="BJ226" i="1"/>
  <c r="BK226" i="1"/>
  <c r="BL226" i="1"/>
  <c r="BM226" i="1"/>
  <c r="BN226" i="1"/>
  <c r="BO226" i="1"/>
  <c r="BP226" i="1"/>
  <c r="BQ226" i="1"/>
  <c r="BR226" i="1"/>
  <c r="BS226" i="1"/>
  <c r="BT226" i="1"/>
  <c r="BU226" i="1"/>
  <c r="BV226" i="1"/>
  <c r="BW226" i="1"/>
  <c r="BX226" i="1"/>
  <c r="BY226" i="1"/>
  <c r="BZ226" i="1"/>
  <c r="CA226" i="1"/>
  <c r="CB226" i="1"/>
  <c r="CC226" i="1"/>
  <c r="CD226" i="1"/>
  <c r="A227" i="1"/>
  <c r="B227" i="1"/>
  <c r="C227" i="1"/>
  <c r="D227" i="1"/>
  <c r="E227" i="1"/>
  <c r="G227" i="1"/>
  <c r="I227" i="1"/>
  <c r="J227" i="1"/>
  <c r="M227" i="1"/>
  <c r="P227" i="1"/>
  <c r="F227" i="1" s="1"/>
  <c r="Q227" i="1"/>
  <c r="R227" i="1"/>
  <c r="H227" i="1" s="1"/>
  <c r="T227" i="1"/>
  <c r="U227" i="1"/>
  <c r="V227" i="1"/>
  <c r="W227" i="1"/>
  <c r="Z227" i="1"/>
  <c r="AA227" i="1"/>
  <c r="AC227" i="1"/>
  <c r="AE227" i="1"/>
  <c r="AH227" i="1"/>
  <c r="AQ227" i="1"/>
  <c r="AR227" i="1"/>
  <c r="AS227" i="1"/>
  <c r="AT227" i="1"/>
  <c r="AU227" i="1"/>
  <c r="AV227" i="1"/>
  <c r="AW227" i="1"/>
  <c r="AX227" i="1"/>
  <c r="AY227" i="1"/>
  <c r="AZ227" i="1"/>
  <c r="BA227" i="1"/>
  <c r="BB227" i="1"/>
  <c r="BC227" i="1"/>
  <c r="BD227" i="1"/>
  <c r="BE227" i="1"/>
  <c r="BF227" i="1"/>
  <c r="BG227" i="1"/>
  <c r="BH227" i="1"/>
  <c r="BI227" i="1"/>
  <c r="BJ227" i="1"/>
  <c r="BK227" i="1"/>
  <c r="BL227" i="1"/>
  <c r="BM227" i="1"/>
  <c r="BN227" i="1"/>
  <c r="BO227" i="1"/>
  <c r="BP227" i="1"/>
  <c r="BQ227" i="1"/>
  <c r="BR227" i="1"/>
  <c r="BS227" i="1"/>
  <c r="BT227" i="1"/>
  <c r="BU227" i="1"/>
  <c r="BV227" i="1"/>
  <c r="BW227" i="1"/>
  <c r="BX227" i="1"/>
  <c r="BY227" i="1"/>
  <c r="BZ227" i="1"/>
  <c r="CA227" i="1"/>
  <c r="CB227" i="1"/>
  <c r="CC227" i="1"/>
  <c r="CD227" i="1"/>
  <c r="A228" i="1"/>
  <c r="B228" i="1"/>
  <c r="C228" i="1"/>
  <c r="D228" i="1"/>
  <c r="E228" i="1"/>
  <c r="G228" i="1"/>
  <c r="I228" i="1"/>
  <c r="J228" i="1"/>
  <c r="M228" i="1"/>
  <c r="P228" i="1"/>
  <c r="F228" i="1" s="1"/>
  <c r="Q228" i="1"/>
  <c r="R228" i="1"/>
  <c r="H228" i="1" s="1"/>
  <c r="T228" i="1"/>
  <c r="U228" i="1"/>
  <c r="V228" i="1"/>
  <c r="W228" i="1"/>
  <c r="Z228" i="1"/>
  <c r="AA228" i="1"/>
  <c r="AC228" i="1"/>
  <c r="AE228" i="1"/>
  <c r="AH228" i="1"/>
  <c r="AQ228" i="1"/>
  <c r="AR228" i="1"/>
  <c r="AS228" i="1"/>
  <c r="AT228" i="1"/>
  <c r="AU228" i="1"/>
  <c r="AV228" i="1"/>
  <c r="AW228" i="1"/>
  <c r="AX228" i="1"/>
  <c r="AY228" i="1"/>
  <c r="AZ228" i="1"/>
  <c r="BA228" i="1"/>
  <c r="BB228" i="1"/>
  <c r="BC228" i="1"/>
  <c r="BD228" i="1"/>
  <c r="BE228" i="1"/>
  <c r="BF228" i="1"/>
  <c r="BG228" i="1"/>
  <c r="BH228" i="1"/>
  <c r="BI228" i="1"/>
  <c r="BJ228" i="1"/>
  <c r="BK228" i="1"/>
  <c r="BL228" i="1"/>
  <c r="BM228" i="1"/>
  <c r="BN228" i="1"/>
  <c r="BO228" i="1"/>
  <c r="BP228" i="1"/>
  <c r="BQ228" i="1"/>
  <c r="BR228" i="1"/>
  <c r="BS228" i="1"/>
  <c r="BT228" i="1"/>
  <c r="BU228" i="1"/>
  <c r="BV228" i="1"/>
  <c r="BW228" i="1"/>
  <c r="BX228" i="1"/>
  <c r="BY228" i="1"/>
  <c r="BZ228" i="1"/>
  <c r="CA228" i="1"/>
  <c r="CB228" i="1"/>
  <c r="CC228" i="1"/>
  <c r="CD228" i="1"/>
  <c r="A229" i="1"/>
  <c r="B229" i="1"/>
  <c r="C229" i="1"/>
  <c r="D229" i="1"/>
  <c r="E229" i="1"/>
  <c r="G229" i="1"/>
  <c r="I229" i="1"/>
  <c r="J229" i="1"/>
  <c r="M229" i="1"/>
  <c r="P229" i="1"/>
  <c r="F229" i="1" s="1"/>
  <c r="Q229" i="1"/>
  <c r="R229" i="1"/>
  <c r="T229" i="1"/>
  <c r="U229" i="1"/>
  <c r="V229" i="1"/>
  <c r="W229" i="1"/>
  <c r="Z229" i="1"/>
  <c r="AA229" i="1"/>
  <c r="AC229" i="1"/>
  <c r="AE229" i="1"/>
  <c r="AH229" i="1"/>
  <c r="AQ229" i="1"/>
  <c r="AR229" i="1"/>
  <c r="AS229" i="1"/>
  <c r="AT229" i="1"/>
  <c r="AU229" i="1"/>
  <c r="AV229" i="1"/>
  <c r="AW229" i="1"/>
  <c r="AX229" i="1"/>
  <c r="AY229" i="1"/>
  <c r="AZ229" i="1"/>
  <c r="BA229" i="1"/>
  <c r="BB229" i="1"/>
  <c r="BC229" i="1"/>
  <c r="BD229" i="1"/>
  <c r="BE229" i="1"/>
  <c r="BF229" i="1"/>
  <c r="BG229" i="1"/>
  <c r="BH229" i="1"/>
  <c r="BI229" i="1"/>
  <c r="BJ229" i="1"/>
  <c r="BK229" i="1"/>
  <c r="BL229" i="1"/>
  <c r="BM229" i="1"/>
  <c r="BN229" i="1"/>
  <c r="BO229" i="1"/>
  <c r="BP229" i="1"/>
  <c r="BQ229" i="1"/>
  <c r="BR229" i="1"/>
  <c r="BS229" i="1"/>
  <c r="BT229" i="1"/>
  <c r="BU229" i="1"/>
  <c r="BV229" i="1"/>
  <c r="BW229" i="1"/>
  <c r="BX229" i="1"/>
  <c r="BY229" i="1"/>
  <c r="BZ229" i="1"/>
  <c r="CA229" i="1"/>
  <c r="CB229" i="1"/>
  <c r="CC229" i="1"/>
  <c r="CD229" i="1"/>
  <c r="A230" i="1"/>
  <c r="B230" i="1"/>
  <c r="C230" i="1"/>
  <c r="D230" i="1"/>
  <c r="E230" i="1"/>
  <c r="G230" i="1"/>
  <c r="I230" i="1"/>
  <c r="J230" i="1"/>
  <c r="M230" i="1"/>
  <c r="P230" i="1"/>
  <c r="F230" i="1" s="1"/>
  <c r="Q230" i="1"/>
  <c r="R230" i="1"/>
  <c r="H230" i="1" s="1"/>
  <c r="T230" i="1"/>
  <c r="U230" i="1"/>
  <c r="V230" i="1"/>
  <c r="W230" i="1"/>
  <c r="Z230" i="1"/>
  <c r="AA230" i="1"/>
  <c r="AC230" i="1"/>
  <c r="AE230" i="1"/>
  <c r="AH230" i="1"/>
  <c r="AQ230" i="1"/>
  <c r="AR230" i="1"/>
  <c r="AS230" i="1"/>
  <c r="AT230" i="1"/>
  <c r="AU230" i="1"/>
  <c r="AV230" i="1"/>
  <c r="AW230" i="1"/>
  <c r="AX230" i="1"/>
  <c r="AY230" i="1"/>
  <c r="AZ230" i="1"/>
  <c r="BA230" i="1"/>
  <c r="BB230" i="1"/>
  <c r="BC230" i="1"/>
  <c r="BD230" i="1"/>
  <c r="BE230" i="1"/>
  <c r="BF230" i="1"/>
  <c r="BG230" i="1"/>
  <c r="BH230" i="1"/>
  <c r="BI230" i="1"/>
  <c r="BJ230" i="1"/>
  <c r="BK230" i="1"/>
  <c r="BL230" i="1"/>
  <c r="BM230" i="1"/>
  <c r="BN230" i="1"/>
  <c r="BO230" i="1"/>
  <c r="BP230" i="1"/>
  <c r="BQ230" i="1"/>
  <c r="BR230" i="1"/>
  <c r="BS230" i="1"/>
  <c r="BT230" i="1"/>
  <c r="BU230" i="1"/>
  <c r="BV230" i="1"/>
  <c r="BW230" i="1"/>
  <c r="BX230" i="1"/>
  <c r="BY230" i="1"/>
  <c r="BZ230" i="1"/>
  <c r="CA230" i="1"/>
  <c r="CB230" i="1"/>
  <c r="CC230" i="1"/>
  <c r="CD230" i="1"/>
  <c r="A231" i="1"/>
  <c r="B231" i="1"/>
  <c r="C231" i="1"/>
  <c r="D231" i="1"/>
  <c r="E231" i="1"/>
  <c r="G231" i="1"/>
  <c r="I231" i="1"/>
  <c r="J231" i="1"/>
  <c r="M231" i="1"/>
  <c r="P231" i="1"/>
  <c r="F231" i="1" s="1"/>
  <c r="Q231" i="1"/>
  <c r="R231" i="1"/>
  <c r="H231" i="1" s="1"/>
  <c r="T231" i="1"/>
  <c r="U231" i="1"/>
  <c r="V231" i="1"/>
  <c r="W231" i="1"/>
  <c r="Z231" i="1"/>
  <c r="AA231" i="1"/>
  <c r="AC231" i="1"/>
  <c r="AE231" i="1"/>
  <c r="AH231" i="1"/>
  <c r="AQ231" i="1"/>
  <c r="AR231" i="1"/>
  <c r="AS231" i="1"/>
  <c r="AT231" i="1"/>
  <c r="AU231" i="1"/>
  <c r="AV231" i="1"/>
  <c r="AW231" i="1"/>
  <c r="AX231" i="1"/>
  <c r="AY231" i="1"/>
  <c r="AZ231" i="1"/>
  <c r="BA231" i="1"/>
  <c r="BB231" i="1"/>
  <c r="BC231" i="1"/>
  <c r="BD231" i="1"/>
  <c r="BE231" i="1"/>
  <c r="BF231" i="1"/>
  <c r="BG231" i="1"/>
  <c r="BH231" i="1"/>
  <c r="BI231" i="1"/>
  <c r="BJ231" i="1"/>
  <c r="BK231" i="1"/>
  <c r="BL231" i="1"/>
  <c r="BM231" i="1"/>
  <c r="BN231" i="1"/>
  <c r="BO231" i="1"/>
  <c r="BP231" i="1"/>
  <c r="BQ231" i="1"/>
  <c r="BR231" i="1"/>
  <c r="BS231" i="1"/>
  <c r="BT231" i="1"/>
  <c r="BU231" i="1"/>
  <c r="BV231" i="1"/>
  <c r="BW231" i="1"/>
  <c r="BX231" i="1"/>
  <c r="BY231" i="1"/>
  <c r="BZ231" i="1"/>
  <c r="CA231" i="1"/>
  <c r="CB231" i="1"/>
  <c r="CC231" i="1"/>
  <c r="CD231" i="1"/>
  <c r="A232" i="1"/>
  <c r="B232" i="1"/>
  <c r="C232" i="1"/>
  <c r="D232" i="1"/>
  <c r="E232" i="1"/>
  <c r="G232" i="1"/>
  <c r="I232" i="1"/>
  <c r="J232" i="1"/>
  <c r="M232" i="1"/>
  <c r="P232" i="1"/>
  <c r="F232" i="1" s="1"/>
  <c r="Q232" i="1"/>
  <c r="R232" i="1"/>
  <c r="H232" i="1" s="1"/>
  <c r="T232" i="1"/>
  <c r="U232" i="1"/>
  <c r="V232" i="1"/>
  <c r="W232" i="1"/>
  <c r="Z232" i="1"/>
  <c r="AA232" i="1"/>
  <c r="AC232" i="1"/>
  <c r="AE232" i="1"/>
  <c r="AH232" i="1"/>
  <c r="AQ232" i="1"/>
  <c r="AR232" i="1"/>
  <c r="AS232" i="1"/>
  <c r="AT232" i="1"/>
  <c r="AU232" i="1"/>
  <c r="AV232" i="1"/>
  <c r="AW232" i="1"/>
  <c r="AX232" i="1"/>
  <c r="AY232" i="1"/>
  <c r="AZ232" i="1"/>
  <c r="BA232" i="1"/>
  <c r="BB232" i="1"/>
  <c r="BC232" i="1"/>
  <c r="BD232" i="1"/>
  <c r="BE232" i="1"/>
  <c r="BF232" i="1"/>
  <c r="BG232" i="1"/>
  <c r="BH232" i="1"/>
  <c r="BI232" i="1"/>
  <c r="BJ232" i="1"/>
  <c r="BK232" i="1"/>
  <c r="BL232" i="1"/>
  <c r="BM232" i="1"/>
  <c r="BN232" i="1"/>
  <c r="BO232" i="1"/>
  <c r="BP232" i="1"/>
  <c r="BQ232" i="1"/>
  <c r="BR232" i="1"/>
  <c r="BS232" i="1"/>
  <c r="BT232" i="1"/>
  <c r="BU232" i="1"/>
  <c r="BV232" i="1"/>
  <c r="BW232" i="1"/>
  <c r="BX232" i="1"/>
  <c r="BY232" i="1"/>
  <c r="BZ232" i="1"/>
  <c r="CA232" i="1"/>
  <c r="CB232" i="1"/>
  <c r="CC232" i="1"/>
  <c r="CD232" i="1"/>
  <c r="A233" i="1"/>
  <c r="B233" i="1"/>
  <c r="C233" i="1"/>
  <c r="D233" i="1"/>
  <c r="E233" i="1"/>
  <c r="G233" i="1"/>
  <c r="I233" i="1"/>
  <c r="J233" i="1"/>
  <c r="M233" i="1"/>
  <c r="P233" i="1"/>
  <c r="F233" i="1" s="1"/>
  <c r="Q233" i="1"/>
  <c r="R233" i="1"/>
  <c r="H233" i="1" s="1"/>
  <c r="T233" i="1"/>
  <c r="U233" i="1"/>
  <c r="V233" i="1"/>
  <c r="W233" i="1"/>
  <c r="Z233" i="1"/>
  <c r="AA233" i="1"/>
  <c r="AC233" i="1"/>
  <c r="AE233" i="1"/>
  <c r="AH233" i="1"/>
  <c r="AQ233" i="1"/>
  <c r="AR233" i="1"/>
  <c r="AS233" i="1"/>
  <c r="AT233" i="1"/>
  <c r="AU233" i="1"/>
  <c r="AV233" i="1"/>
  <c r="AW233" i="1"/>
  <c r="AX233" i="1"/>
  <c r="AY233" i="1"/>
  <c r="AZ233" i="1"/>
  <c r="BA233" i="1"/>
  <c r="BB233" i="1"/>
  <c r="BC233" i="1"/>
  <c r="BD233" i="1"/>
  <c r="BE233" i="1"/>
  <c r="BF233" i="1"/>
  <c r="BG233" i="1"/>
  <c r="BH233" i="1"/>
  <c r="BI233" i="1"/>
  <c r="BJ233" i="1"/>
  <c r="BK233" i="1"/>
  <c r="BL233" i="1"/>
  <c r="BM233" i="1"/>
  <c r="BN233" i="1"/>
  <c r="BO233" i="1"/>
  <c r="BP233" i="1"/>
  <c r="BQ233" i="1"/>
  <c r="BR233" i="1"/>
  <c r="BS233" i="1"/>
  <c r="BT233" i="1"/>
  <c r="BU233" i="1"/>
  <c r="BV233" i="1"/>
  <c r="BW233" i="1"/>
  <c r="BX233" i="1"/>
  <c r="BY233" i="1"/>
  <c r="BZ233" i="1"/>
  <c r="CA233" i="1"/>
  <c r="CB233" i="1"/>
  <c r="CC233" i="1"/>
  <c r="CD233" i="1"/>
  <c r="A234" i="1"/>
  <c r="B234" i="1"/>
  <c r="C234" i="1"/>
  <c r="D234" i="1"/>
  <c r="E234" i="1"/>
  <c r="G234" i="1"/>
  <c r="I234" i="1"/>
  <c r="J234" i="1"/>
  <c r="M234" i="1"/>
  <c r="P234" i="1"/>
  <c r="F234" i="1" s="1"/>
  <c r="Q234" i="1"/>
  <c r="R234" i="1"/>
  <c r="H234" i="1" s="1"/>
  <c r="T234" i="1"/>
  <c r="U234" i="1"/>
  <c r="V234" i="1"/>
  <c r="W234" i="1"/>
  <c r="Z234" i="1"/>
  <c r="AA234" i="1"/>
  <c r="AC234" i="1"/>
  <c r="AE234" i="1"/>
  <c r="AH234" i="1"/>
  <c r="AQ234" i="1"/>
  <c r="AR234" i="1"/>
  <c r="AS234" i="1"/>
  <c r="AT234" i="1"/>
  <c r="AU234" i="1"/>
  <c r="AV234" i="1"/>
  <c r="AW234" i="1"/>
  <c r="AX234" i="1"/>
  <c r="AY234" i="1"/>
  <c r="AZ234" i="1"/>
  <c r="BA234" i="1"/>
  <c r="BB234" i="1"/>
  <c r="BC234" i="1"/>
  <c r="BD234" i="1"/>
  <c r="BE234" i="1"/>
  <c r="BF234" i="1"/>
  <c r="BG234" i="1"/>
  <c r="BH234" i="1"/>
  <c r="BI234" i="1"/>
  <c r="BJ234" i="1"/>
  <c r="BK234" i="1"/>
  <c r="BL234" i="1"/>
  <c r="BM234" i="1"/>
  <c r="BN234" i="1"/>
  <c r="BO234" i="1"/>
  <c r="BP234" i="1"/>
  <c r="BQ234" i="1"/>
  <c r="BR234" i="1"/>
  <c r="BS234" i="1"/>
  <c r="BT234" i="1"/>
  <c r="BU234" i="1"/>
  <c r="BV234" i="1"/>
  <c r="BW234" i="1"/>
  <c r="BX234" i="1"/>
  <c r="BY234" i="1"/>
  <c r="BZ234" i="1"/>
  <c r="CA234" i="1"/>
  <c r="CB234" i="1"/>
  <c r="CC234" i="1"/>
  <c r="CD234" i="1"/>
  <c r="A235" i="1"/>
  <c r="B235" i="1"/>
  <c r="I235" i="1" s="1"/>
  <c r="C235" i="1"/>
  <c r="D235" i="1"/>
  <c r="E235" i="1"/>
  <c r="G235" i="1"/>
  <c r="J235" i="1"/>
  <c r="M235" i="1"/>
  <c r="P235" i="1"/>
  <c r="F235" i="1" s="1"/>
  <c r="Q235" i="1"/>
  <c r="R235" i="1"/>
  <c r="H235" i="1" s="1"/>
  <c r="T235" i="1"/>
  <c r="U235" i="1"/>
  <c r="V235" i="1"/>
  <c r="W235" i="1"/>
  <c r="Z235" i="1"/>
  <c r="AA235" i="1"/>
  <c r="AC235" i="1"/>
  <c r="AE235" i="1"/>
  <c r="AH235" i="1"/>
  <c r="AQ235" i="1"/>
  <c r="AR235" i="1"/>
  <c r="AS235" i="1"/>
  <c r="AT235" i="1"/>
  <c r="AU235" i="1"/>
  <c r="AV235" i="1"/>
  <c r="AW235" i="1"/>
  <c r="AX235" i="1"/>
  <c r="AY235" i="1"/>
  <c r="AZ235" i="1"/>
  <c r="BA235" i="1"/>
  <c r="BB235" i="1"/>
  <c r="BC235" i="1"/>
  <c r="BD235" i="1"/>
  <c r="BE235" i="1"/>
  <c r="BF235" i="1"/>
  <c r="BG235" i="1"/>
  <c r="BH235" i="1"/>
  <c r="BI235" i="1"/>
  <c r="BJ235" i="1"/>
  <c r="BK235" i="1"/>
  <c r="BL235" i="1"/>
  <c r="BM235" i="1"/>
  <c r="BN235" i="1"/>
  <c r="BO235" i="1"/>
  <c r="BP235" i="1"/>
  <c r="BQ235" i="1"/>
  <c r="BR235" i="1"/>
  <c r="BS235" i="1"/>
  <c r="BT235" i="1"/>
  <c r="BU235" i="1"/>
  <c r="BV235" i="1"/>
  <c r="BW235" i="1"/>
  <c r="BX235" i="1"/>
  <c r="BY235" i="1"/>
  <c r="BZ235" i="1"/>
  <c r="CA235" i="1"/>
  <c r="CB235" i="1"/>
  <c r="CC235" i="1"/>
  <c r="CD235" i="1"/>
  <c r="A236" i="1"/>
  <c r="B236" i="1"/>
  <c r="C236" i="1"/>
  <c r="D236" i="1"/>
  <c r="E236" i="1"/>
  <c r="G236" i="1"/>
  <c r="I236" i="1"/>
  <c r="J236" i="1"/>
  <c r="M236" i="1"/>
  <c r="P236" i="1"/>
  <c r="F236" i="1" s="1"/>
  <c r="Q236" i="1"/>
  <c r="R236" i="1"/>
  <c r="H236" i="1" s="1"/>
  <c r="T236" i="1"/>
  <c r="U236" i="1"/>
  <c r="V236" i="1"/>
  <c r="W236" i="1"/>
  <c r="Z236" i="1"/>
  <c r="AA236" i="1"/>
  <c r="AC236" i="1"/>
  <c r="AE236" i="1"/>
  <c r="AH236" i="1"/>
  <c r="AQ236" i="1"/>
  <c r="AR236" i="1"/>
  <c r="AS236" i="1"/>
  <c r="AT236" i="1"/>
  <c r="AU236" i="1"/>
  <c r="AV236" i="1"/>
  <c r="AW236" i="1"/>
  <c r="AX236" i="1"/>
  <c r="AY236" i="1"/>
  <c r="AZ236" i="1"/>
  <c r="BA236" i="1"/>
  <c r="BB236" i="1"/>
  <c r="BC236" i="1"/>
  <c r="BD236" i="1"/>
  <c r="BE236" i="1"/>
  <c r="BF236" i="1"/>
  <c r="BG236" i="1"/>
  <c r="BH236" i="1"/>
  <c r="BI236" i="1"/>
  <c r="BJ236" i="1"/>
  <c r="BK236" i="1"/>
  <c r="BL236" i="1"/>
  <c r="BM236" i="1"/>
  <c r="BN236" i="1"/>
  <c r="BO236" i="1"/>
  <c r="BP236" i="1"/>
  <c r="BQ236" i="1"/>
  <c r="BR236" i="1"/>
  <c r="BS236" i="1"/>
  <c r="BT236" i="1"/>
  <c r="BU236" i="1"/>
  <c r="BV236" i="1"/>
  <c r="BW236" i="1"/>
  <c r="BX236" i="1"/>
  <c r="BY236" i="1"/>
  <c r="BZ236" i="1"/>
  <c r="CA236" i="1"/>
  <c r="CB236" i="1"/>
  <c r="CC236" i="1"/>
  <c r="CD236" i="1"/>
  <c r="A237" i="1"/>
  <c r="B237" i="1"/>
  <c r="C237" i="1"/>
  <c r="D237" i="1"/>
  <c r="E237" i="1"/>
  <c r="G237" i="1"/>
  <c r="J237" i="1"/>
  <c r="M237" i="1"/>
  <c r="P237" i="1"/>
  <c r="Q237" i="1"/>
  <c r="R237" i="1"/>
  <c r="H237" i="1" s="1"/>
  <c r="T237" i="1"/>
  <c r="U237" i="1"/>
  <c r="V237" i="1"/>
  <c r="W237" i="1"/>
  <c r="Z237" i="1"/>
  <c r="AA237" i="1"/>
  <c r="AC237" i="1"/>
  <c r="AE237" i="1"/>
  <c r="AH237" i="1"/>
  <c r="AQ237" i="1"/>
  <c r="AR237" i="1"/>
  <c r="AS237" i="1"/>
  <c r="AT237" i="1"/>
  <c r="AU237" i="1"/>
  <c r="AV237" i="1"/>
  <c r="AW237" i="1"/>
  <c r="AX237" i="1"/>
  <c r="AY237" i="1"/>
  <c r="AZ237" i="1"/>
  <c r="BA237" i="1"/>
  <c r="BB237" i="1"/>
  <c r="BC237" i="1"/>
  <c r="BD237" i="1"/>
  <c r="BE237" i="1"/>
  <c r="BF237" i="1"/>
  <c r="BG237" i="1"/>
  <c r="BH237" i="1"/>
  <c r="BI237" i="1"/>
  <c r="BJ237" i="1"/>
  <c r="BK237" i="1"/>
  <c r="BL237" i="1"/>
  <c r="BM237" i="1"/>
  <c r="BN237" i="1"/>
  <c r="BO237" i="1"/>
  <c r="BP237" i="1"/>
  <c r="BQ237" i="1"/>
  <c r="BR237" i="1"/>
  <c r="BS237" i="1"/>
  <c r="BT237" i="1"/>
  <c r="BU237" i="1"/>
  <c r="BV237" i="1"/>
  <c r="BW237" i="1"/>
  <c r="BX237" i="1"/>
  <c r="BY237" i="1"/>
  <c r="BZ237" i="1"/>
  <c r="CA237" i="1"/>
  <c r="CB237" i="1"/>
  <c r="CC237" i="1"/>
  <c r="CD237" i="1"/>
  <c r="A238" i="1"/>
  <c r="B238" i="1"/>
  <c r="C238" i="1"/>
  <c r="D238" i="1"/>
  <c r="E238" i="1"/>
  <c r="G238" i="1"/>
  <c r="J238" i="1"/>
  <c r="M238" i="1"/>
  <c r="P238" i="1"/>
  <c r="Q238" i="1"/>
  <c r="R238" i="1"/>
  <c r="H238" i="1" s="1"/>
  <c r="T238" i="1"/>
  <c r="U238" i="1"/>
  <c r="V238" i="1"/>
  <c r="W238" i="1"/>
  <c r="Z238" i="1"/>
  <c r="AA238" i="1"/>
  <c r="AC238" i="1"/>
  <c r="AE238" i="1"/>
  <c r="AH238" i="1"/>
  <c r="AQ238" i="1"/>
  <c r="AR238" i="1"/>
  <c r="AS238" i="1"/>
  <c r="AT238" i="1"/>
  <c r="AU238" i="1"/>
  <c r="AV238" i="1"/>
  <c r="AW238" i="1"/>
  <c r="AX238" i="1"/>
  <c r="AY238" i="1"/>
  <c r="AZ238" i="1"/>
  <c r="BA238" i="1"/>
  <c r="BB238" i="1"/>
  <c r="BC238" i="1"/>
  <c r="BD238" i="1"/>
  <c r="BE238" i="1"/>
  <c r="BF238" i="1"/>
  <c r="BG238" i="1"/>
  <c r="BH238" i="1"/>
  <c r="BI238" i="1"/>
  <c r="BJ238" i="1"/>
  <c r="BK238" i="1"/>
  <c r="BL238" i="1"/>
  <c r="BM238" i="1"/>
  <c r="BN238" i="1"/>
  <c r="BO238" i="1"/>
  <c r="BP238" i="1"/>
  <c r="BQ238" i="1"/>
  <c r="BR238" i="1"/>
  <c r="BS238" i="1"/>
  <c r="BT238" i="1"/>
  <c r="BU238" i="1"/>
  <c r="BV238" i="1"/>
  <c r="BW238" i="1"/>
  <c r="BX238" i="1"/>
  <c r="BY238" i="1"/>
  <c r="BZ238" i="1"/>
  <c r="CA238" i="1"/>
  <c r="CB238" i="1"/>
  <c r="CC238" i="1"/>
  <c r="CD238" i="1"/>
  <c r="A239" i="1"/>
  <c r="B239" i="1"/>
  <c r="C239" i="1"/>
  <c r="D239" i="1"/>
  <c r="E239" i="1"/>
  <c r="G239" i="1"/>
  <c r="J239" i="1"/>
  <c r="M239" i="1"/>
  <c r="P239" i="1"/>
  <c r="Q239" i="1"/>
  <c r="R239" i="1"/>
  <c r="H239" i="1" s="1"/>
  <c r="T239" i="1"/>
  <c r="U239" i="1"/>
  <c r="V239" i="1"/>
  <c r="W239" i="1"/>
  <c r="Z239" i="1"/>
  <c r="AA239" i="1"/>
  <c r="AC239" i="1"/>
  <c r="AE239" i="1"/>
  <c r="AH239" i="1"/>
  <c r="AQ239" i="1"/>
  <c r="AR239" i="1"/>
  <c r="AS239" i="1"/>
  <c r="AT239" i="1"/>
  <c r="AU239" i="1"/>
  <c r="AV239" i="1"/>
  <c r="AW239" i="1"/>
  <c r="AX239" i="1"/>
  <c r="AY239" i="1"/>
  <c r="AZ239" i="1"/>
  <c r="BA239" i="1"/>
  <c r="BB239" i="1"/>
  <c r="BC239" i="1"/>
  <c r="BD239" i="1"/>
  <c r="BE239" i="1"/>
  <c r="BF239" i="1"/>
  <c r="BG239" i="1"/>
  <c r="BH239" i="1"/>
  <c r="BI239" i="1"/>
  <c r="BJ239" i="1"/>
  <c r="BK239" i="1"/>
  <c r="BL239" i="1"/>
  <c r="BM239" i="1"/>
  <c r="BN239" i="1"/>
  <c r="BO239" i="1"/>
  <c r="BP239" i="1"/>
  <c r="BQ239" i="1"/>
  <c r="BR239" i="1"/>
  <c r="BS239" i="1"/>
  <c r="BT239" i="1"/>
  <c r="BU239" i="1"/>
  <c r="BV239" i="1"/>
  <c r="BW239" i="1"/>
  <c r="BX239" i="1"/>
  <c r="BY239" i="1"/>
  <c r="BZ239" i="1"/>
  <c r="CA239" i="1"/>
  <c r="CB239" i="1"/>
  <c r="CC239" i="1"/>
  <c r="CD239" i="1"/>
  <c r="A240" i="1"/>
  <c r="B240" i="1"/>
  <c r="C240" i="1"/>
  <c r="D240" i="1"/>
  <c r="E240" i="1"/>
  <c r="G240" i="1"/>
  <c r="J240" i="1"/>
  <c r="M240" i="1"/>
  <c r="P240" i="1"/>
  <c r="Q240" i="1"/>
  <c r="R240" i="1"/>
  <c r="H240" i="1" s="1"/>
  <c r="T240" i="1"/>
  <c r="U240" i="1"/>
  <c r="V240" i="1"/>
  <c r="W240" i="1"/>
  <c r="Z240" i="1"/>
  <c r="AA240" i="1"/>
  <c r="AC240" i="1"/>
  <c r="AE240" i="1"/>
  <c r="AH240" i="1"/>
  <c r="AQ240" i="1"/>
  <c r="AR240" i="1"/>
  <c r="AS240" i="1"/>
  <c r="AT240" i="1"/>
  <c r="AU240" i="1"/>
  <c r="AV240" i="1"/>
  <c r="AW240" i="1"/>
  <c r="AX240" i="1"/>
  <c r="AY240" i="1"/>
  <c r="AZ240" i="1"/>
  <c r="BA240" i="1"/>
  <c r="BB240" i="1"/>
  <c r="BC240" i="1"/>
  <c r="BD240" i="1"/>
  <c r="BE240" i="1"/>
  <c r="BF240" i="1"/>
  <c r="BG240" i="1"/>
  <c r="BH240" i="1"/>
  <c r="BI240" i="1"/>
  <c r="BJ240" i="1"/>
  <c r="BK240" i="1"/>
  <c r="BL240" i="1"/>
  <c r="BM240" i="1"/>
  <c r="BN240" i="1"/>
  <c r="BO240" i="1"/>
  <c r="BP240" i="1"/>
  <c r="BQ240" i="1"/>
  <c r="BR240" i="1"/>
  <c r="BS240" i="1"/>
  <c r="BT240" i="1"/>
  <c r="BU240" i="1"/>
  <c r="BV240" i="1"/>
  <c r="BW240" i="1"/>
  <c r="BX240" i="1"/>
  <c r="BY240" i="1"/>
  <c r="BZ240" i="1"/>
  <c r="CA240" i="1"/>
  <c r="CB240" i="1"/>
  <c r="CC240" i="1"/>
  <c r="CD240" i="1"/>
  <c r="A241" i="1"/>
  <c r="B241" i="1"/>
  <c r="C241" i="1"/>
  <c r="D241" i="1"/>
  <c r="E241" i="1"/>
  <c r="G241" i="1"/>
  <c r="J241" i="1"/>
  <c r="M241" i="1"/>
  <c r="P241" i="1"/>
  <c r="Q241" i="1"/>
  <c r="R241" i="1"/>
  <c r="H241" i="1" s="1"/>
  <c r="T241" i="1"/>
  <c r="U241" i="1"/>
  <c r="V241" i="1"/>
  <c r="W241" i="1"/>
  <c r="Z241" i="1"/>
  <c r="AA241" i="1"/>
  <c r="AC241" i="1"/>
  <c r="AE241" i="1"/>
  <c r="AH241" i="1"/>
  <c r="AQ241" i="1"/>
  <c r="AR241" i="1"/>
  <c r="AS241" i="1"/>
  <c r="AT241" i="1"/>
  <c r="AU241" i="1"/>
  <c r="AV241" i="1"/>
  <c r="AW241" i="1"/>
  <c r="AX241" i="1"/>
  <c r="AY241" i="1"/>
  <c r="AZ241" i="1"/>
  <c r="BA241" i="1"/>
  <c r="BB241" i="1"/>
  <c r="BC241" i="1"/>
  <c r="BD241" i="1"/>
  <c r="BE241" i="1"/>
  <c r="BF241" i="1"/>
  <c r="BG241" i="1"/>
  <c r="BH241" i="1"/>
  <c r="BI241" i="1"/>
  <c r="BJ241" i="1"/>
  <c r="BK241" i="1"/>
  <c r="BL241" i="1"/>
  <c r="BM241" i="1"/>
  <c r="BN241" i="1"/>
  <c r="BO241" i="1"/>
  <c r="BP241" i="1"/>
  <c r="BQ241" i="1"/>
  <c r="BR241" i="1"/>
  <c r="BS241" i="1"/>
  <c r="BT241" i="1"/>
  <c r="BU241" i="1"/>
  <c r="BV241" i="1"/>
  <c r="BW241" i="1"/>
  <c r="BX241" i="1"/>
  <c r="BY241" i="1"/>
  <c r="BZ241" i="1"/>
  <c r="CA241" i="1"/>
  <c r="CB241" i="1"/>
  <c r="CC241" i="1"/>
  <c r="CD241" i="1"/>
  <c r="A242" i="1"/>
  <c r="B242" i="1"/>
  <c r="C242" i="1"/>
  <c r="D242" i="1"/>
  <c r="E242" i="1"/>
  <c r="G242" i="1"/>
  <c r="J242" i="1"/>
  <c r="M242" i="1"/>
  <c r="P242" i="1"/>
  <c r="Q242" i="1"/>
  <c r="R242" i="1"/>
  <c r="T242" i="1"/>
  <c r="U242" i="1"/>
  <c r="V242" i="1"/>
  <c r="W242" i="1"/>
  <c r="Z242" i="1"/>
  <c r="AA242" i="1"/>
  <c r="AC242" i="1"/>
  <c r="AE242" i="1"/>
  <c r="AH242" i="1"/>
  <c r="AQ242" i="1"/>
  <c r="AR242" i="1"/>
  <c r="AS242" i="1"/>
  <c r="AT242" i="1"/>
  <c r="AU242" i="1"/>
  <c r="AV242" i="1"/>
  <c r="AW242" i="1"/>
  <c r="AX242" i="1"/>
  <c r="AY242" i="1"/>
  <c r="AZ242" i="1"/>
  <c r="BA242" i="1"/>
  <c r="BB242" i="1"/>
  <c r="BC242" i="1"/>
  <c r="BD242" i="1"/>
  <c r="BE242" i="1"/>
  <c r="BF242" i="1"/>
  <c r="BG242" i="1"/>
  <c r="BH242" i="1"/>
  <c r="BI242" i="1"/>
  <c r="BJ242" i="1"/>
  <c r="BK242" i="1"/>
  <c r="BL242" i="1"/>
  <c r="BM242" i="1"/>
  <c r="BN242" i="1"/>
  <c r="BO242" i="1"/>
  <c r="BP242" i="1"/>
  <c r="BQ242" i="1"/>
  <c r="BR242" i="1"/>
  <c r="BS242" i="1"/>
  <c r="BT242" i="1"/>
  <c r="BU242" i="1"/>
  <c r="BV242" i="1"/>
  <c r="BW242" i="1"/>
  <c r="BX242" i="1"/>
  <c r="BY242" i="1"/>
  <c r="BZ242" i="1"/>
  <c r="CA242" i="1"/>
  <c r="CB242" i="1"/>
  <c r="CC242" i="1"/>
  <c r="CD242" i="1"/>
  <c r="A243" i="1"/>
  <c r="B243" i="1"/>
  <c r="C243" i="1"/>
  <c r="D243" i="1"/>
  <c r="E243" i="1"/>
  <c r="G243" i="1"/>
  <c r="J243" i="1"/>
  <c r="M243" i="1"/>
  <c r="P243" i="1"/>
  <c r="Q243" i="1"/>
  <c r="R243" i="1"/>
  <c r="H243" i="1" s="1"/>
  <c r="T243" i="1"/>
  <c r="U243" i="1"/>
  <c r="V243" i="1"/>
  <c r="W243" i="1"/>
  <c r="Z243" i="1"/>
  <c r="AA243" i="1"/>
  <c r="AC243" i="1"/>
  <c r="AE243" i="1"/>
  <c r="AH243" i="1"/>
  <c r="AQ243" i="1"/>
  <c r="AR243" i="1"/>
  <c r="AS243" i="1"/>
  <c r="AT243" i="1"/>
  <c r="AU243" i="1"/>
  <c r="AV243" i="1"/>
  <c r="AW243" i="1"/>
  <c r="AX243" i="1"/>
  <c r="AY243" i="1"/>
  <c r="AZ243" i="1"/>
  <c r="BA243" i="1"/>
  <c r="BB243" i="1"/>
  <c r="BC243" i="1"/>
  <c r="BD243" i="1"/>
  <c r="BE243" i="1"/>
  <c r="BF243" i="1"/>
  <c r="BG243" i="1"/>
  <c r="BH243" i="1"/>
  <c r="BI243" i="1"/>
  <c r="BJ243" i="1"/>
  <c r="BK243" i="1"/>
  <c r="BL243" i="1"/>
  <c r="BM243" i="1"/>
  <c r="BN243" i="1"/>
  <c r="BO243" i="1"/>
  <c r="BP243" i="1"/>
  <c r="BQ243" i="1"/>
  <c r="BR243" i="1"/>
  <c r="BS243" i="1"/>
  <c r="BT243" i="1"/>
  <c r="BU243" i="1"/>
  <c r="BV243" i="1"/>
  <c r="BW243" i="1"/>
  <c r="BX243" i="1"/>
  <c r="BY243" i="1"/>
  <c r="BZ243" i="1"/>
  <c r="CA243" i="1"/>
  <c r="CB243" i="1"/>
  <c r="CC243" i="1"/>
  <c r="CD243" i="1"/>
  <c r="A244" i="1"/>
  <c r="B244" i="1"/>
  <c r="C244" i="1"/>
  <c r="D244" i="1"/>
  <c r="E244" i="1"/>
  <c r="G244" i="1"/>
  <c r="J244" i="1"/>
  <c r="M244" i="1"/>
  <c r="P244" i="1"/>
  <c r="Q244" i="1"/>
  <c r="R244" i="1"/>
  <c r="T244" i="1"/>
  <c r="U244" i="1"/>
  <c r="V244" i="1"/>
  <c r="W244" i="1"/>
  <c r="Z244" i="1"/>
  <c r="AA244" i="1"/>
  <c r="AC244" i="1"/>
  <c r="AE244" i="1"/>
  <c r="AH244" i="1"/>
  <c r="AQ244" i="1"/>
  <c r="AR244" i="1"/>
  <c r="AS244" i="1"/>
  <c r="AT244" i="1"/>
  <c r="AU244" i="1"/>
  <c r="AV244" i="1"/>
  <c r="AW244" i="1"/>
  <c r="AX244" i="1"/>
  <c r="AY244" i="1"/>
  <c r="AZ244" i="1"/>
  <c r="BA244" i="1"/>
  <c r="BB244" i="1"/>
  <c r="BC244" i="1"/>
  <c r="BD244" i="1"/>
  <c r="BE244" i="1"/>
  <c r="BF244" i="1"/>
  <c r="BG244" i="1"/>
  <c r="BH244" i="1"/>
  <c r="BI244" i="1"/>
  <c r="BJ244" i="1"/>
  <c r="BK244" i="1"/>
  <c r="BL244" i="1"/>
  <c r="BM244" i="1"/>
  <c r="BN244" i="1"/>
  <c r="BO244" i="1"/>
  <c r="BP244" i="1"/>
  <c r="BQ244" i="1"/>
  <c r="BR244" i="1"/>
  <c r="BS244" i="1"/>
  <c r="BT244" i="1"/>
  <c r="BU244" i="1"/>
  <c r="BV244" i="1"/>
  <c r="BW244" i="1"/>
  <c r="BX244" i="1"/>
  <c r="BY244" i="1"/>
  <c r="BZ244" i="1"/>
  <c r="CA244" i="1"/>
  <c r="CB244" i="1"/>
  <c r="CC244" i="1"/>
  <c r="CD244" i="1"/>
  <c r="A245" i="1"/>
  <c r="B245" i="1"/>
  <c r="C245" i="1"/>
  <c r="D245" i="1"/>
  <c r="E245" i="1"/>
  <c r="G245" i="1"/>
  <c r="J245" i="1"/>
  <c r="M245" i="1"/>
  <c r="P245" i="1"/>
  <c r="F245" i="1" s="1"/>
  <c r="Q245" i="1"/>
  <c r="R245" i="1"/>
  <c r="H245" i="1" s="1"/>
  <c r="T245" i="1"/>
  <c r="U245" i="1"/>
  <c r="V245" i="1"/>
  <c r="W245" i="1"/>
  <c r="Z245" i="1"/>
  <c r="AA245" i="1"/>
  <c r="AC245" i="1"/>
  <c r="AE245" i="1"/>
  <c r="AH245" i="1"/>
  <c r="AQ245" i="1"/>
  <c r="AR245" i="1"/>
  <c r="AS245" i="1"/>
  <c r="AT245" i="1"/>
  <c r="AU245" i="1"/>
  <c r="AV245" i="1"/>
  <c r="AW245" i="1"/>
  <c r="AX245" i="1"/>
  <c r="AY245" i="1"/>
  <c r="AZ245" i="1"/>
  <c r="BA245" i="1"/>
  <c r="BB245" i="1"/>
  <c r="BC245" i="1"/>
  <c r="BD245" i="1"/>
  <c r="BE245" i="1"/>
  <c r="BF245" i="1"/>
  <c r="BG245" i="1"/>
  <c r="BH245" i="1"/>
  <c r="BI245" i="1"/>
  <c r="BJ245" i="1"/>
  <c r="BK245" i="1"/>
  <c r="BL245" i="1"/>
  <c r="BM245" i="1"/>
  <c r="BN245" i="1"/>
  <c r="BO245" i="1"/>
  <c r="BP245" i="1"/>
  <c r="BQ245" i="1"/>
  <c r="BR245" i="1"/>
  <c r="BS245" i="1"/>
  <c r="BT245" i="1"/>
  <c r="BU245" i="1"/>
  <c r="BV245" i="1"/>
  <c r="BW245" i="1"/>
  <c r="BX245" i="1"/>
  <c r="BY245" i="1"/>
  <c r="BZ245" i="1"/>
  <c r="CA245" i="1"/>
  <c r="CB245" i="1"/>
  <c r="CC245" i="1"/>
  <c r="CD245" i="1"/>
  <c r="A246" i="1"/>
  <c r="B246" i="1"/>
  <c r="C246" i="1"/>
  <c r="D246" i="1"/>
  <c r="E246" i="1"/>
  <c r="G246" i="1"/>
  <c r="J246" i="1"/>
  <c r="M246" i="1"/>
  <c r="P246" i="1"/>
  <c r="Q246" i="1"/>
  <c r="R246" i="1"/>
  <c r="H246" i="1" s="1"/>
  <c r="T246" i="1"/>
  <c r="U246" i="1"/>
  <c r="V246" i="1"/>
  <c r="W246" i="1"/>
  <c r="Z246" i="1"/>
  <c r="AA246" i="1"/>
  <c r="AC246" i="1"/>
  <c r="AE246" i="1"/>
  <c r="AH246" i="1"/>
  <c r="AQ246" i="1"/>
  <c r="AR246" i="1"/>
  <c r="AS246" i="1"/>
  <c r="AT246" i="1"/>
  <c r="AU246" i="1"/>
  <c r="AV246" i="1"/>
  <c r="AW246" i="1"/>
  <c r="AX246" i="1"/>
  <c r="AY246" i="1"/>
  <c r="AZ246" i="1"/>
  <c r="BA246" i="1"/>
  <c r="BB246" i="1"/>
  <c r="BC246" i="1"/>
  <c r="BD246" i="1"/>
  <c r="BE246" i="1"/>
  <c r="BF246" i="1"/>
  <c r="BG246" i="1"/>
  <c r="BH246" i="1"/>
  <c r="BI246" i="1"/>
  <c r="BJ246" i="1"/>
  <c r="BK246" i="1"/>
  <c r="BL246" i="1"/>
  <c r="BM246" i="1"/>
  <c r="BN246" i="1"/>
  <c r="BO246" i="1"/>
  <c r="BP246" i="1"/>
  <c r="BQ246" i="1"/>
  <c r="BR246" i="1"/>
  <c r="BS246" i="1"/>
  <c r="BT246" i="1"/>
  <c r="BU246" i="1"/>
  <c r="BV246" i="1"/>
  <c r="BW246" i="1"/>
  <c r="BX246" i="1"/>
  <c r="BY246" i="1"/>
  <c r="BZ246" i="1"/>
  <c r="CA246" i="1"/>
  <c r="CB246" i="1"/>
  <c r="CC246" i="1"/>
  <c r="CD246" i="1"/>
  <c r="A247" i="1"/>
  <c r="B247" i="1"/>
  <c r="C247" i="1"/>
  <c r="D247" i="1"/>
  <c r="E247" i="1"/>
  <c r="G247" i="1"/>
  <c r="J247" i="1"/>
  <c r="M247" i="1"/>
  <c r="P247" i="1"/>
  <c r="Q247" i="1"/>
  <c r="R247" i="1"/>
  <c r="H247" i="1" s="1"/>
  <c r="T247" i="1"/>
  <c r="U247" i="1"/>
  <c r="V247" i="1"/>
  <c r="W247" i="1"/>
  <c r="Z247" i="1"/>
  <c r="AA247" i="1"/>
  <c r="AC247" i="1"/>
  <c r="AE247" i="1"/>
  <c r="AH247" i="1"/>
  <c r="AQ247" i="1"/>
  <c r="AR247" i="1"/>
  <c r="AS247" i="1"/>
  <c r="AT247" i="1"/>
  <c r="AU247" i="1"/>
  <c r="AV247" i="1"/>
  <c r="AW247" i="1"/>
  <c r="AX247" i="1"/>
  <c r="AY247" i="1"/>
  <c r="AZ247" i="1"/>
  <c r="BA247" i="1"/>
  <c r="BB247" i="1"/>
  <c r="BC247" i="1"/>
  <c r="BD247" i="1"/>
  <c r="BE247" i="1"/>
  <c r="BF247" i="1"/>
  <c r="BG247" i="1"/>
  <c r="BH247" i="1"/>
  <c r="BI247" i="1"/>
  <c r="BJ247" i="1"/>
  <c r="BK247" i="1"/>
  <c r="BL247" i="1"/>
  <c r="BM247" i="1"/>
  <c r="BN247" i="1"/>
  <c r="BO247" i="1"/>
  <c r="BP247" i="1"/>
  <c r="BQ247" i="1"/>
  <c r="BR247" i="1"/>
  <c r="BS247" i="1"/>
  <c r="BT247" i="1"/>
  <c r="BU247" i="1"/>
  <c r="BV247" i="1"/>
  <c r="BW247" i="1"/>
  <c r="BX247" i="1"/>
  <c r="BY247" i="1"/>
  <c r="BZ247" i="1"/>
  <c r="CA247" i="1"/>
  <c r="CB247" i="1"/>
  <c r="CC247" i="1"/>
  <c r="CD247" i="1"/>
  <c r="A248" i="1"/>
  <c r="B248" i="1"/>
  <c r="C248" i="1"/>
  <c r="D248" i="1"/>
  <c r="E248" i="1"/>
  <c r="G248" i="1"/>
  <c r="J248" i="1"/>
  <c r="M248" i="1"/>
  <c r="P248" i="1"/>
  <c r="Q248" i="1"/>
  <c r="R248" i="1"/>
  <c r="H248" i="1" s="1"/>
  <c r="T248" i="1"/>
  <c r="U248" i="1"/>
  <c r="V248" i="1"/>
  <c r="W248" i="1"/>
  <c r="Z248" i="1"/>
  <c r="AA248" i="1"/>
  <c r="AC248" i="1"/>
  <c r="AE248" i="1"/>
  <c r="AH248" i="1"/>
  <c r="AQ248" i="1"/>
  <c r="AR248" i="1"/>
  <c r="AS248" i="1"/>
  <c r="AT248" i="1"/>
  <c r="AU248" i="1"/>
  <c r="AV248" i="1"/>
  <c r="AW248" i="1"/>
  <c r="AX248" i="1"/>
  <c r="AY248" i="1"/>
  <c r="AZ248" i="1"/>
  <c r="BA248" i="1"/>
  <c r="BB248" i="1"/>
  <c r="BC248" i="1"/>
  <c r="BD248" i="1"/>
  <c r="BE248" i="1"/>
  <c r="BF248" i="1"/>
  <c r="BG248" i="1"/>
  <c r="BH248" i="1"/>
  <c r="BI248" i="1"/>
  <c r="BJ248" i="1"/>
  <c r="BK248" i="1"/>
  <c r="BL248" i="1"/>
  <c r="BM248" i="1"/>
  <c r="BN248" i="1"/>
  <c r="BO248" i="1"/>
  <c r="BP248" i="1"/>
  <c r="BQ248" i="1"/>
  <c r="BR248" i="1"/>
  <c r="BS248" i="1"/>
  <c r="BT248" i="1"/>
  <c r="BU248" i="1"/>
  <c r="BV248" i="1"/>
  <c r="BW248" i="1"/>
  <c r="BX248" i="1"/>
  <c r="BY248" i="1"/>
  <c r="BZ248" i="1"/>
  <c r="CA248" i="1"/>
  <c r="CB248" i="1"/>
  <c r="CC248" i="1"/>
  <c r="CD248" i="1"/>
  <c r="A249" i="1"/>
  <c r="B249" i="1"/>
  <c r="C249" i="1"/>
  <c r="D249" i="1"/>
  <c r="E249" i="1"/>
  <c r="G249" i="1"/>
  <c r="J249" i="1"/>
  <c r="M249" i="1"/>
  <c r="P249" i="1"/>
  <c r="Q249" i="1"/>
  <c r="R249" i="1"/>
  <c r="H249" i="1" s="1"/>
  <c r="T249" i="1"/>
  <c r="U249" i="1"/>
  <c r="V249" i="1"/>
  <c r="W249" i="1"/>
  <c r="Z249" i="1"/>
  <c r="AA249" i="1"/>
  <c r="AC249" i="1"/>
  <c r="AE249" i="1"/>
  <c r="AH249" i="1"/>
  <c r="AQ249" i="1"/>
  <c r="AR249" i="1"/>
  <c r="AS249" i="1"/>
  <c r="AT249" i="1"/>
  <c r="AU249" i="1"/>
  <c r="AV249" i="1"/>
  <c r="AW249" i="1"/>
  <c r="AX249" i="1"/>
  <c r="AY249" i="1"/>
  <c r="AZ249" i="1"/>
  <c r="BA249" i="1"/>
  <c r="BB249" i="1"/>
  <c r="BC249" i="1"/>
  <c r="BD249" i="1"/>
  <c r="BE249" i="1"/>
  <c r="BF249" i="1"/>
  <c r="BG249" i="1"/>
  <c r="BH249" i="1"/>
  <c r="BI249" i="1"/>
  <c r="BJ249" i="1"/>
  <c r="BK249" i="1"/>
  <c r="BL249" i="1"/>
  <c r="BM249" i="1"/>
  <c r="BN249" i="1"/>
  <c r="BO249" i="1"/>
  <c r="BP249" i="1"/>
  <c r="BQ249" i="1"/>
  <c r="BR249" i="1"/>
  <c r="BS249" i="1"/>
  <c r="BT249" i="1"/>
  <c r="BU249" i="1"/>
  <c r="BV249" i="1"/>
  <c r="BW249" i="1"/>
  <c r="BX249" i="1"/>
  <c r="BY249" i="1"/>
  <c r="BZ249" i="1"/>
  <c r="CA249" i="1"/>
  <c r="CB249" i="1"/>
  <c r="CC249" i="1"/>
  <c r="CD249" i="1"/>
  <c r="A250" i="1"/>
  <c r="B250" i="1"/>
  <c r="C250" i="1"/>
  <c r="D250" i="1"/>
  <c r="E250" i="1"/>
  <c r="G250" i="1"/>
  <c r="J250" i="1"/>
  <c r="M250" i="1"/>
  <c r="P250" i="1"/>
  <c r="Q250" i="1"/>
  <c r="R250" i="1"/>
  <c r="H250" i="1" s="1"/>
  <c r="T250" i="1"/>
  <c r="U250" i="1"/>
  <c r="V250" i="1"/>
  <c r="W250" i="1"/>
  <c r="Z250" i="1"/>
  <c r="AA250" i="1"/>
  <c r="AC250" i="1"/>
  <c r="AE250" i="1"/>
  <c r="AH250" i="1"/>
  <c r="AQ250" i="1"/>
  <c r="AR250" i="1"/>
  <c r="AS250" i="1"/>
  <c r="AT250" i="1"/>
  <c r="AU250" i="1"/>
  <c r="AV250" i="1"/>
  <c r="AW250" i="1"/>
  <c r="AX250" i="1"/>
  <c r="AY250" i="1"/>
  <c r="AZ250" i="1"/>
  <c r="BA250" i="1"/>
  <c r="BB250" i="1"/>
  <c r="BC250" i="1"/>
  <c r="BD250" i="1"/>
  <c r="BE250" i="1"/>
  <c r="BF250" i="1"/>
  <c r="BG250" i="1"/>
  <c r="BH250" i="1"/>
  <c r="BI250" i="1"/>
  <c r="BJ250" i="1"/>
  <c r="BK250" i="1"/>
  <c r="BL250" i="1"/>
  <c r="BM250" i="1"/>
  <c r="BN250" i="1"/>
  <c r="BO250" i="1"/>
  <c r="BP250" i="1"/>
  <c r="BQ250" i="1"/>
  <c r="BR250" i="1"/>
  <c r="BS250" i="1"/>
  <c r="BT250" i="1"/>
  <c r="BU250" i="1"/>
  <c r="BV250" i="1"/>
  <c r="BW250" i="1"/>
  <c r="BX250" i="1"/>
  <c r="BY250" i="1"/>
  <c r="BZ250" i="1"/>
  <c r="CA250" i="1"/>
  <c r="CB250" i="1"/>
  <c r="CC250" i="1"/>
  <c r="CD250" i="1"/>
  <c r="A251" i="1"/>
  <c r="B251" i="1"/>
  <c r="C251" i="1"/>
  <c r="D251" i="1"/>
  <c r="E251" i="1"/>
  <c r="G251" i="1"/>
  <c r="J251" i="1"/>
  <c r="M251" i="1"/>
  <c r="P251" i="1"/>
  <c r="Q251" i="1"/>
  <c r="R251" i="1"/>
  <c r="H251" i="1" s="1"/>
  <c r="T251" i="1"/>
  <c r="U251" i="1"/>
  <c r="V251" i="1"/>
  <c r="W251" i="1"/>
  <c r="Z251" i="1"/>
  <c r="AA251" i="1"/>
  <c r="AC251" i="1"/>
  <c r="AE251" i="1"/>
  <c r="AH251" i="1"/>
  <c r="AQ251" i="1"/>
  <c r="AR251" i="1"/>
  <c r="AS251" i="1"/>
  <c r="AT251" i="1"/>
  <c r="AU251" i="1"/>
  <c r="AV251" i="1"/>
  <c r="AW251" i="1"/>
  <c r="AX251" i="1"/>
  <c r="AY251" i="1"/>
  <c r="AZ251" i="1"/>
  <c r="BA251" i="1"/>
  <c r="BB251" i="1"/>
  <c r="BC251" i="1"/>
  <c r="BD251" i="1"/>
  <c r="BE251" i="1"/>
  <c r="BF251" i="1"/>
  <c r="BG251" i="1"/>
  <c r="BH251" i="1"/>
  <c r="BI251" i="1"/>
  <c r="BJ251" i="1"/>
  <c r="BK251" i="1"/>
  <c r="BL251" i="1"/>
  <c r="BM251" i="1"/>
  <c r="BN251" i="1"/>
  <c r="BO251" i="1"/>
  <c r="BP251" i="1"/>
  <c r="BQ251" i="1"/>
  <c r="BR251" i="1"/>
  <c r="BS251" i="1"/>
  <c r="BT251" i="1"/>
  <c r="BU251" i="1"/>
  <c r="BV251" i="1"/>
  <c r="BW251" i="1"/>
  <c r="BX251" i="1"/>
  <c r="BY251" i="1"/>
  <c r="BZ251" i="1"/>
  <c r="CA251" i="1"/>
  <c r="CB251" i="1"/>
  <c r="CC251" i="1"/>
  <c r="CD251" i="1"/>
  <c r="A252" i="1"/>
  <c r="B252" i="1"/>
  <c r="C252" i="1"/>
  <c r="D252" i="1"/>
  <c r="E252" i="1"/>
  <c r="G252" i="1"/>
  <c r="J252" i="1"/>
  <c r="M252" i="1"/>
  <c r="P252" i="1"/>
  <c r="Q252" i="1"/>
  <c r="R252" i="1"/>
  <c r="H252" i="1" s="1"/>
  <c r="T252" i="1"/>
  <c r="U252" i="1"/>
  <c r="V252" i="1"/>
  <c r="W252" i="1"/>
  <c r="Z252" i="1"/>
  <c r="AA252" i="1"/>
  <c r="AC252" i="1"/>
  <c r="AE252" i="1"/>
  <c r="AH252" i="1"/>
  <c r="AQ252" i="1"/>
  <c r="AR252" i="1"/>
  <c r="AS252" i="1"/>
  <c r="AT252" i="1"/>
  <c r="AU252" i="1"/>
  <c r="AV252" i="1"/>
  <c r="AW252" i="1"/>
  <c r="AX252" i="1"/>
  <c r="AY252" i="1"/>
  <c r="AZ252" i="1"/>
  <c r="BA252" i="1"/>
  <c r="BB252" i="1"/>
  <c r="BC252" i="1"/>
  <c r="BD252" i="1"/>
  <c r="BE252" i="1"/>
  <c r="BF252" i="1"/>
  <c r="BG252" i="1"/>
  <c r="BH252" i="1"/>
  <c r="BI252" i="1"/>
  <c r="BJ252" i="1"/>
  <c r="BK252" i="1"/>
  <c r="BL252" i="1"/>
  <c r="BM252" i="1"/>
  <c r="BN252" i="1"/>
  <c r="BO252" i="1"/>
  <c r="BP252" i="1"/>
  <c r="BQ252" i="1"/>
  <c r="BR252" i="1"/>
  <c r="BS252" i="1"/>
  <c r="BT252" i="1"/>
  <c r="BU252" i="1"/>
  <c r="BV252" i="1"/>
  <c r="BW252" i="1"/>
  <c r="BX252" i="1"/>
  <c r="BY252" i="1"/>
  <c r="BZ252" i="1"/>
  <c r="CA252" i="1"/>
  <c r="CB252" i="1"/>
  <c r="CC252" i="1"/>
  <c r="CD252" i="1"/>
  <c r="A253" i="1"/>
  <c r="B253" i="1"/>
  <c r="C253" i="1"/>
  <c r="D253" i="1"/>
  <c r="E253" i="1"/>
  <c r="G253" i="1"/>
  <c r="J253" i="1"/>
  <c r="M253" i="1"/>
  <c r="P253" i="1"/>
  <c r="F253" i="1" s="1"/>
  <c r="Q253" i="1"/>
  <c r="R253" i="1"/>
  <c r="T253" i="1"/>
  <c r="U253" i="1"/>
  <c r="V253" i="1"/>
  <c r="W253" i="1"/>
  <c r="Z253" i="1"/>
  <c r="AA253" i="1"/>
  <c r="AC253" i="1"/>
  <c r="AE253" i="1"/>
  <c r="AH253" i="1"/>
  <c r="AQ253" i="1"/>
  <c r="AR253" i="1"/>
  <c r="AS253" i="1"/>
  <c r="AT253" i="1"/>
  <c r="AU253" i="1"/>
  <c r="AV253" i="1"/>
  <c r="AW253" i="1"/>
  <c r="AX253" i="1"/>
  <c r="AY253" i="1"/>
  <c r="AZ253" i="1"/>
  <c r="BA253" i="1"/>
  <c r="BB253" i="1"/>
  <c r="BC253" i="1"/>
  <c r="BD253" i="1"/>
  <c r="BE253" i="1"/>
  <c r="BF253" i="1"/>
  <c r="BG253" i="1"/>
  <c r="BH253" i="1"/>
  <c r="BI253" i="1"/>
  <c r="BJ253" i="1"/>
  <c r="BK253" i="1"/>
  <c r="BL253" i="1"/>
  <c r="BM253" i="1"/>
  <c r="BN253" i="1"/>
  <c r="BO253" i="1"/>
  <c r="BP253" i="1"/>
  <c r="BQ253" i="1"/>
  <c r="BR253" i="1"/>
  <c r="BS253" i="1"/>
  <c r="BT253" i="1"/>
  <c r="BU253" i="1"/>
  <c r="BV253" i="1"/>
  <c r="BW253" i="1"/>
  <c r="BX253" i="1"/>
  <c r="BY253" i="1"/>
  <c r="BZ253" i="1"/>
  <c r="CA253" i="1"/>
  <c r="CB253" i="1"/>
  <c r="CC253" i="1"/>
  <c r="CD253" i="1"/>
  <c r="A254" i="1"/>
  <c r="B254" i="1"/>
  <c r="C254" i="1"/>
  <c r="D254" i="1"/>
  <c r="E254" i="1"/>
  <c r="G254" i="1"/>
  <c r="J254" i="1"/>
  <c r="M254" i="1"/>
  <c r="P254" i="1"/>
  <c r="F254" i="1" s="1"/>
  <c r="Q254" i="1"/>
  <c r="R254" i="1"/>
  <c r="T254" i="1"/>
  <c r="U254" i="1"/>
  <c r="V254" i="1"/>
  <c r="W254" i="1"/>
  <c r="Z254" i="1"/>
  <c r="AA254" i="1"/>
  <c r="AC254" i="1"/>
  <c r="AE254" i="1"/>
  <c r="AH254" i="1"/>
  <c r="AQ254" i="1"/>
  <c r="AR254" i="1"/>
  <c r="AS254" i="1"/>
  <c r="AT254" i="1"/>
  <c r="AU254" i="1"/>
  <c r="AV254" i="1"/>
  <c r="AW254" i="1"/>
  <c r="AX254" i="1"/>
  <c r="AY254" i="1"/>
  <c r="AZ254" i="1"/>
  <c r="BA254" i="1"/>
  <c r="BB254" i="1"/>
  <c r="BC254" i="1"/>
  <c r="BD254" i="1"/>
  <c r="BE254" i="1"/>
  <c r="BF254" i="1"/>
  <c r="BG254" i="1"/>
  <c r="BH254" i="1"/>
  <c r="BI254" i="1"/>
  <c r="BJ254" i="1"/>
  <c r="BK254" i="1"/>
  <c r="BL254" i="1"/>
  <c r="BM254" i="1"/>
  <c r="BN254" i="1"/>
  <c r="BO254" i="1"/>
  <c r="BP254" i="1"/>
  <c r="BQ254" i="1"/>
  <c r="BR254" i="1"/>
  <c r="BS254" i="1"/>
  <c r="BT254" i="1"/>
  <c r="BU254" i="1"/>
  <c r="BV254" i="1"/>
  <c r="BW254" i="1"/>
  <c r="BX254" i="1"/>
  <c r="BY254" i="1"/>
  <c r="BZ254" i="1"/>
  <c r="CA254" i="1"/>
  <c r="CB254" i="1"/>
  <c r="CC254" i="1"/>
  <c r="CD254" i="1"/>
  <c r="A255" i="1"/>
  <c r="B255" i="1"/>
  <c r="C255" i="1"/>
  <c r="D255" i="1"/>
  <c r="E255" i="1"/>
  <c r="G255" i="1"/>
  <c r="J255" i="1"/>
  <c r="M255" i="1"/>
  <c r="P255" i="1"/>
  <c r="Q255" i="1"/>
  <c r="R255" i="1"/>
  <c r="H255" i="1" s="1"/>
  <c r="T255" i="1"/>
  <c r="U255" i="1"/>
  <c r="V255" i="1"/>
  <c r="W255" i="1"/>
  <c r="Z255" i="1"/>
  <c r="AA255" i="1"/>
  <c r="AC255" i="1"/>
  <c r="AE255" i="1"/>
  <c r="AH255" i="1"/>
  <c r="AQ255" i="1"/>
  <c r="AR255" i="1"/>
  <c r="AS255" i="1"/>
  <c r="AT255" i="1"/>
  <c r="AU255" i="1"/>
  <c r="AV255" i="1"/>
  <c r="AW255" i="1"/>
  <c r="AX255" i="1"/>
  <c r="AY255" i="1"/>
  <c r="AZ255" i="1"/>
  <c r="BA255" i="1"/>
  <c r="BB255" i="1"/>
  <c r="BC255" i="1"/>
  <c r="BD255" i="1"/>
  <c r="BE255" i="1"/>
  <c r="BF255" i="1"/>
  <c r="BG255" i="1"/>
  <c r="BH255" i="1"/>
  <c r="BI255" i="1"/>
  <c r="BJ255" i="1"/>
  <c r="BK255" i="1"/>
  <c r="BL255" i="1"/>
  <c r="BM255" i="1"/>
  <c r="BN255" i="1"/>
  <c r="BO255" i="1"/>
  <c r="BP255" i="1"/>
  <c r="BQ255" i="1"/>
  <c r="BR255" i="1"/>
  <c r="BS255" i="1"/>
  <c r="BT255" i="1"/>
  <c r="BU255" i="1"/>
  <c r="BV255" i="1"/>
  <c r="BW255" i="1"/>
  <c r="BX255" i="1"/>
  <c r="BY255" i="1"/>
  <c r="BZ255" i="1"/>
  <c r="CA255" i="1"/>
  <c r="CB255" i="1"/>
  <c r="CC255" i="1"/>
  <c r="CD255" i="1"/>
  <c r="A256" i="1"/>
  <c r="B256" i="1"/>
  <c r="C256" i="1"/>
  <c r="D256" i="1"/>
  <c r="E256" i="1"/>
  <c r="G256" i="1"/>
  <c r="J256" i="1"/>
  <c r="M256" i="1"/>
  <c r="P256" i="1"/>
  <c r="Q256" i="1"/>
  <c r="R256" i="1"/>
  <c r="H256" i="1" s="1"/>
  <c r="T256" i="1"/>
  <c r="U256" i="1"/>
  <c r="V256" i="1"/>
  <c r="W256" i="1"/>
  <c r="Z256" i="1"/>
  <c r="AA256" i="1"/>
  <c r="AC256" i="1"/>
  <c r="AE256" i="1"/>
  <c r="AH256" i="1"/>
  <c r="AQ256" i="1"/>
  <c r="AR256" i="1"/>
  <c r="AS256" i="1"/>
  <c r="AT256" i="1"/>
  <c r="AU256" i="1"/>
  <c r="AV256" i="1"/>
  <c r="AW256" i="1"/>
  <c r="AX256" i="1"/>
  <c r="AY256" i="1"/>
  <c r="AZ256" i="1"/>
  <c r="BA256" i="1"/>
  <c r="BB256" i="1"/>
  <c r="BC256" i="1"/>
  <c r="BD256" i="1"/>
  <c r="BE256" i="1"/>
  <c r="BF256" i="1"/>
  <c r="BG256" i="1"/>
  <c r="BH256" i="1"/>
  <c r="BI256" i="1"/>
  <c r="BJ256" i="1"/>
  <c r="BK256" i="1"/>
  <c r="BL256" i="1"/>
  <c r="BM256" i="1"/>
  <c r="BN256" i="1"/>
  <c r="BO256" i="1"/>
  <c r="BP256" i="1"/>
  <c r="BQ256" i="1"/>
  <c r="BR256" i="1"/>
  <c r="BS256" i="1"/>
  <c r="BT256" i="1"/>
  <c r="BU256" i="1"/>
  <c r="BV256" i="1"/>
  <c r="BW256" i="1"/>
  <c r="BX256" i="1"/>
  <c r="BY256" i="1"/>
  <c r="BZ256" i="1"/>
  <c r="CA256" i="1"/>
  <c r="CB256" i="1"/>
  <c r="CC256" i="1"/>
  <c r="CD256" i="1"/>
  <c r="A257" i="1"/>
  <c r="B257" i="1"/>
  <c r="C257" i="1"/>
  <c r="D257" i="1"/>
  <c r="E257" i="1"/>
  <c r="G257" i="1"/>
  <c r="J257" i="1"/>
  <c r="M257" i="1"/>
  <c r="P257" i="1"/>
  <c r="Q257" i="1"/>
  <c r="R257" i="1"/>
  <c r="H257" i="1" s="1"/>
  <c r="T257" i="1"/>
  <c r="U257" i="1"/>
  <c r="V257" i="1"/>
  <c r="W257" i="1"/>
  <c r="Z257" i="1"/>
  <c r="AA257" i="1"/>
  <c r="AC257" i="1"/>
  <c r="AE257" i="1"/>
  <c r="AH257" i="1"/>
  <c r="AQ257" i="1"/>
  <c r="AR257" i="1"/>
  <c r="AS257" i="1"/>
  <c r="AT257" i="1"/>
  <c r="AU257" i="1"/>
  <c r="AV257" i="1"/>
  <c r="AW257" i="1"/>
  <c r="AX257" i="1"/>
  <c r="AY257" i="1"/>
  <c r="AZ257" i="1"/>
  <c r="BA257" i="1"/>
  <c r="BB257" i="1"/>
  <c r="BC257" i="1"/>
  <c r="BD257" i="1"/>
  <c r="BE257" i="1"/>
  <c r="BF257" i="1"/>
  <c r="BG257" i="1"/>
  <c r="BH257" i="1"/>
  <c r="BI257" i="1"/>
  <c r="BJ257" i="1"/>
  <c r="BK257" i="1"/>
  <c r="BL257" i="1"/>
  <c r="BM257" i="1"/>
  <c r="BN257" i="1"/>
  <c r="BO257" i="1"/>
  <c r="BP257" i="1"/>
  <c r="BQ257" i="1"/>
  <c r="BR257" i="1"/>
  <c r="BS257" i="1"/>
  <c r="BT257" i="1"/>
  <c r="BU257" i="1"/>
  <c r="BV257" i="1"/>
  <c r="BW257" i="1"/>
  <c r="BX257" i="1"/>
  <c r="BY257" i="1"/>
  <c r="BZ257" i="1"/>
  <c r="CA257" i="1"/>
  <c r="CB257" i="1"/>
  <c r="CC257" i="1"/>
  <c r="CD257" i="1"/>
  <c r="A258" i="1"/>
  <c r="B258" i="1"/>
  <c r="C258" i="1"/>
  <c r="D258" i="1"/>
  <c r="E258" i="1"/>
  <c r="G258" i="1"/>
  <c r="J258" i="1"/>
  <c r="M258" i="1"/>
  <c r="P258" i="1"/>
  <c r="Q258" i="1"/>
  <c r="R258" i="1"/>
  <c r="H258" i="1" s="1"/>
  <c r="T258" i="1"/>
  <c r="U258" i="1"/>
  <c r="V258" i="1"/>
  <c r="W258" i="1"/>
  <c r="Z258" i="1"/>
  <c r="AA258" i="1"/>
  <c r="AC258" i="1"/>
  <c r="AE258" i="1"/>
  <c r="AH258" i="1"/>
  <c r="AQ258" i="1"/>
  <c r="AR258" i="1"/>
  <c r="AS258" i="1"/>
  <c r="AT258" i="1"/>
  <c r="AU258" i="1"/>
  <c r="AV258" i="1"/>
  <c r="AW258" i="1"/>
  <c r="AX258" i="1"/>
  <c r="AY258" i="1"/>
  <c r="AZ258" i="1"/>
  <c r="BA258" i="1"/>
  <c r="BB258" i="1"/>
  <c r="BC258" i="1"/>
  <c r="BD258" i="1"/>
  <c r="BE258" i="1"/>
  <c r="BF258" i="1"/>
  <c r="BG258" i="1"/>
  <c r="BH258" i="1"/>
  <c r="BI258" i="1"/>
  <c r="BJ258" i="1"/>
  <c r="BK258" i="1"/>
  <c r="BL258" i="1"/>
  <c r="BM258" i="1"/>
  <c r="BN258" i="1"/>
  <c r="BO258" i="1"/>
  <c r="BP258" i="1"/>
  <c r="BQ258" i="1"/>
  <c r="BR258" i="1"/>
  <c r="BS258" i="1"/>
  <c r="BT258" i="1"/>
  <c r="BU258" i="1"/>
  <c r="BV258" i="1"/>
  <c r="BW258" i="1"/>
  <c r="BX258" i="1"/>
  <c r="BY258" i="1"/>
  <c r="BZ258" i="1"/>
  <c r="CA258" i="1"/>
  <c r="CB258" i="1"/>
  <c r="CC258" i="1"/>
  <c r="CD258" i="1"/>
  <c r="A259" i="1"/>
  <c r="B259" i="1"/>
  <c r="C259" i="1"/>
  <c r="D259" i="1"/>
  <c r="E259" i="1"/>
  <c r="G259" i="1"/>
  <c r="J259" i="1"/>
  <c r="M259" i="1"/>
  <c r="P259" i="1"/>
  <c r="Q259" i="1"/>
  <c r="R259" i="1"/>
  <c r="H259" i="1" s="1"/>
  <c r="T259" i="1"/>
  <c r="U259" i="1"/>
  <c r="V259" i="1"/>
  <c r="W259" i="1"/>
  <c r="Z259" i="1"/>
  <c r="AA259" i="1"/>
  <c r="AC259" i="1"/>
  <c r="AE259" i="1"/>
  <c r="AH259" i="1"/>
  <c r="AQ259" i="1"/>
  <c r="AR259" i="1"/>
  <c r="AS259" i="1"/>
  <c r="AT259" i="1"/>
  <c r="AU259" i="1"/>
  <c r="AV259" i="1"/>
  <c r="AW259" i="1"/>
  <c r="AX259" i="1"/>
  <c r="AY259" i="1"/>
  <c r="AZ259" i="1"/>
  <c r="BA259" i="1"/>
  <c r="BB259" i="1"/>
  <c r="BC259" i="1"/>
  <c r="BD259" i="1"/>
  <c r="BE259" i="1"/>
  <c r="BF259" i="1"/>
  <c r="BG259" i="1"/>
  <c r="BH259" i="1"/>
  <c r="BI259" i="1"/>
  <c r="BJ259" i="1"/>
  <c r="BK259" i="1"/>
  <c r="BL259" i="1"/>
  <c r="BM259" i="1"/>
  <c r="BN259" i="1"/>
  <c r="BO259" i="1"/>
  <c r="BP259" i="1"/>
  <c r="BQ259" i="1"/>
  <c r="BR259" i="1"/>
  <c r="BS259" i="1"/>
  <c r="BT259" i="1"/>
  <c r="BU259" i="1"/>
  <c r="BV259" i="1"/>
  <c r="BW259" i="1"/>
  <c r="BX259" i="1"/>
  <c r="BY259" i="1"/>
  <c r="BZ259" i="1"/>
  <c r="CA259" i="1"/>
  <c r="CB259" i="1"/>
  <c r="CC259" i="1"/>
  <c r="CD259" i="1"/>
  <c r="A260" i="1"/>
  <c r="B260" i="1"/>
  <c r="C260" i="1"/>
  <c r="D260" i="1"/>
  <c r="E260" i="1"/>
  <c r="G260" i="1"/>
  <c r="J260" i="1"/>
  <c r="M260" i="1"/>
  <c r="P260" i="1"/>
  <c r="Q260" i="1"/>
  <c r="R260" i="1"/>
  <c r="H260" i="1" s="1"/>
  <c r="T260" i="1"/>
  <c r="U260" i="1"/>
  <c r="V260" i="1"/>
  <c r="W260" i="1"/>
  <c r="Z260" i="1"/>
  <c r="AA260" i="1"/>
  <c r="AC260" i="1"/>
  <c r="AE260" i="1"/>
  <c r="AH260" i="1"/>
  <c r="AQ260" i="1"/>
  <c r="AR260" i="1"/>
  <c r="AS260" i="1"/>
  <c r="AT260" i="1"/>
  <c r="AU260" i="1"/>
  <c r="AV260" i="1"/>
  <c r="AW260" i="1"/>
  <c r="AX260" i="1"/>
  <c r="AY260" i="1"/>
  <c r="AZ260" i="1"/>
  <c r="BA260" i="1"/>
  <c r="BB260" i="1"/>
  <c r="BC260" i="1"/>
  <c r="BD260" i="1"/>
  <c r="BE260" i="1"/>
  <c r="BF260" i="1"/>
  <c r="BG260" i="1"/>
  <c r="BH260" i="1"/>
  <c r="BI260" i="1"/>
  <c r="BJ260" i="1"/>
  <c r="BK260" i="1"/>
  <c r="BL260" i="1"/>
  <c r="BM260" i="1"/>
  <c r="BN260" i="1"/>
  <c r="BO260" i="1"/>
  <c r="BP260" i="1"/>
  <c r="BQ260" i="1"/>
  <c r="BR260" i="1"/>
  <c r="BS260" i="1"/>
  <c r="BT260" i="1"/>
  <c r="BU260" i="1"/>
  <c r="BV260" i="1"/>
  <c r="BW260" i="1"/>
  <c r="BX260" i="1"/>
  <c r="BY260" i="1"/>
  <c r="BZ260" i="1"/>
  <c r="CA260" i="1"/>
  <c r="CB260" i="1"/>
  <c r="CC260" i="1"/>
  <c r="CD260" i="1"/>
  <c r="A261" i="1"/>
  <c r="B261" i="1"/>
  <c r="C261" i="1"/>
  <c r="D261" i="1"/>
  <c r="E261" i="1"/>
  <c r="G261" i="1"/>
  <c r="J261" i="1"/>
  <c r="M261" i="1"/>
  <c r="P261" i="1"/>
  <c r="Q261" i="1"/>
  <c r="R261" i="1"/>
  <c r="H261" i="1" s="1"/>
  <c r="T261" i="1"/>
  <c r="U261" i="1"/>
  <c r="V261" i="1"/>
  <c r="W261" i="1"/>
  <c r="Z261" i="1"/>
  <c r="AA261" i="1"/>
  <c r="AC261" i="1"/>
  <c r="AE261" i="1"/>
  <c r="AH261" i="1"/>
  <c r="AQ261" i="1"/>
  <c r="AR261" i="1"/>
  <c r="AS261" i="1"/>
  <c r="AT261" i="1"/>
  <c r="AU261" i="1"/>
  <c r="AV261" i="1"/>
  <c r="AW261" i="1"/>
  <c r="AX261" i="1"/>
  <c r="AY261" i="1"/>
  <c r="AZ261" i="1"/>
  <c r="BA261" i="1"/>
  <c r="BB261" i="1"/>
  <c r="BC261" i="1"/>
  <c r="BD261" i="1"/>
  <c r="BE261" i="1"/>
  <c r="BF261" i="1"/>
  <c r="BG261" i="1"/>
  <c r="BH261" i="1"/>
  <c r="BI261" i="1"/>
  <c r="BJ261" i="1"/>
  <c r="BK261" i="1"/>
  <c r="BL261" i="1"/>
  <c r="BM261" i="1"/>
  <c r="BN261" i="1"/>
  <c r="BO261" i="1"/>
  <c r="BP261" i="1"/>
  <c r="BQ261" i="1"/>
  <c r="BR261" i="1"/>
  <c r="BS261" i="1"/>
  <c r="BT261" i="1"/>
  <c r="BU261" i="1"/>
  <c r="BV261" i="1"/>
  <c r="BW261" i="1"/>
  <c r="BX261" i="1"/>
  <c r="BY261" i="1"/>
  <c r="BZ261" i="1"/>
  <c r="CA261" i="1"/>
  <c r="CB261" i="1"/>
  <c r="CC261" i="1"/>
  <c r="CD261" i="1"/>
  <c r="A262" i="1"/>
  <c r="B262" i="1"/>
  <c r="C262" i="1"/>
  <c r="D262" i="1"/>
  <c r="E262" i="1"/>
  <c r="G262" i="1"/>
  <c r="J262" i="1"/>
  <c r="M262" i="1"/>
  <c r="P262" i="1"/>
  <c r="Q262" i="1"/>
  <c r="R262" i="1"/>
  <c r="H262" i="1" s="1"/>
  <c r="T262" i="1"/>
  <c r="U262" i="1"/>
  <c r="V262" i="1"/>
  <c r="W262" i="1"/>
  <c r="Z262" i="1"/>
  <c r="AA262" i="1"/>
  <c r="AC262" i="1"/>
  <c r="AE262" i="1"/>
  <c r="AH262" i="1"/>
  <c r="AQ262" i="1"/>
  <c r="AR262" i="1"/>
  <c r="AS262" i="1"/>
  <c r="AT262" i="1"/>
  <c r="AU262" i="1"/>
  <c r="AV262" i="1"/>
  <c r="AW262" i="1"/>
  <c r="AX262" i="1"/>
  <c r="AY262" i="1"/>
  <c r="AZ262" i="1"/>
  <c r="BA262" i="1"/>
  <c r="BB262" i="1"/>
  <c r="BC262" i="1"/>
  <c r="BD262" i="1"/>
  <c r="BE262" i="1"/>
  <c r="BF262" i="1"/>
  <c r="BG262" i="1"/>
  <c r="BH262" i="1"/>
  <c r="BI262" i="1"/>
  <c r="BJ262" i="1"/>
  <c r="BK262" i="1"/>
  <c r="BL262" i="1"/>
  <c r="BM262" i="1"/>
  <c r="BN262" i="1"/>
  <c r="BO262" i="1"/>
  <c r="BP262" i="1"/>
  <c r="BQ262" i="1"/>
  <c r="BR262" i="1"/>
  <c r="BS262" i="1"/>
  <c r="BT262" i="1"/>
  <c r="BU262" i="1"/>
  <c r="BV262" i="1"/>
  <c r="BW262" i="1"/>
  <c r="BX262" i="1"/>
  <c r="BY262" i="1"/>
  <c r="BZ262" i="1"/>
  <c r="CA262" i="1"/>
  <c r="CB262" i="1"/>
  <c r="CC262" i="1"/>
  <c r="CD262" i="1"/>
  <c r="A263" i="1"/>
  <c r="B263" i="1"/>
  <c r="C263" i="1"/>
  <c r="D263" i="1"/>
  <c r="E263" i="1"/>
  <c r="G263" i="1"/>
  <c r="J263" i="1"/>
  <c r="M263" i="1"/>
  <c r="P263" i="1"/>
  <c r="Q263" i="1"/>
  <c r="R263" i="1"/>
  <c r="H263" i="1" s="1"/>
  <c r="T263" i="1"/>
  <c r="U263" i="1"/>
  <c r="V263" i="1"/>
  <c r="W263" i="1"/>
  <c r="Z263" i="1"/>
  <c r="AA263" i="1"/>
  <c r="AC263" i="1"/>
  <c r="AE263" i="1"/>
  <c r="AH263" i="1"/>
  <c r="AQ263" i="1"/>
  <c r="AR263" i="1"/>
  <c r="AS263" i="1"/>
  <c r="AT263" i="1"/>
  <c r="AU263" i="1"/>
  <c r="AV263" i="1"/>
  <c r="AW263" i="1"/>
  <c r="AX263" i="1"/>
  <c r="AY263" i="1"/>
  <c r="AZ263" i="1"/>
  <c r="BA263" i="1"/>
  <c r="BB263" i="1"/>
  <c r="BC263" i="1"/>
  <c r="BD263" i="1"/>
  <c r="BE263" i="1"/>
  <c r="BF263" i="1"/>
  <c r="BG263" i="1"/>
  <c r="BH263" i="1"/>
  <c r="BI263" i="1"/>
  <c r="BJ263" i="1"/>
  <c r="BK263" i="1"/>
  <c r="BL263" i="1"/>
  <c r="BM263" i="1"/>
  <c r="BN263" i="1"/>
  <c r="BO263" i="1"/>
  <c r="BP263" i="1"/>
  <c r="BQ263" i="1"/>
  <c r="BR263" i="1"/>
  <c r="BS263" i="1"/>
  <c r="BT263" i="1"/>
  <c r="BU263" i="1"/>
  <c r="BV263" i="1"/>
  <c r="BW263" i="1"/>
  <c r="BX263" i="1"/>
  <c r="BY263" i="1"/>
  <c r="BZ263" i="1"/>
  <c r="CA263" i="1"/>
  <c r="CB263" i="1"/>
  <c r="CC263" i="1"/>
  <c r="CD263" i="1"/>
  <c r="A264" i="1"/>
  <c r="B264" i="1"/>
  <c r="C264" i="1"/>
  <c r="D264" i="1"/>
  <c r="E264" i="1"/>
  <c r="G264" i="1"/>
  <c r="I264" i="1"/>
  <c r="J264" i="1"/>
  <c r="M264" i="1"/>
  <c r="P264" i="1"/>
  <c r="F264" i="1" s="1"/>
  <c r="Q264" i="1"/>
  <c r="R264" i="1"/>
  <c r="H264" i="1" s="1"/>
  <c r="T264" i="1"/>
  <c r="U264" i="1"/>
  <c r="V264" i="1"/>
  <c r="W264" i="1"/>
  <c r="Z264" i="1"/>
  <c r="AA264" i="1"/>
  <c r="AC264" i="1"/>
  <c r="AE264" i="1"/>
  <c r="AH264" i="1"/>
  <c r="AQ264" i="1"/>
  <c r="AR264" i="1"/>
  <c r="AS264" i="1"/>
  <c r="AT264" i="1"/>
  <c r="AU264" i="1"/>
  <c r="AV264" i="1"/>
  <c r="AW264" i="1"/>
  <c r="AX264" i="1"/>
  <c r="AY264" i="1"/>
  <c r="AZ264" i="1"/>
  <c r="BA264" i="1"/>
  <c r="BB264" i="1"/>
  <c r="BC264" i="1"/>
  <c r="BD264" i="1"/>
  <c r="BE264" i="1"/>
  <c r="BF264" i="1"/>
  <c r="BG264" i="1"/>
  <c r="BH264" i="1"/>
  <c r="BI264" i="1"/>
  <c r="BJ264" i="1"/>
  <c r="BK264" i="1"/>
  <c r="BL264" i="1"/>
  <c r="BM264" i="1"/>
  <c r="BN264" i="1"/>
  <c r="BO264" i="1"/>
  <c r="BP264" i="1"/>
  <c r="BQ264" i="1"/>
  <c r="BR264" i="1"/>
  <c r="BS264" i="1"/>
  <c r="BT264" i="1"/>
  <c r="BU264" i="1"/>
  <c r="BV264" i="1"/>
  <c r="BW264" i="1"/>
  <c r="BX264" i="1"/>
  <c r="BY264" i="1"/>
  <c r="BZ264" i="1"/>
  <c r="CA264" i="1"/>
  <c r="CB264" i="1"/>
  <c r="CC264" i="1"/>
  <c r="CD264" i="1"/>
  <c r="A265" i="1"/>
  <c r="B265" i="1"/>
  <c r="C265" i="1"/>
  <c r="D265" i="1"/>
  <c r="E265" i="1"/>
  <c r="G265" i="1"/>
  <c r="J265" i="1"/>
  <c r="M265" i="1"/>
  <c r="P265" i="1"/>
  <c r="Q265" i="1"/>
  <c r="R265" i="1"/>
  <c r="H265" i="1" s="1"/>
  <c r="T265" i="1"/>
  <c r="U265" i="1"/>
  <c r="V265" i="1"/>
  <c r="W265" i="1"/>
  <c r="Z265" i="1"/>
  <c r="AA265" i="1"/>
  <c r="AC265" i="1"/>
  <c r="AE265" i="1"/>
  <c r="AH265" i="1"/>
  <c r="AQ265" i="1"/>
  <c r="AR265" i="1"/>
  <c r="AS265" i="1"/>
  <c r="AT265" i="1"/>
  <c r="AU265" i="1"/>
  <c r="AV265" i="1"/>
  <c r="AW265" i="1"/>
  <c r="AX265" i="1"/>
  <c r="AY265" i="1"/>
  <c r="AZ265" i="1"/>
  <c r="BA265" i="1"/>
  <c r="BB265" i="1"/>
  <c r="BC265" i="1"/>
  <c r="BD265" i="1"/>
  <c r="BE265" i="1"/>
  <c r="BF265" i="1"/>
  <c r="BG265" i="1"/>
  <c r="BH265" i="1"/>
  <c r="BI265" i="1"/>
  <c r="BJ265" i="1"/>
  <c r="BK265" i="1"/>
  <c r="BL265" i="1"/>
  <c r="BM265" i="1"/>
  <c r="BN265" i="1"/>
  <c r="BO265" i="1"/>
  <c r="BP265" i="1"/>
  <c r="BQ265" i="1"/>
  <c r="BR265" i="1"/>
  <c r="BS265" i="1"/>
  <c r="BT265" i="1"/>
  <c r="BU265" i="1"/>
  <c r="BV265" i="1"/>
  <c r="BW265" i="1"/>
  <c r="BX265" i="1"/>
  <c r="BY265" i="1"/>
  <c r="BZ265" i="1"/>
  <c r="CA265" i="1"/>
  <c r="CB265" i="1"/>
  <c r="CC265" i="1"/>
  <c r="CD265" i="1"/>
  <c r="A266" i="1"/>
  <c r="B266" i="1"/>
  <c r="C266" i="1"/>
  <c r="D266" i="1"/>
  <c r="E266" i="1"/>
  <c r="G266" i="1"/>
  <c r="I266" i="1"/>
  <c r="J266" i="1"/>
  <c r="M266" i="1"/>
  <c r="P266" i="1"/>
  <c r="F266" i="1" s="1"/>
  <c r="Q266" i="1"/>
  <c r="R266" i="1"/>
  <c r="H266" i="1" s="1"/>
  <c r="T266" i="1"/>
  <c r="U266" i="1"/>
  <c r="V266" i="1"/>
  <c r="W266" i="1"/>
  <c r="Z266" i="1"/>
  <c r="AA266" i="1"/>
  <c r="AC266" i="1"/>
  <c r="AE266" i="1"/>
  <c r="AH266" i="1"/>
  <c r="AQ266" i="1"/>
  <c r="AR266" i="1"/>
  <c r="AS266" i="1"/>
  <c r="AT266" i="1"/>
  <c r="AU266" i="1"/>
  <c r="AV266" i="1"/>
  <c r="AW266" i="1"/>
  <c r="AX266" i="1"/>
  <c r="AY266" i="1"/>
  <c r="AZ266" i="1"/>
  <c r="BA266" i="1"/>
  <c r="BB266" i="1"/>
  <c r="BC266" i="1"/>
  <c r="BD266" i="1"/>
  <c r="BE266" i="1"/>
  <c r="BF266" i="1"/>
  <c r="BG266" i="1"/>
  <c r="BH266" i="1"/>
  <c r="BI266" i="1"/>
  <c r="BJ266" i="1"/>
  <c r="BK266" i="1"/>
  <c r="BL266" i="1"/>
  <c r="BM266" i="1"/>
  <c r="BN266" i="1"/>
  <c r="BO266" i="1"/>
  <c r="BP266" i="1"/>
  <c r="BQ266" i="1"/>
  <c r="BR266" i="1"/>
  <c r="BS266" i="1"/>
  <c r="BT266" i="1"/>
  <c r="BU266" i="1"/>
  <c r="BV266" i="1"/>
  <c r="BW266" i="1"/>
  <c r="BX266" i="1"/>
  <c r="BY266" i="1"/>
  <c r="BZ266" i="1"/>
  <c r="CA266" i="1"/>
  <c r="CB266" i="1"/>
  <c r="CC266" i="1"/>
  <c r="CD266" i="1"/>
  <c r="A267" i="1"/>
  <c r="B267" i="1"/>
  <c r="C267" i="1"/>
  <c r="D267" i="1"/>
  <c r="E267" i="1"/>
  <c r="G267" i="1"/>
  <c r="J267" i="1"/>
  <c r="M267" i="1"/>
  <c r="P267" i="1"/>
  <c r="Q267" i="1"/>
  <c r="R267" i="1"/>
  <c r="H267" i="1" s="1"/>
  <c r="T267" i="1"/>
  <c r="U267" i="1"/>
  <c r="V267" i="1"/>
  <c r="W267" i="1"/>
  <c r="Z267" i="1"/>
  <c r="AA267" i="1"/>
  <c r="AC267" i="1"/>
  <c r="AE267" i="1"/>
  <c r="AH267" i="1"/>
  <c r="AQ267" i="1"/>
  <c r="AR267" i="1"/>
  <c r="AS267" i="1"/>
  <c r="AT267" i="1"/>
  <c r="AU267" i="1"/>
  <c r="AV267" i="1"/>
  <c r="AW267" i="1"/>
  <c r="AX267" i="1"/>
  <c r="AY267" i="1"/>
  <c r="AZ267" i="1"/>
  <c r="BA267" i="1"/>
  <c r="BB267" i="1"/>
  <c r="BC267" i="1"/>
  <c r="BD267" i="1"/>
  <c r="BE267" i="1"/>
  <c r="BF267" i="1"/>
  <c r="BG267" i="1"/>
  <c r="BH267" i="1"/>
  <c r="BI267" i="1"/>
  <c r="BJ267" i="1"/>
  <c r="BK267" i="1"/>
  <c r="BL267" i="1"/>
  <c r="BM267" i="1"/>
  <c r="BN267" i="1"/>
  <c r="BO267" i="1"/>
  <c r="BP267" i="1"/>
  <c r="BQ267" i="1"/>
  <c r="BR267" i="1"/>
  <c r="BS267" i="1"/>
  <c r="BT267" i="1"/>
  <c r="BU267" i="1"/>
  <c r="BV267" i="1"/>
  <c r="BW267" i="1"/>
  <c r="BX267" i="1"/>
  <c r="BY267" i="1"/>
  <c r="BZ267" i="1"/>
  <c r="CA267" i="1"/>
  <c r="CB267" i="1"/>
  <c r="CC267" i="1"/>
  <c r="CD267" i="1"/>
  <c r="A268" i="1"/>
  <c r="B268" i="1"/>
  <c r="C268" i="1"/>
  <c r="D268" i="1"/>
  <c r="E268" i="1"/>
  <c r="G268" i="1"/>
  <c r="I268" i="1"/>
  <c r="J268" i="1"/>
  <c r="M268" i="1"/>
  <c r="P268" i="1"/>
  <c r="F268" i="1" s="1"/>
  <c r="Q268" i="1"/>
  <c r="R268" i="1"/>
  <c r="H268" i="1" s="1"/>
  <c r="T268" i="1"/>
  <c r="U268" i="1"/>
  <c r="V268" i="1"/>
  <c r="W268" i="1"/>
  <c r="Z268" i="1"/>
  <c r="AA268" i="1"/>
  <c r="AC268" i="1"/>
  <c r="AE268" i="1"/>
  <c r="AH268" i="1"/>
  <c r="AQ268" i="1"/>
  <c r="AR268" i="1"/>
  <c r="AS268" i="1"/>
  <c r="AT268" i="1"/>
  <c r="AU268" i="1"/>
  <c r="AV268" i="1"/>
  <c r="AW268" i="1"/>
  <c r="AX268" i="1"/>
  <c r="AY268" i="1"/>
  <c r="AZ268" i="1"/>
  <c r="BA268" i="1"/>
  <c r="BB268" i="1"/>
  <c r="BC268" i="1"/>
  <c r="BD268" i="1"/>
  <c r="BE268" i="1"/>
  <c r="BF268" i="1"/>
  <c r="BG268" i="1"/>
  <c r="BH268" i="1"/>
  <c r="BI268" i="1"/>
  <c r="BJ268" i="1"/>
  <c r="BK268" i="1"/>
  <c r="BL268" i="1"/>
  <c r="BM268" i="1"/>
  <c r="BN268" i="1"/>
  <c r="BO268" i="1"/>
  <c r="BP268" i="1"/>
  <c r="BQ268" i="1"/>
  <c r="BR268" i="1"/>
  <c r="BS268" i="1"/>
  <c r="BT268" i="1"/>
  <c r="BU268" i="1"/>
  <c r="BV268" i="1"/>
  <c r="BW268" i="1"/>
  <c r="BX268" i="1"/>
  <c r="BY268" i="1"/>
  <c r="BZ268" i="1"/>
  <c r="CA268" i="1"/>
  <c r="CB268" i="1"/>
  <c r="CC268" i="1"/>
  <c r="CD268" i="1"/>
  <c r="A269" i="1"/>
  <c r="B269" i="1"/>
  <c r="C269" i="1"/>
  <c r="D269" i="1"/>
  <c r="E269" i="1"/>
  <c r="G269" i="1"/>
  <c r="I269" i="1"/>
  <c r="J269" i="1"/>
  <c r="M269" i="1"/>
  <c r="P269" i="1"/>
  <c r="F269" i="1" s="1"/>
  <c r="Q269" i="1"/>
  <c r="R269" i="1"/>
  <c r="H269" i="1" s="1"/>
  <c r="T269" i="1"/>
  <c r="U269" i="1"/>
  <c r="V269" i="1"/>
  <c r="W269" i="1"/>
  <c r="Z269" i="1"/>
  <c r="AA269" i="1"/>
  <c r="AC269" i="1"/>
  <c r="AE269" i="1"/>
  <c r="AH269" i="1"/>
  <c r="AQ269" i="1"/>
  <c r="AR269" i="1"/>
  <c r="AS269" i="1"/>
  <c r="AT269" i="1"/>
  <c r="AU269" i="1"/>
  <c r="AV269" i="1"/>
  <c r="AW269" i="1"/>
  <c r="AX269" i="1"/>
  <c r="AY269" i="1"/>
  <c r="AZ269" i="1"/>
  <c r="BA269" i="1"/>
  <c r="BB269" i="1"/>
  <c r="BC269" i="1"/>
  <c r="BD269" i="1"/>
  <c r="BE269" i="1"/>
  <c r="BF269" i="1"/>
  <c r="BG269" i="1"/>
  <c r="BH269" i="1"/>
  <c r="BI269" i="1"/>
  <c r="BJ269" i="1"/>
  <c r="BK269" i="1"/>
  <c r="BL269" i="1"/>
  <c r="BM269" i="1"/>
  <c r="BN269" i="1"/>
  <c r="BO269" i="1"/>
  <c r="BP269" i="1"/>
  <c r="BQ269" i="1"/>
  <c r="BR269" i="1"/>
  <c r="BS269" i="1"/>
  <c r="BT269" i="1"/>
  <c r="BU269" i="1"/>
  <c r="BV269" i="1"/>
  <c r="BW269" i="1"/>
  <c r="BX269" i="1"/>
  <c r="BY269" i="1"/>
  <c r="BZ269" i="1"/>
  <c r="CA269" i="1"/>
  <c r="CB269" i="1"/>
  <c r="CC269" i="1"/>
  <c r="CD269" i="1"/>
  <c r="A270" i="1"/>
  <c r="B270" i="1"/>
  <c r="C270" i="1"/>
  <c r="D270" i="1"/>
  <c r="E270" i="1"/>
  <c r="G270" i="1"/>
  <c r="J270" i="1"/>
  <c r="M270" i="1"/>
  <c r="P270" i="1"/>
  <c r="Q270" i="1"/>
  <c r="R270" i="1"/>
  <c r="H270" i="1" s="1"/>
  <c r="T270" i="1"/>
  <c r="U270" i="1"/>
  <c r="V270" i="1"/>
  <c r="W270" i="1"/>
  <c r="Z270" i="1"/>
  <c r="AA270" i="1"/>
  <c r="AC270" i="1"/>
  <c r="AE270" i="1"/>
  <c r="AH270" i="1"/>
  <c r="AQ270" i="1"/>
  <c r="AR270" i="1"/>
  <c r="AS270" i="1"/>
  <c r="AT270" i="1"/>
  <c r="AU270" i="1"/>
  <c r="AV270" i="1"/>
  <c r="AW270" i="1"/>
  <c r="AX270" i="1"/>
  <c r="AY270" i="1"/>
  <c r="AZ270" i="1"/>
  <c r="BA270" i="1"/>
  <c r="BB270" i="1"/>
  <c r="BC270" i="1"/>
  <c r="BD270" i="1"/>
  <c r="BE270" i="1"/>
  <c r="BF270" i="1"/>
  <c r="BG270" i="1"/>
  <c r="BH270" i="1"/>
  <c r="BI270" i="1"/>
  <c r="BJ270" i="1"/>
  <c r="BK270" i="1"/>
  <c r="BL270" i="1"/>
  <c r="BM270" i="1"/>
  <c r="BN270" i="1"/>
  <c r="BO270" i="1"/>
  <c r="BP270" i="1"/>
  <c r="BQ270" i="1"/>
  <c r="BR270" i="1"/>
  <c r="BS270" i="1"/>
  <c r="BT270" i="1"/>
  <c r="BU270" i="1"/>
  <c r="BV270" i="1"/>
  <c r="BW270" i="1"/>
  <c r="BX270" i="1"/>
  <c r="BY270" i="1"/>
  <c r="BZ270" i="1"/>
  <c r="CA270" i="1"/>
  <c r="CB270" i="1"/>
  <c r="CC270" i="1"/>
  <c r="CD270" i="1"/>
  <c r="A271" i="1"/>
  <c r="B271" i="1"/>
  <c r="C271" i="1"/>
  <c r="D271" i="1"/>
  <c r="E271" i="1"/>
  <c r="G271" i="1"/>
  <c r="J271" i="1"/>
  <c r="M271" i="1"/>
  <c r="P271" i="1"/>
  <c r="Q271" i="1"/>
  <c r="R271" i="1"/>
  <c r="H271" i="1" s="1"/>
  <c r="T271" i="1"/>
  <c r="U271" i="1"/>
  <c r="V271" i="1"/>
  <c r="W271" i="1"/>
  <c r="Z271" i="1"/>
  <c r="AA271" i="1"/>
  <c r="AC271" i="1"/>
  <c r="AE271" i="1"/>
  <c r="AH271" i="1"/>
  <c r="AQ271" i="1"/>
  <c r="AR271" i="1"/>
  <c r="AS271" i="1"/>
  <c r="AT271" i="1"/>
  <c r="AU271" i="1"/>
  <c r="AV271" i="1"/>
  <c r="AW271" i="1"/>
  <c r="AX271" i="1"/>
  <c r="AY271" i="1"/>
  <c r="AZ271" i="1"/>
  <c r="BA271" i="1"/>
  <c r="BB271" i="1"/>
  <c r="BC271" i="1"/>
  <c r="BD271" i="1"/>
  <c r="BE271" i="1"/>
  <c r="BF271" i="1"/>
  <c r="BG271" i="1"/>
  <c r="BH271" i="1"/>
  <c r="BI271" i="1"/>
  <c r="BJ271" i="1"/>
  <c r="BK271" i="1"/>
  <c r="BL271" i="1"/>
  <c r="BM271" i="1"/>
  <c r="BN271" i="1"/>
  <c r="BO271" i="1"/>
  <c r="BP271" i="1"/>
  <c r="BQ271" i="1"/>
  <c r="BR271" i="1"/>
  <c r="BS271" i="1"/>
  <c r="BT271" i="1"/>
  <c r="BU271" i="1"/>
  <c r="BV271" i="1"/>
  <c r="BW271" i="1"/>
  <c r="BX271" i="1"/>
  <c r="BY271" i="1"/>
  <c r="BZ271" i="1"/>
  <c r="CA271" i="1"/>
  <c r="CB271" i="1"/>
  <c r="CC271" i="1"/>
  <c r="CD271" i="1"/>
  <c r="A272" i="1"/>
  <c r="B272" i="1"/>
  <c r="C272" i="1"/>
  <c r="D272" i="1"/>
  <c r="E272" i="1"/>
  <c r="G272" i="1"/>
  <c r="J272" i="1"/>
  <c r="M272" i="1"/>
  <c r="P272" i="1"/>
  <c r="Q272" i="1"/>
  <c r="R272" i="1"/>
  <c r="H272" i="1" s="1"/>
  <c r="T272" i="1"/>
  <c r="U272" i="1"/>
  <c r="V272" i="1"/>
  <c r="W272" i="1"/>
  <c r="Z272" i="1"/>
  <c r="AA272" i="1"/>
  <c r="AC272" i="1"/>
  <c r="AE272" i="1"/>
  <c r="AH272" i="1"/>
  <c r="AQ272" i="1"/>
  <c r="AR272" i="1"/>
  <c r="AS272" i="1"/>
  <c r="AT272" i="1"/>
  <c r="AU272" i="1"/>
  <c r="AV272" i="1"/>
  <c r="AW272" i="1"/>
  <c r="AX272" i="1"/>
  <c r="AY272" i="1"/>
  <c r="AZ272" i="1"/>
  <c r="BA272" i="1"/>
  <c r="BB272" i="1"/>
  <c r="BC272" i="1"/>
  <c r="BD272" i="1"/>
  <c r="BE272" i="1"/>
  <c r="BF272" i="1"/>
  <c r="BG272" i="1"/>
  <c r="BH272" i="1"/>
  <c r="BI272" i="1"/>
  <c r="BJ272" i="1"/>
  <c r="BK272" i="1"/>
  <c r="BL272" i="1"/>
  <c r="BM272" i="1"/>
  <c r="BN272" i="1"/>
  <c r="BO272" i="1"/>
  <c r="BP272" i="1"/>
  <c r="BQ272" i="1"/>
  <c r="BR272" i="1"/>
  <c r="BS272" i="1"/>
  <c r="BT272" i="1"/>
  <c r="BU272" i="1"/>
  <c r="BV272" i="1"/>
  <c r="BW272" i="1"/>
  <c r="BX272" i="1"/>
  <c r="BY272" i="1"/>
  <c r="BZ272" i="1"/>
  <c r="CA272" i="1"/>
  <c r="CB272" i="1"/>
  <c r="CC272" i="1"/>
  <c r="CD272" i="1"/>
  <c r="A273" i="1"/>
  <c r="B273" i="1"/>
  <c r="C273" i="1"/>
  <c r="D273" i="1"/>
  <c r="E273" i="1"/>
  <c r="G273" i="1"/>
  <c r="I273" i="1"/>
  <c r="J273" i="1"/>
  <c r="M273" i="1"/>
  <c r="P273" i="1"/>
  <c r="F273" i="1" s="1"/>
  <c r="Q273" i="1"/>
  <c r="R273" i="1"/>
  <c r="H273" i="1" s="1"/>
  <c r="T273" i="1"/>
  <c r="U273" i="1"/>
  <c r="V273" i="1"/>
  <c r="W273" i="1"/>
  <c r="Z273" i="1"/>
  <c r="AA273" i="1"/>
  <c r="AC273" i="1"/>
  <c r="AE273" i="1"/>
  <c r="AH273" i="1"/>
  <c r="AQ273" i="1"/>
  <c r="AR273" i="1"/>
  <c r="AS273" i="1"/>
  <c r="AT273" i="1"/>
  <c r="AU273" i="1"/>
  <c r="AV273" i="1"/>
  <c r="AW273" i="1"/>
  <c r="AX273" i="1"/>
  <c r="AY273" i="1"/>
  <c r="AZ273" i="1"/>
  <c r="BA273" i="1"/>
  <c r="BB273" i="1"/>
  <c r="BC273" i="1"/>
  <c r="BD273" i="1"/>
  <c r="BE273" i="1"/>
  <c r="BF273" i="1"/>
  <c r="BG273" i="1"/>
  <c r="BH273" i="1"/>
  <c r="BI273" i="1"/>
  <c r="BJ273" i="1"/>
  <c r="BK273" i="1"/>
  <c r="BL273" i="1"/>
  <c r="BM273" i="1"/>
  <c r="BN273" i="1"/>
  <c r="BO273" i="1"/>
  <c r="BP273" i="1"/>
  <c r="BQ273" i="1"/>
  <c r="BR273" i="1"/>
  <c r="BS273" i="1"/>
  <c r="BT273" i="1"/>
  <c r="BU273" i="1"/>
  <c r="BV273" i="1"/>
  <c r="BW273" i="1"/>
  <c r="BX273" i="1"/>
  <c r="BY273" i="1"/>
  <c r="BZ273" i="1"/>
  <c r="CA273" i="1"/>
  <c r="CB273" i="1"/>
  <c r="CC273" i="1"/>
  <c r="CD273" i="1"/>
  <c r="A274" i="1"/>
  <c r="B274" i="1"/>
  <c r="C274" i="1"/>
  <c r="D274" i="1"/>
  <c r="E274" i="1"/>
  <c r="G274" i="1"/>
  <c r="J274" i="1"/>
  <c r="M274" i="1"/>
  <c r="P274" i="1"/>
  <c r="Q274" i="1"/>
  <c r="R274" i="1"/>
  <c r="H274" i="1" s="1"/>
  <c r="T274" i="1"/>
  <c r="U274" i="1"/>
  <c r="V274" i="1"/>
  <c r="W274" i="1"/>
  <c r="Z274" i="1"/>
  <c r="AA274" i="1"/>
  <c r="AC274" i="1"/>
  <c r="AE274" i="1"/>
  <c r="AH274" i="1"/>
  <c r="AQ274" i="1"/>
  <c r="AR274" i="1"/>
  <c r="AS274" i="1"/>
  <c r="AT274" i="1"/>
  <c r="AU274" i="1"/>
  <c r="AV274" i="1"/>
  <c r="AW274" i="1"/>
  <c r="AX274" i="1"/>
  <c r="AY274" i="1"/>
  <c r="AZ274" i="1"/>
  <c r="BA274" i="1"/>
  <c r="BB274" i="1"/>
  <c r="BC274" i="1"/>
  <c r="BD274" i="1"/>
  <c r="BE274" i="1"/>
  <c r="BF274" i="1"/>
  <c r="BG274" i="1"/>
  <c r="BH274" i="1"/>
  <c r="BI274" i="1"/>
  <c r="BJ274" i="1"/>
  <c r="BK274" i="1"/>
  <c r="BL274" i="1"/>
  <c r="BM274" i="1"/>
  <c r="BN274" i="1"/>
  <c r="BO274" i="1"/>
  <c r="BP274" i="1"/>
  <c r="BQ274" i="1"/>
  <c r="BR274" i="1"/>
  <c r="BS274" i="1"/>
  <c r="BT274" i="1"/>
  <c r="BU274" i="1"/>
  <c r="BV274" i="1"/>
  <c r="BW274" i="1"/>
  <c r="BX274" i="1"/>
  <c r="BY274" i="1"/>
  <c r="BZ274" i="1"/>
  <c r="CA274" i="1"/>
  <c r="CB274" i="1"/>
  <c r="CC274" i="1"/>
  <c r="CD274" i="1"/>
  <c r="A275" i="1"/>
  <c r="B275" i="1"/>
  <c r="C275" i="1"/>
  <c r="D275" i="1"/>
  <c r="E275" i="1"/>
  <c r="G275" i="1"/>
  <c r="J275" i="1"/>
  <c r="M275" i="1"/>
  <c r="P275" i="1"/>
  <c r="Q275" i="1"/>
  <c r="R275" i="1"/>
  <c r="H275" i="1" s="1"/>
  <c r="T275" i="1"/>
  <c r="U275" i="1"/>
  <c r="V275" i="1"/>
  <c r="W275" i="1"/>
  <c r="Z275" i="1"/>
  <c r="AA275" i="1"/>
  <c r="AC275" i="1"/>
  <c r="AE275" i="1"/>
  <c r="AH275" i="1"/>
  <c r="AQ275" i="1"/>
  <c r="AR275" i="1"/>
  <c r="AS275" i="1"/>
  <c r="AT275" i="1"/>
  <c r="AU275" i="1"/>
  <c r="AV275" i="1"/>
  <c r="AW275" i="1"/>
  <c r="AX275" i="1"/>
  <c r="AY275" i="1"/>
  <c r="AZ275" i="1"/>
  <c r="BA275" i="1"/>
  <c r="BB275" i="1"/>
  <c r="BC275" i="1"/>
  <c r="BD275" i="1"/>
  <c r="BE275" i="1"/>
  <c r="BF275" i="1"/>
  <c r="BG275" i="1"/>
  <c r="BH275" i="1"/>
  <c r="BI275" i="1"/>
  <c r="BJ275" i="1"/>
  <c r="BK275" i="1"/>
  <c r="BL275" i="1"/>
  <c r="BM275" i="1"/>
  <c r="BN275" i="1"/>
  <c r="BO275" i="1"/>
  <c r="BP275" i="1"/>
  <c r="BQ275" i="1"/>
  <c r="BR275" i="1"/>
  <c r="BS275" i="1"/>
  <c r="BT275" i="1"/>
  <c r="BU275" i="1"/>
  <c r="BV275" i="1"/>
  <c r="BW275" i="1"/>
  <c r="BX275" i="1"/>
  <c r="BY275" i="1"/>
  <c r="BZ275" i="1"/>
  <c r="CA275" i="1"/>
  <c r="CB275" i="1"/>
  <c r="CC275" i="1"/>
  <c r="CD275" i="1"/>
  <c r="A276" i="1"/>
  <c r="B276" i="1"/>
  <c r="C276" i="1"/>
  <c r="D276" i="1"/>
  <c r="E276" i="1"/>
  <c r="G276" i="1"/>
  <c r="J276" i="1"/>
  <c r="M276" i="1"/>
  <c r="P276" i="1"/>
  <c r="Q276" i="1"/>
  <c r="R276" i="1"/>
  <c r="H276" i="1" s="1"/>
  <c r="T276" i="1"/>
  <c r="U276" i="1"/>
  <c r="V276" i="1"/>
  <c r="W276" i="1"/>
  <c r="Z276" i="1"/>
  <c r="AA276" i="1"/>
  <c r="AC276" i="1"/>
  <c r="AE276" i="1"/>
  <c r="AH276" i="1"/>
  <c r="AQ276" i="1"/>
  <c r="AR276" i="1"/>
  <c r="AS276" i="1"/>
  <c r="AT276" i="1"/>
  <c r="AU276" i="1"/>
  <c r="AV276" i="1"/>
  <c r="AW276" i="1"/>
  <c r="AX276" i="1"/>
  <c r="AY276" i="1"/>
  <c r="AZ276" i="1"/>
  <c r="BA276" i="1"/>
  <c r="BB276" i="1"/>
  <c r="BC276" i="1"/>
  <c r="BD276" i="1"/>
  <c r="BE276" i="1"/>
  <c r="BF276" i="1"/>
  <c r="BG276" i="1"/>
  <c r="BH276" i="1"/>
  <c r="BI276" i="1"/>
  <c r="BJ276" i="1"/>
  <c r="BK276" i="1"/>
  <c r="BL276" i="1"/>
  <c r="BM276" i="1"/>
  <c r="BN276" i="1"/>
  <c r="BO276" i="1"/>
  <c r="BP276" i="1"/>
  <c r="BQ276" i="1"/>
  <c r="BR276" i="1"/>
  <c r="BS276" i="1"/>
  <c r="BT276" i="1"/>
  <c r="BU276" i="1"/>
  <c r="BV276" i="1"/>
  <c r="BW276" i="1"/>
  <c r="BX276" i="1"/>
  <c r="BY276" i="1"/>
  <c r="BZ276" i="1"/>
  <c r="CA276" i="1"/>
  <c r="CB276" i="1"/>
  <c r="CC276" i="1"/>
  <c r="CD276" i="1"/>
  <c r="A277" i="1"/>
  <c r="B277" i="1"/>
  <c r="C277" i="1"/>
  <c r="D277" i="1"/>
  <c r="E277" i="1"/>
  <c r="G277" i="1"/>
  <c r="J277" i="1"/>
  <c r="M277" i="1"/>
  <c r="P277" i="1"/>
  <c r="Q277" i="1"/>
  <c r="R277" i="1"/>
  <c r="H277" i="1" s="1"/>
  <c r="T277" i="1"/>
  <c r="U277" i="1"/>
  <c r="V277" i="1"/>
  <c r="W277" i="1"/>
  <c r="Z277" i="1"/>
  <c r="AA277" i="1"/>
  <c r="AC277" i="1"/>
  <c r="AE277" i="1"/>
  <c r="AH277" i="1"/>
  <c r="AQ277" i="1"/>
  <c r="AR277" i="1"/>
  <c r="AS277" i="1"/>
  <c r="AT277" i="1"/>
  <c r="AU277" i="1"/>
  <c r="AV277" i="1"/>
  <c r="AW277" i="1"/>
  <c r="AX277" i="1"/>
  <c r="AY277" i="1"/>
  <c r="AZ277" i="1"/>
  <c r="BA277" i="1"/>
  <c r="BB277" i="1"/>
  <c r="BC277" i="1"/>
  <c r="BD277" i="1"/>
  <c r="BE277" i="1"/>
  <c r="BF277" i="1"/>
  <c r="BG277" i="1"/>
  <c r="BH277" i="1"/>
  <c r="BI277" i="1"/>
  <c r="BJ277" i="1"/>
  <c r="BK277" i="1"/>
  <c r="BL277" i="1"/>
  <c r="BM277" i="1"/>
  <c r="BN277" i="1"/>
  <c r="BO277" i="1"/>
  <c r="BP277" i="1"/>
  <c r="BQ277" i="1"/>
  <c r="BR277" i="1"/>
  <c r="BS277" i="1"/>
  <c r="BT277" i="1"/>
  <c r="BU277" i="1"/>
  <c r="BV277" i="1"/>
  <c r="BW277" i="1"/>
  <c r="BX277" i="1"/>
  <c r="BY277" i="1"/>
  <c r="BZ277" i="1"/>
  <c r="CA277" i="1"/>
  <c r="CB277" i="1"/>
  <c r="CC277" i="1"/>
  <c r="CD277" i="1"/>
  <c r="A278" i="1"/>
  <c r="B278" i="1"/>
  <c r="C278" i="1"/>
  <c r="D278" i="1"/>
  <c r="E278" i="1"/>
  <c r="G278" i="1"/>
  <c r="J278" i="1"/>
  <c r="M278" i="1"/>
  <c r="P278" i="1"/>
  <c r="Q278" i="1"/>
  <c r="R278" i="1"/>
  <c r="H278" i="1" s="1"/>
  <c r="T278" i="1"/>
  <c r="U278" i="1"/>
  <c r="V278" i="1"/>
  <c r="W278" i="1"/>
  <c r="Z278" i="1"/>
  <c r="AA278" i="1"/>
  <c r="AC278" i="1"/>
  <c r="AE278" i="1"/>
  <c r="AH278" i="1"/>
  <c r="AQ278" i="1"/>
  <c r="AR278" i="1"/>
  <c r="AS278" i="1"/>
  <c r="AT278" i="1"/>
  <c r="AU278" i="1"/>
  <c r="AV278" i="1"/>
  <c r="AW278" i="1"/>
  <c r="AX278" i="1"/>
  <c r="AY278" i="1"/>
  <c r="AZ278" i="1"/>
  <c r="BA278" i="1"/>
  <c r="BB278" i="1"/>
  <c r="BC278" i="1"/>
  <c r="BD278" i="1"/>
  <c r="BE278" i="1"/>
  <c r="BF278" i="1"/>
  <c r="BG278" i="1"/>
  <c r="BH278" i="1"/>
  <c r="BI278" i="1"/>
  <c r="BJ278" i="1"/>
  <c r="BK278" i="1"/>
  <c r="BL278" i="1"/>
  <c r="BM278" i="1"/>
  <c r="BN278" i="1"/>
  <c r="BO278" i="1"/>
  <c r="BP278" i="1"/>
  <c r="BQ278" i="1"/>
  <c r="BR278" i="1"/>
  <c r="BS278" i="1"/>
  <c r="BT278" i="1"/>
  <c r="BU278" i="1"/>
  <c r="BV278" i="1"/>
  <c r="BW278" i="1"/>
  <c r="BX278" i="1"/>
  <c r="BY278" i="1"/>
  <c r="BZ278" i="1"/>
  <c r="CA278" i="1"/>
  <c r="CB278" i="1"/>
  <c r="CC278" i="1"/>
  <c r="CD278" i="1"/>
  <c r="A279" i="1"/>
  <c r="B279" i="1"/>
  <c r="C279" i="1"/>
  <c r="D279" i="1"/>
  <c r="E279" i="1"/>
  <c r="G279" i="1"/>
  <c r="I279" i="1"/>
  <c r="J279" i="1"/>
  <c r="M279" i="1"/>
  <c r="P279" i="1"/>
  <c r="F279" i="1" s="1"/>
  <c r="Q279" i="1"/>
  <c r="R279" i="1"/>
  <c r="H279" i="1" s="1"/>
  <c r="T279" i="1"/>
  <c r="U279" i="1"/>
  <c r="V279" i="1"/>
  <c r="W279" i="1"/>
  <c r="Z279" i="1"/>
  <c r="AA279" i="1"/>
  <c r="AC279" i="1"/>
  <c r="AE279" i="1"/>
  <c r="AH279" i="1"/>
  <c r="AQ279" i="1"/>
  <c r="AR279" i="1"/>
  <c r="AS279" i="1"/>
  <c r="AT279" i="1"/>
  <c r="AU279" i="1"/>
  <c r="AV279" i="1"/>
  <c r="AW279" i="1"/>
  <c r="AX279" i="1"/>
  <c r="AY279" i="1"/>
  <c r="AZ279" i="1"/>
  <c r="BA279" i="1"/>
  <c r="BB279" i="1"/>
  <c r="BC279" i="1"/>
  <c r="BD279" i="1"/>
  <c r="BE279" i="1"/>
  <c r="BF279" i="1"/>
  <c r="BG279" i="1"/>
  <c r="BH279" i="1"/>
  <c r="BI279" i="1"/>
  <c r="BJ279" i="1"/>
  <c r="BK279" i="1"/>
  <c r="BL279" i="1"/>
  <c r="BM279" i="1"/>
  <c r="BN279" i="1"/>
  <c r="BO279" i="1"/>
  <c r="BP279" i="1"/>
  <c r="BQ279" i="1"/>
  <c r="BR279" i="1"/>
  <c r="BS279" i="1"/>
  <c r="BT279" i="1"/>
  <c r="BU279" i="1"/>
  <c r="BV279" i="1"/>
  <c r="BW279" i="1"/>
  <c r="BX279" i="1"/>
  <c r="BY279" i="1"/>
  <c r="BZ279" i="1"/>
  <c r="CA279" i="1"/>
  <c r="CB279" i="1"/>
  <c r="CC279" i="1"/>
  <c r="CD279" i="1"/>
  <c r="A280" i="1"/>
  <c r="B280" i="1"/>
  <c r="C280" i="1"/>
  <c r="D280" i="1"/>
  <c r="E280" i="1"/>
  <c r="G280" i="1"/>
  <c r="J280" i="1"/>
  <c r="M280" i="1"/>
  <c r="P280" i="1"/>
  <c r="Q280" i="1"/>
  <c r="R280" i="1"/>
  <c r="H280" i="1" s="1"/>
  <c r="T280" i="1"/>
  <c r="U280" i="1"/>
  <c r="V280" i="1"/>
  <c r="W280" i="1"/>
  <c r="Z280" i="1"/>
  <c r="AA280" i="1"/>
  <c r="AC280" i="1"/>
  <c r="AE280" i="1"/>
  <c r="AH280" i="1"/>
  <c r="AQ280" i="1"/>
  <c r="AR280" i="1"/>
  <c r="AS280" i="1"/>
  <c r="AT280" i="1"/>
  <c r="AU280" i="1"/>
  <c r="AV280" i="1"/>
  <c r="AW280" i="1"/>
  <c r="AX280" i="1"/>
  <c r="AY280" i="1"/>
  <c r="AZ280" i="1"/>
  <c r="BA280" i="1"/>
  <c r="BB280" i="1"/>
  <c r="BC280" i="1"/>
  <c r="BD280" i="1"/>
  <c r="BE280" i="1"/>
  <c r="BF280" i="1"/>
  <c r="BG280" i="1"/>
  <c r="BH280" i="1"/>
  <c r="BI280" i="1"/>
  <c r="BJ280" i="1"/>
  <c r="BK280" i="1"/>
  <c r="BL280" i="1"/>
  <c r="BM280" i="1"/>
  <c r="BN280" i="1"/>
  <c r="BO280" i="1"/>
  <c r="BP280" i="1"/>
  <c r="BQ280" i="1"/>
  <c r="BR280" i="1"/>
  <c r="BS280" i="1"/>
  <c r="BT280" i="1"/>
  <c r="BU280" i="1"/>
  <c r="BV280" i="1"/>
  <c r="BW280" i="1"/>
  <c r="BX280" i="1"/>
  <c r="BY280" i="1"/>
  <c r="BZ280" i="1"/>
  <c r="CA280" i="1"/>
  <c r="CB280" i="1"/>
  <c r="CC280" i="1"/>
  <c r="CD280" i="1"/>
  <c r="A281" i="1"/>
  <c r="B281" i="1"/>
  <c r="C281" i="1"/>
  <c r="D281" i="1"/>
  <c r="E281" i="1"/>
  <c r="G281" i="1"/>
  <c r="J281" i="1"/>
  <c r="M281" i="1"/>
  <c r="P281" i="1"/>
  <c r="Q281" i="1"/>
  <c r="R281" i="1"/>
  <c r="H281" i="1" s="1"/>
  <c r="T281" i="1"/>
  <c r="U281" i="1"/>
  <c r="V281" i="1"/>
  <c r="W281" i="1"/>
  <c r="Z281" i="1"/>
  <c r="AA281" i="1"/>
  <c r="AC281" i="1"/>
  <c r="AE281" i="1"/>
  <c r="AH281" i="1"/>
  <c r="AQ281" i="1"/>
  <c r="AR281" i="1"/>
  <c r="AS281" i="1"/>
  <c r="AT281" i="1"/>
  <c r="AU281" i="1"/>
  <c r="AV281" i="1"/>
  <c r="AW281" i="1"/>
  <c r="AX281" i="1"/>
  <c r="AY281" i="1"/>
  <c r="AZ281" i="1"/>
  <c r="BA281" i="1"/>
  <c r="BB281" i="1"/>
  <c r="BC281" i="1"/>
  <c r="BD281" i="1"/>
  <c r="BE281" i="1"/>
  <c r="BF281" i="1"/>
  <c r="BG281" i="1"/>
  <c r="BH281" i="1"/>
  <c r="BI281" i="1"/>
  <c r="BJ281" i="1"/>
  <c r="BK281" i="1"/>
  <c r="BL281" i="1"/>
  <c r="BM281" i="1"/>
  <c r="BN281" i="1"/>
  <c r="BO281" i="1"/>
  <c r="BP281" i="1"/>
  <c r="BQ281" i="1"/>
  <c r="BR281" i="1"/>
  <c r="BS281" i="1"/>
  <c r="BT281" i="1"/>
  <c r="BU281" i="1"/>
  <c r="BV281" i="1"/>
  <c r="BW281" i="1"/>
  <c r="BX281" i="1"/>
  <c r="BY281" i="1"/>
  <c r="BZ281" i="1"/>
  <c r="CA281" i="1"/>
  <c r="CB281" i="1"/>
  <c r="CC281" i="1"/>
  <c r="CD281" i="1"/>
  <c r="A282" i="1"/>
  <c r="B282" i="1"/>
  <c r="C282" i="1"/>
  <c r="D282" i="1"/>
  <c r="E282" i="1"/>
  <c r="G282" i="1"/>
  <c r="J282" i="1"/>
  <c r="M282" i="1"/>
  <c r="P282" i="1"/>
  <c r="Q282" i="1"/>
  <c r="R282" i="1"/>
  <c r="T282" i="1"/>
  <c r="U282" i="1"/>
  <c r="V282" i="1"/>
  <c r="W282" i="1"/>
  <c r="Z282" i="1"/>
  <c r="AA282" i="1"/>
  <c r="AC282" i="1"/>
  <c r="AE282" i="1"/>
  <c r="AH282" i="1"/>
  <c r="AQ282" i="1"/>
  <c r="AR282" i="1"/>
  <c r="AS282" i="1"/>
  <c r="AT282" i="1"/>
  <c r="AU282" i="1"/>
  <c r="AV282" i="1"/>
  <c r="AW282" i="1"/>
  <c r="AX282" i="1"/>
  <c r="AY282" i="1"/>
  <c r="AZ282" i="1"/>
  <c r="BA282" i="1"/>
  <c r="BB282" i="1"/>
  <c r="BC282" i="1"/>
  <c r="BD282" i="1"/>
  <c r="BE282" i="1"/>
  <c r="BF282" i="1"/>
  <c r="BG282" i="1"/>
  <c r="BH282" i="1"/>
  <c r="BI282" i="1"/>
  <c r="BJ282" i="1"/>
  <c r="BK282" i="1"/>
  <c r="BL282" i="1"/>
  <c r="BM282" i="1"/>
  <c r="BN282" i="1"/>
  <c r="BO282" i="1"/>
  <c r="BP282" i="1"/>
  <c r="BQ282" i="1"/>
  <c r="BR282" i="1"/>
  <c r="BS282" i="1"/>
  <c r="BT282" i="1"/>
  <c r="BU282" i="1"/>
  <c r="BV282" i="1"/>
  <c r="BW282" i="1"/>
  <c r="BX282" i="1"/>
  <c r="BY282" i="1"/>
  <c r="BZ282" i="1"/>
  <c r="CA282" i="1"/>
  <c r="CB282" i="1"/>
  <c r="CC282" i="1"/>
  <c r="CD282" i="1"/>
  <c r="A283" i="1"/>
  <c r="B283" i="1"/>
  <c r="I283" i="1" s="1"/>
  <c r="C283" i="1"/>
  <c r="D283" i="1"/>
  <c r="E283" i="1"/>
  <c r="G283" i="1"/>
  <c r="J283" i="1"/>
  <c r="M283" i="1"/>
  <c r="P283" i="1"/>
  <c r="F283" i="1" s="1"/>
  <c r="Q283" i="1"/>
  <c r="R283" i="1"/>
  <c r="H283" i="1" s="1"/>
  <c r="T283" i="1"/>
  <c r="U283" i="1"/>
  <c r="V283" i="1"/>
  <c r="W283" i="1"/>
  <c r="Z283" i="1"/>
  <c r="AA283" i="1"/>
  <c r="AC283" i="1"/>
  <c r="AE283" i="1"/>
  <c r="AH283" i="1"/>
  <c r="AQ283" i="1"/>
  <c r="AR283" i="1"/>
  <c r="AS283" i="1"/>
  <c r="AT283" i="1"/>
  <c r="AU283" i="1"/>
  <c r="AV283" i="1"/>
  <c r="AW283" i="1"/>
  <c r="AX283" i="1"/>
  <c r="AY283" i="1"/>
  <c r="AZ283" i="1"/>
  <c r="BA283" i="1"/>
  <c r="BB283" i="1"/>
  <c r="BC283" i="1"/>
  <c r="BD283" i="1"/>
  <c r="BE283" i="1"/>
  <c r="BF283" i="1"/>
  <c r="BG283" i="1"/>
  <c r="BH283" i="1"/>
  <c r="BI283" i="1"/>
  <c r="BJ283" i="1"/>
  <c r="BK283" i="1"/>
  <c r="BL283" i="1"/>
  <c r="BM283" i="1"/>
  <c r="BN283" i="1"/>
  <c r="BO283" i="1"/>
  <c r="BP283" i="1"/>
  <c r="BQ283" i="1"/>
  <c r="BR283" i="1"/>
  <c r="BS283" i="1"/>
  <c r="BT283" i="1"/>
  <c r="BU283" i="1"/>
  <c r="BV283" i="1"/>
  <c r="BW283" i="1"/>
  <c r="BX283" i="1"/>
  <c r="BY283" i="1"/>
  <c r="BZ283" i="1"/>
  <c r="CA283" i="1"/>
  <c r="CB283" i="1"/>
  <c r="CC283" i="1"/>
  <c r="CD283" i="1"/>
  <c r="A284" i="1"/>
  <c r="B284" i="1"/>
  <c r="C284" i="1"/>
  <c r="D284" i="1"/>
  <c r="E284" i="1"/>
  <c r="G284" i="1"/>
  <c r="J284" i="1"/>
  <c r="M284" i="1"/>
  <c r="P284" i="1"/>
  <c r="Q284" i="1"/>
  <c r="R284" i="1"/>
  <c r="T284" i="1"/>
  <c r="U284" i="1"/>
  <c r="V284" i="1"/>
  <c r="W284" i="1"/>
  <c r="Z284" i="1"/>
  <c r="AA284" i="1"/>
  <c r="AC284" i="1"/>
  <c r="AE284" i="1"/>
  <c r="AH284" i="1"/>
  <c r="AQ284" i="1"/>
  <c r="AR284" i="1"/>
  <c r="AS284" i="1"/>
  <c r="AT284" i="1"/>
  <c r="AU284" i="1"/>
  <c r="AV284" i="1"/>
  <c r="AW284" i="1"/>
  <c r="AX284" i="1"/>
  <c r="AY284" i="1"/>
  <c r="AZ284" i="1"/>
  <c r="BA284" i="1"/>
  <c r="BB284" i="1"/>
  <c r="BC284" i="1"/>
  <c r="BD284" i="1"/>
  <c r="BE284" i="1"/>
  <c r="BF284" i="1"/>
  <c r="BG284" i="1"/>
  <c r="BH284" i="1"/>
  <c r="BI284" i="1"/>
  <c r="BJ284" i="1"/>
  <c r="BK284" i="1"/>
  <c r="BL284" i="1"/>
  <c r="BM284" i="1"/>
  <c r="BN284" i="1"/>
  <c r="BO284" i="1"/>
  <c r="BP284" i="1"/>
  <c r="BQ284" i="1"/>
  <c r="BR284" i="1"/>
  <c r="BS284" i="1"/>
  <c r="BT284" i="1"/>
  <c r="BU284" i="1"/>
  <c r="BV284" i="1"/>
  <c r="BW284" i="1"/>
  <c r="BX284" i="1"/>
  <c r="BY284" i="1"/>
  <c r="BZ284" i="1"/>
  <c r="CA284" i="1"/>
  <c r="CB284" i="1"/>
  <c r="CC284" i="1"/>
  <c r="CD284" i="1"/>
  <c r="A285" i="1"/>
  <c r="B285" i="1"/>
  <c r="C285" i="1"/>
  <c r="D285" i="1"/>
  <c r="E285" i="1"/>
  <c r="G285" i="1"/>
  <c r="J285" i="1"/>
  <c r="M285" i="1"/>
  <c r="P285" i="1"/>
  <c r="Q285" i="1"/>
  <c r="R285" i="1"/>
  <c r="H285" i="1" s="1"/>
  <c r="T285" i="1"/>
  <c r="U285" i="1"/>
  <c r="V285" i="1"/>
  <c r="W285" i="1"/>
  <c r="Z285" i="1"/>
  <c r="AA285" i="1"/>
  <c r="AC285" i="1"/>
  <c r="AE285" i="1"/>
  <c r="AH285" i="1"/>
  <c r="AQ285" i="1"/>
  <c r="AR285" i="1"/>
  <c r="AS285" i="1"/>
  <c r="AT285" i="1"/>
  <c r="AU285" i="1"/>
  <c r="AV285" i="1"/>
  <c r="AW285" i="1"/>
  <c r="AX285" i="1"/>
  <c r="AY285" i="1"/>
  <c r="AZ285" i="1"/>
  <c r="BA285" i="1"/>
  <c r="BB285" i="1"/>
  <c r="BC285" i="1"/>
  <c r="BD285" i="1"/>
  <c r="BE285" i="1"/>
  <c r="BF285" i="1"/>
  <c r="BG285" i="1"/>
  <c r="BH285" i="1"/>
  <c r="BI285" i="1"/>
  <c r="BJ285" i="1"/>
  <c r="BK285" i="1"/>
  <c r="BL285" i="1"/>
  <c r="BM285" i="1"/>
  <c r="BN285" i="1"/>
  <c r="BO285" i="1"/>
  <c r="BP285" i="1"/>
  <c r="BQ285" i="1"/>
  <c r="BR285" i="1"/>
  <c r="BS285" i="1"/>
  <c r="BT285" i="1"/>
  <c r="BU285" i="1"/>
  <c r="BV285" i="1"/>
  <c r="BW285" i="1"/>
  <c r="BX285" i="1"/>
  <c r="BY285" i="1"/>
  <c r="BZ285" i="1"/>
  <c r="CA285" i="1"/>
  <c r="CB285" i="1"/>
  <c r="CC285" i="1"/>
  <c r="CD285" i="1"/>
  <c r="A286" i="1"/>
  <c r="B286" i="1"/>
  <c r="C286" i="1"/>
  <c r="D286" i="1"/>
  <c r="E286" i="1"/>
  <c r="G286" i="1"/>
  <c r="I286" i="1"/>
  <c r="J286" i="1"/>
  <c r="M286" i="1"/>
  <c r="P286" i="1"/>
  <c r="F286" i="1" s="1"/>
  <c r="Q286" i="1"/>
  <c r="R286" i="1"/>
  <c r="H286" i="1" s="1"/>
  <c r="T286" i="1"/>
  <c r="U286" i="1"/>
  <c r="V286" i="1"/>
  <c r="W286" i="1"/>
  <c r="Z286" i="1"/>
  <c r="AA286" i="1"/>
  <c r="AC286" i="1"/>
  <c r="AE286" i="1"/>
  <c r="AH286" i="1"/>
  <c r="AQ286" i="1"/>
  <c r="AR286" i="1"/>
  <c r="AS286" i="1"/>
  <c r="AT286" i="1"/>
  <c r="AU286" i="1"/>
  <c r="AV286" i="1"/>
  <c r="AW286" i="1"/>
  <c r="AX286" i="1"/>
  <c r="AY286" i="1"/>
  <c r="AZ286" i="1"/>
  <c r="BA286" i="1"/>
  <c r="BB286" i="1"/>
  <c r="BC286" i="1"/>
  <c r="BD286" i="1"/>
  <c r="BE286" i="1"/>
  <c r="BF286" i="1"/>
  <c r="BG286" i="1"/>
  <c r="BH286" i="1"/>
  <c r="BI286" i="1"/>
  <c r="BJ286" i="1"/>
  <c r="BK286" i="1"/>
  <c r="BL286" i="1"/>
  <c r="BM286" i="1"/>
  <c r="BN286" i="1"/>
  <c r="BO286" i="1"/>
  <c r="BP286" i="1"/>
  <c r="BQ286" i="1"/>
  <c r="BR286" i="1"/>
  <c r="BS286" i="1"/>
  <c r="BT286" i="1"/>
  <c r="BU286" i="1"/>
  <c r="BV286" i="1"/>
  <c r="BW286" i="1"/>
  <c r="BX286" i="1"/>
  <c r="BY286" i="1"/>
  <c r="BZ286" i="1"/>
  <c r="CA286" i="1"/>
  <c r="CB286" i="1"/>
  <c r="CC286" i="1"/>
  <c r="CD286" i="1"/>
  <c r="A287" i="1"/>
  <c r="B287" i="1"/>
  <c r="C287" i="1"/>
  <c r="D287" i="1"/>
  <c r="E287" i="1"/>
  <c r="G287" i="1"/>
  <c r="J287" i="1"/>
  <c r="M287" i="1"/>
  <c r="P287" i="1"/>
  <c r="Q287" i="1"/>
  <c r="R287" i="1"/>
  <c r="T287" i="1"/>
  <c r="U287" i="1"/>
  <c r="V287" i="1"/>
  <c r="W287" i="1"/>
  <c r="Z287" i="1"/>
  <c r="AA287" i="1"/>
  <c r="AC287" i="1"/>
  <c r="AE287" i="1"/>
  <c r="AH287" i="1"/>
  <c r="AQ287" i="1"/>
  <c r="AR287" i="1"/>
  <c r="AS287" i="1"/>
  <c r="AT287" i="1"/>
  <c r="AU287" i="1"/>
  <c r="AV287" i="1"/>
  <c r="AW287" i="1"/>
  <c r="AX287" i="1"/>
  <c r="AY287" i="1"/>
  <c r="AZ287" i="1"/>
  <c r="BA287" i="1"/>
  <c r="BB287" i="1"/>
  <c r="BC287" i="1"/>
  <c r="BD287" i="1"/>
  <c r="BE287" i="1"/>
  <c r="BF287" i="1"/>
  <c r="BG287" i="1"/>
  <c r="BH287" i="1"/>
  <c r="BI287" i="1"/>
  <c r="BJ287" i="1"/>
  <c r="BK287" i="1"/>
  <c r="BL287" i="1"/>
  <c r="BM287" i="1"/>
  <c r="BN287" i="1"/>
  <c r="BO287" i="1"/>
  <c r="BP287" i="1"/>
  <c r="BQ287" i="1"/>
  <c r="BR287" i="1"/>
  <c r="BS287" i="1"/>
  <c r="BT287" i="1"/>
  <c r="BU287" i="1"/>
  <c r="BV287" i="1"/>
  <c r="BW287" i="1"/>
  <c r="BX287" i="1"/>
  <c r="BY287" i="1"/>
  <c r="BZ287" i="1"/>
  <c r="CA287" i="1"/>
  <c r="CB287" i="1"/>
  <c r="CC287" i="1"/>
  <c r="CD287" i="1"/>
  <c r="A288" i="1"/>
  <c r="B288" i="1"/>
  <c r="C288" i="1"/>
  <c r="D288" i="1"/>
  <c r="E288" i="1"/>
  <c r="G288" i="1"/>
  <c r="I288" i="1"/>
  <c r="J288" i="1"/>
  <c r="M288" i="1"/>
  <c r="P288" i="1"/>
  <c r="F288" i="1" s="1"/>
  <c r="Q288" i="1"/>
  <c r="R288" i="1"/>
  <c r="H288" i="1" s="1"/>
  <c r="T288" i="1"/>
  <c r="U288" i="1"/>
  <c r="V288" i="1"/>
  <c r="W288" i="1"/>
  <c r="Z288" i="1"/>
  <c r="AA288" i="1"/>
  <c r="AC288" i="1"/>
  <c r="AE288" i="1"/>
  <c r="AH288" i="1"/>
  <c r="AQ288" i="1"/>
  <c r="AR288" i="1"/>
  <c r="AS288" i="1"/>
  <c r="AT288" i="1"/>
  <c r="AU288" i="1"/>
  <c r="AV288" i="1"/>
  <c r="AW288" i="1"/>
  <c r="AX288" i="1"/>
  <c r="AY288" i="1"/>
  <c r="AZ288" i="1"/>
  <c r="BA288" i="1"/>
  <c r="BB288" i="1"/>
  <c r="BC288" i="1"/>
  <c r="BD288" i="1"/>
  <c r="BE288" i="1"/>
  <c r="BF288" i="1"/>
  <c r="BG288" i="1"/>
  <c r="BH288" i="1"/>
  <c r="BI288" i="1"/>
  <c r="BJ288" i="1"/>
  <c r="BK288" i="1"/>
  <c r="BL288" i="1"/>
  <c r="BM288" i="1"/>
  <c r="BN288" i="1"/>
  <c r="BO288" i="1"/>
  <c r="BP288" i="1"/>
  <c r="BQ288" i="1"/>
  <c r="BR288" i="1"/>
  <c r="BS288" i="1"/>
  <c r="BT288" i="1"/>
  <c r="BU288" i="1"/>
  <c r="BV288" i="1"/>
  <c r="BW288" i="1"/>
  <c r="BX288" i="1"/>
  <c r="BY288" i="1"/>
  <c r="BZ288" i="1"/>
  <c r="CA288" i="1"/>
  <c r="CB288" i="1"/>
  <c r="CC288" i="1"/>
  <c r="CD288" i="1"/>
  <c r="A289" i="1"/>
  <c r="B289" i="1"/>
  <c r="C289" i="1"/>
  <c r="D289" i="1"/>
  <c r="E289" i="1"/>
  <c r="G289" i="1"/>
  <c r="J289" i="1"/>
  <c r="M289" i="1"/>
  <c r="P289" i="1"/>
  <c r="Q289" i="1"/>
  <c r="R289" i="1"/>
  <c r="H289" i="1" s="1"/>
  <c r="T289" i="1"/>
  <c r="U289" i="1"/>
  <c r="V289" i="1"/>
  <c r="W289" i="1"/>
  <c r="Z289" i="1"/>
  <c r="AA289" i="1"/>
  <c r="AC289" i="1"/>
  <c r="AE289" i="1"/>
  <c r="AH289" i="1"/>
  <c r="AQ289" i="1"/>
  <c r="AR289" i="1"/>
  <c r="AS289" i="1"/>
  <c r="AT289" i="1"/>
  <c r="AU289" i="1"/>
  <c r="AV289" i="1"/>
  <c r="AW289" i="1"/>
  <c r="AX289" i="1"/>
  <c r="AY289" i="1"/>
  <c r="AZ289" i="1"/>
  <c r="BA289" i="1"/>
  <c r="BB289" i="1"/>
  <c r="BC289" i="1"/>
  <c r="BD289" i="1"/>
  <c r="BE289" i="1"/>
  <c r="BF289" i="1"/>
  <c r="BG289" i="1"/>
  <c r="BH289" i="1"/>
  <c r="BI289" i="1"/>
  <c r="BJ289" i="1"/>
  <c r="BK289" i="1"/>
  <c r="BL289" i="1"/>
  <c r="BM289" i="1"/>
  <c r="BN289" i="1"/>
  <c r="BO289" i="1"/>
  <c r="BP289" i="1"/>
  <c r="BQ289" i="1"/>
  <c r="BR289" i="1"/>
  <c r="BS289" i="1"/>
  <c r="BT289" i="1"/>
  <c r="BU289" i="1"/>
  <c r="BV289" i="1"/>
  <c r="BW289" i="1"/>
  <c r="BX289" i="1"/>
  <c r="BY289" i="1"/>
  <c r="BZ289" i="1"/>
  <c r="CA289" i="1"/>
  <c r="CB289" i="1"/>
  <c r="CC289" i="1"/>
  <c r="CD289" i="1"/>
  <c r="A290" i="1"/>
  <c r="B290" i="1"/>
  <c r="C290" i="1"/>
  <c r="D290" i="1"/>
  <c r="E290" i="1"/>
  <c r="G290" i="1"/>
  <c r="J290" i="1"/>
  <c r="M290" i="1"/>
  <c r="P290" i="1"/>
  <c r="Q290" i="1"/>
  <c r="R290" i="1"/>
  <c r="H290" i="1" s="1"/>
  <c r="T290" i="1"/>
  <c r="U290" i="1"/>
  <c r="V290" i="1"/>
  <c r="W290" i="1"/>
  <c r="Z290" i="1"/>
  <c r="AA290" i="1"/>
  <c r="AC290" i="1"/>
  <c r="AE290" i="1"/>
  <c r="AH290" i="1"/>
  <c r="AQ290" i="1"/>
  <c r="AR290" i="1"/>
  <c r="AS290" i="1"/>
  <c r="AT290" i="1"/>
  <c r="AU290" i="1"/>
  <c r="AV290" i="1"/>
  <c r="AW290" i="1"/>
  <c r="AX290" i="1"/>
  <c r="AY290" i="1"/>
  <c r="AZ290" i="1"/>
  <c r="BA290" i="1"/>
  <c r="BB290" i="1"/>
  <c r="BC290" i="1"/>
  <c r="BD290" i="1"/>
  <c r="BE290" i="1"/>
  <c r="BF290" i="1"/>
  <c r="BG290" i="1"/>
  <c r="BH290" i="1"/>
  <c r="BI290" i="1"/>
  <c r="BJ290" i="1"/>
  <c r="BK290" i="1"/>
  <c r="BL290" i="1"/>
  <c r="BM290" i="1"/>
  <c r="BN290" i="1"/>
  <c r="BO290" i="1"/>
  <c r="BP290" i="1"/>
  <c r="BQ290" i="1"/>
  <c r="BR290" i="1"/>
  <c r="BS290" i="1"/>
  <c r="BT290" i="1"/>
  <c r="BU290" i="1"/>
  <c r="BV290" i="1"/>
  <c r="BW290" i="1"/>
  <c r="BX290" i="1"/>
  <c r="BY290" i="1"/>
  <c r="BZ290" i="1"/>
  <c r="CA290" i="1"/>
  <c r="CB290" i="1"/>
  <c r="CC290" i="1"/>
  <c r="CD290" i="1"/>
  <c r="A291" i="1"/>
  <c r="B291" i="1"/>
  <c r="C291" i="1"/>
  <c r="D291" i="1"/>
  <c r="E291" i="1"/>
  <c r="G291" i="1"/>
  <c r="J291" i="1"/>
  <c r="M291" i="1"/>
  <c r="P291" i="1"/>
  <c r="Q291" i="1"/>
  <c r="R291" i="1"/>
  <c r="H291" i="1" s="1"/>
  <c r="T291" i="1"/>
  <c r="U291" i="1"/>
  <c r="V291" i="1"/>
  <c r="W291" i="1"/>
  <c r="Z291" i="1"/>
  <c r="AA291" i="1"/>
  <c r="AC291" i="1"/>
  <c r="AE291" i="1"/>
  <c r="AH291" i="1"/>
  <c r="AQ291" i="1"/>
  <c r="AR291" i="1"/>
  <c r="AS291" i="1"/>
  <c r="AT291" i="1"/>
  <c r="AU291" i="1"/>
  <c r="AV291" i="1"/>
  <c r="AW291" i="1"/>
  <c r="AX291" i="1"/>
  <c r="AY291" i="1"/>
  <c r="AZ291" i="1"/>
  <c r="BA291" i="1"/>
  <c r="BB291" i="1"/>
  <c r="BC291" i="1"/>
  <c r="BD291" i="1"/>
  <c r="BE291" i="1"/>
  <c r="BF291" i="1"/>
  <c r="BG291" i="1"/>
  <c r="BH291" i="1"/>
  <c r="BI291" i="1"/>
  <c r="BJ291" i="1"/>
  <c r="BK291" i="1"/>
  <c r="BL291" i="1"/>
  <c r="BM291" i="1"/>
  <c r="BN291" i="1"/>
  <c r="BO291" i="1"/>
  <c r="BP291" i="1"/>
  <c r="BQ291" i="1"/>
  <c r="BR291" i="1"/>
  <c r="BS291" i="1"/>
  <c r="BT291" i="1"/>
  <c r="BU291" i="1"/>
  <c r="BV291" i="1"/>
  <c r="BW291" i="1"/>
  <c r="BX291" i="1"/>
  <c r="BY291" i="1"/>
  <c r="BZ291" i="1"/>
  <c r="CA291" i="1"/>
  <c r="CB291" i="1"/>
  <c r="CC291" i="1"/>
  <c r="CD291" i="1"/>
  <c r="A292" i="1"/>
  <c r="B292" i="1"/>
  <c r="C292" i="1"/>
  <c r="D292" i="1"/>
  <c r="E292" i="1"/>
  <c r="G292" i="1"/>
  <c r="J292" i="1"/>
  <c r="M292" i="1"/>
  <c r="P292" i="1"/>
  <c r="Q292" i="1"/>
  <c r="R292" i="1"/>
  <c r="H292" i="1" s="1"/>
  <c r="T292" i="1"/>
  <c r="U292" i="1"/>
  <c r="V292" i="1"/>
  <c r="W292" i="1"/>
  <c r="Z292" i="1"/>
  <c r="AA292" i="1"/>
  <c r="AC292" i="1"/>
  <c r="AE292" i="1"/>
  <c r="AH292" i="1"/>
  <c r="AQ292" i="1"/>
  <c r="AR292" i="1"/>
  <c r="AS292" i="1"/>
  <c r="AT292" i="1"/>
  <c r="AU292" i="1"/>
  <c r="AV292" i="1"/>
  <c r="AW292" i="1"/>
  <c r="AX292" i="1"/>
  <c r="AY292" i="1"/>
  <c r="AZ292" i="1"/>
  <c r="BA292" i="1"/>
  <c r="BB292" i="1"/>
  <c r="BC292" i="1"/>
  <c r="BD292" i="1"/>
  <c r="BE292" i="1"/>
  <c r="BF292" i="1"/>
  <c r="BG292" i="1"/>
  <c r="BH292" i="1"/>
  <c r="BI292" i="1"/>
  <c r="BJ292" i="1"/>
  <c r="BK292" i="1"/>
  <c r="BL292" i="1"/>
  <c r="BM292" i="1"/>
  <c r="BN292" i="1"/>
  <c r="BO292" i="1"/>
  <c r="BP292" i="1"/>
  <c r="BQ292" i="1"/>
  <c r="BR292" i="1"/>
  <c r="BS292" i="1"/>
  <c r="BT292" i="1"/>
  <c r="BU292" i="1"/>
  <c r="BV292" i="1"/>
  <c r="BW292" i="1"/>
  <c r="BX292" i="1"/>
  <c r="BY292" i="1"/>
  <c r="BZ292" i="1"/>
  <c r="CA292" i="1"/>
  <c r="CB292" i="1"/>
  <c r="CC292" i="1"/>
  <c r="CD292" i="1"/>
  <c r="A293" i="1"/>
  <c r="B293" i="1"/>
  <c r="C293" i="1"/>
  <c r="D293" i="1"/>
  <c r="E293" i="1"/>
  <c r="G293" i="1"/>
  <c r="J293" i="1"/>
  <c r="M293" i="1"/>
  <c r="P293" i="1"/>
  <c r="Q293" i="1"/>
  <c r="R293" i="1"/>
  <c r="H293" i="1" s="1"/>
  <c r="T293" i="1"/>
  <c r="U293" i="1"/>
  <c r="V293" i="1"/>
  <c r="W293" i="1"/>
  <c r="Z293" i="1"/>
  <c r="AA293" i="1"/>
  <c r="AC293" i="1"/>
  <c r="AE293" i="1"/>
  <c r="AH293" i="1"/>
  <c r="AQ293" i="1"/>
  <c r="AR293" i="1"/>
  <c r="AS293" i="1"/>
  <c r="AT293" i="1"/>
  <c r="AU293" i="1"/>
  <c r="AV293" i="1"/>
  <c r="AW293" i="1"/>
  <c r="AX293" i="1"/>
  <c r="AY293" i="1"/>
  <c r="AZ293" i="1"/>
  <c r="BA293" i="1"/>
  <c r="BB293" i="1"/>
  <c r="BC293" i="1"/>
  <c r="BD293" i="1"/>
  <c r="BE293" i="1"/>
  <c r="BF293" i="1"/>
  <c r="BG293" i="1"/>
  <c r="BH293" i="1"/>
  <c r="BI293" i="1"/>
  <c r="BJ293" i="1"/>
  <c r="BK293" i="1"/>
  <c r="BL293" i="1"/>
  <c r="BM293" i="1"/>
  <c r="BN293" i="1"/>
  <c r="BO293" i="1"/>
  <c r="BP293" i="1"/>
  <c r="BQ293" i="1"/>
  <c r="BR293" i="1"/>
  <c r="BS293" i="1"/>
  <c r="BT293" i="1"/>
  <c r="BU293" i="1"/>
  <c r="BV293" i="1"/>
  <c r="BW293" i="1"/>
  <c r="BX293" i="1"/>
  <c r="BY293" i="1"/>
  <c r="BZ293" i="1"/>
  <c r="CA293" i="1"/>
  <c r="CB293" i="1"/>
  <c r="CC293" i="1"/>
  <c r="CD293" i="1"/>
  <c r="A294" i="1"/>
  <c r="B294" i="1"/>
  <c r="C294" i="1"/>
  <c r="D294" i="1"/>
  <c r="E294" i="1"/>
  <c r="G294" i="1"/>
  <c r="J294" i="1"/>
  <c r="M294" i="1"/>
  <c r="P294" i="1"/>
  <c r="Q294" i="1"/>
  <c r="R294" i="1"/>
  <c r="T294" i="1"/>
  <c r="U294" i="1"/>
  <c r="V294" i="1"/>
  <c r="W294" i="1"/>
  <c r="Z294" i="1"/>
  <c r="AA294" i="1"/>
  <c r="AC294" i="1"/>
  <c r="AE294" i="1"/>
  <c r="AH294" i="1"/>
  <c r="AQ294" i="1"/>
  <c r="AR294" i="1"/>
  <c r="AS294" i="1"/>
  <c r="AT294" i="1"/>
  <c r="AU294" i="1"/>
  <c r="AV294" i="1"/>
  <c r="AW294" i="1"/>
  <c r="AX294" i="1"/>
  <c r="AY294" i="1"/>
  <c r="AZ294" i="1"/>
  <c r="BA294" i="1"/>
  <c r="BB294" i="1"/>
  <c r="BC294" i="1"/>
  <c r="BD294" i="1"/>
  <c r="BE294" i="1"/>
  <c r="BF294" i="1"/>
  <c r="BG294" i="1"/>
  <c r="BH294" i="1"/>
  <c r="BI294" i="1"/>
  <c r="BJ294" i="1"/>
  <c r="BK294" i="1"/>
  <c r="BL294" i="1"/>
  <c r="BM294" i="1"/>
  <c r="BN294" i="1"/>
  <c r="BO294" i="1"/>
  <c r="BP294" i="1"/>
  <c r="BQ294" i="1"/>
  <c r="BR294" i="1"/>
  <c r="BS294" i="1"/>
  <c r="BT294" i="1"/>
  <c r="BU294" i="1"/>
  <c r="BV294" i="1"/>
  <c r="BW294" i="1"/>
  <c r="BX294" i="1"/>
  <c r="BY294" i="1"/>
  <c r="BZ294" i="1"/>
  <c r="CA294" i="1"/>
  <c r="CB294" i="1"/>
  <c r="CC294" i="1"/>
  <c r="CD294" i="1"/>
  <c r="A295" i="1"/>
  <c r="B295" i="1"/>
  <c r="C295" i="1"/>
  <c r="D295" i="1"/>
  <c r="E295" i="1"/>
  <c r="G295" i="1"/>
  <c r="J295" i="1"/>
  <c r="M295" i="1"/>
  <c r="P295" i="1"/>
  <c r="Q295" i="1"/>
  <c r="R295" i="1"/>
  <c r="H295" i="1" s="1"/>
  <c r="T295" i="1"/>
  <c r="U295" i="1"/>
  <c r="V295" i="1"/>
  <c r="W295" i="1"/>
  <c r="Z295" i="1"/>
  <c r="AA295" i="1"/>
  <c r="AC295" i="1"/>
  <c r="AE295" i="1"/>
  <c r="AH295" i="1"/>
  <c r="AQ295" i="1"/>
  <c r="AR295" i="1"/>
  <c r="AS295" i="1"/>
  <c r="AT295" i="1"/>
  <c r="AU295" i="1"/>
  <c r="AV295" i="1"/>
  <c r="AW295" i="1"/>
  <c r="AX295" i="1"/>
  <c r="AY295" i="1"/>
  <c r="AZ295" i="1"/>
  <c r="BA295" i="1"/>
  <c r="BB295" i="1"/>
  <c r="BC295" i="1"/>
  <c r="BD295" i="1"/>
  <c r="BE295" i="1"/>
  <c r="BF295" i="1"/>
  <c r="BG295" i="1"/>
  <c r="BH295" i="1"/>
  <c r="BI295" i="1"/>
  <c r="BJ295" i="1"/>
  <c r="BK295" i="1"/>
  <c r="BL295" i="1"/>
  <c r="BM295" i="1"/>
  <c r="BN295" i="1"/>
  <c r="BO295" i="1"/>
  <c r="BP295" i="1"/>
  <c r="BQ295" i="1"/>
  <c r="BR295" i="1"/>
  <c r="BS295" i="1"/>
  <c r="BT295" i="1"/>
  <c r="BU295" i="1"/>
  <c r="BV295" i="1"/>
  <c r="BW295" i="1"/>
  <c r="BX295" i="1"/>
  <c r="BY295" i="1"/>
  <c r="BZ295" i="1"/>
  <c r="CA295" i="1"/>
  <c r="CB295" i="1"/>
  <c r="CC295" i="1"/>
  <c r="CD295" i="1"/>
  <c r="A296" i="1"/>
  <c r="B296" i="1"/>
  <c r="C296" i="1"/>
  <c r="D296" i="1"/>
  <c r="E296" i="1"/>
  <c r="G296" i="1"/>
  <c r="J296" i="1"/>
  <c r="M296" i="1"/>
  <c r="P296" i="1"/>
  <c r="Q296" i="1"/>
  <c r="R296" i="1"/>
  <c r="H296" i="1" s="1"/>
  <c r="T296" i="1"/>
  <c r="U296" i="1"/>
  <c r="V296" i="1"/>
  <c r="W296" i="1"/>
  <c r="Z296" i="1"/>
  <c r="AA296" i="1"/>
  <c r="AC296" i="1"/>
  <c r="AE296" i="1"/>
  <c r="AH296" i="1"/>
  <c r="AQ296" i="1"/>
  <c r="AR296" i="1"/>
  <c r="AS296" i="1"/>
  <c r="AT296" i="1"/>
  <c r="AU296" i="1"/>
  <c r="AV296" i="1"/>
  <c r="AW296" i="1"/>
  <c r="AX296" i="1"/>
  <c r="AY296" i="1"/>
  <c r="AZ296" i="1"/>
  <c r="BA296" i="1"/>
  <c r="BB296" i="1"/>
  <c r="BC296" i="1"/>
  <c r="BD296" i="1"/>
  <c r="BE296" i="1"/>
  <c r="BF296" i="1"/>
  <c r="BG296" i="1"/>
  <c r="BH296" i="1"/>
  <c r="BI296" i="1"/>
  <c r="BJ296" i="1"/>
  <c r="BK296" i="1"/>
  <c r="BL296" i="1"/>
  <c r="BM296" i="1"/>
  <c r="BN296" i="1"/>
  <c r="BO296" i="1"/>
  <c r="BP296" i="1"/>
  <c r="BQ296" i="1"/>
  <c r="BR296" i="1"/>
  <c r="BS296" i="1"/>
  <c r="BT296" i="1"/>
  <c r="BU296" i="1"/>
  <c r="BV296" i="1"/>
  <c r="BW296" i="1"/>
  <c r="BX296" i="1"/>
  <c r="BY296" i="1"/>
  <c r="BZ296" i="1"/>
  <c r="CA296" i="1"/>
  <c r="CB296" i="1"/>
  <c r="CC296" i="1"/>
  <c r="CD296" i="1"/>
  <c r="A297" i="1"/>
  <c r="B297" i="1"/>
  <c r="C297" i="1"/>
  <c r="D297" i="1"/>
  <c r="E297" i="1"/>
  <c r="G297" i="1"/>
  <c r="J297" i="1"/>
  <c r="M297" i="1"/>
  <c r="P297" i="1"/>
  <c r="Q297" i="1"/>
  <c r="R297" i="1"/>
  <c r="H297" i="1" s="1"/>
  <c r="T297" i="1"/>
  <c r="U297" i="1"/>
  <c r="V297" i="1"/>
  <c r="W297" i="1"/>
  <c r="Z297" i="1"/>
  <c r="AA297" i="1"/>
  <c r="AC297" i="1"/>
  <c r="AE297" i="1"/>
  <c r="AH297" i="1"/>
  <c r="AQ297" i="1"/>
  <c r="AR297" i="1"/>
  <c r="AS297" i="1"/>
  <c r="AT297" i="1"/>
  <c r="AU297" i="1"/>
  <c r="AV297" i="1"/>
  <c r="AW297" i="1"/>
  <c r="AX297" i="1"/>
  <c r="AY297" i="1"/>
  <c r="AZ297" i="1"/>
  <c r="BA297" i="1"/>
  <c r="BB297" i="1"/>
  <c r="BC297" i="1"/>
  <c r="BD297" i="1"/>
  <c r="BE297" i="1"/>
  <c r="BF297" i="1"/>
  <c r="BG297" i="1"/>
  <c r="BH297" i="1"/>
  <c r="BI297" i="1"/>
  <c r="BJ297" i="1"/>
  <c r="BK297" i="1"/>
  <c r="BL297" i="1"/>
  <c r="BM297" i="1"/>
  <c r="BN297" i="1"/>
  <c r="BO297" i="1"/>
  <c r="BP297" i="1"/>
  <c r="BQ297" i="1"/>
  <c r="BR297" i="1"/>
  <c r="BS297" i="1"/>
  <c r="BT297" i="1"/>
  <c r="BU297" i="1"/>
  <c r="BV297" i="1"/>
  <c r="BW297" i="1"/>
  <c r="BX297" i="1"/>
  <c r="BY297" i="1"/>
  <c r="BZ297" i="1"/>
  <c r="CA297" i="1"/>
  <c r="CB297" i="1"/>
  <c r="CC297" i="1"/>
  <c r="CD297" i="1"/>
  <c r="A298" i="1"/>
  <c r="B298" i="1"/>
  <c r="C298" i="1"/>
  <c r="D298" i="1"/>
  <c r="E298" i="1"/>
  <c r="G298" i="1"/>
  <c r="J298" i="1"/>
  <c r="M298" i="1"/>
  <c r="P298" i="1"/>
  <c r="Q298" i="1"/>
  <c r="R298" i="1"/>
  <c r="H298" i="1" s="1"/>
  <c r="T298" i="1"/>
  <c r="U298" i="1"/>
  <c r="V298" i="1"/>
  <c r="W298" i="1"/>
  <c r="Z298" i="1"/>
  <c r="AA298" i="1"/>
  <c r="AC298" i="1"/>
  <c r="AE298" i="1"/>
  <c r="AH298" i="1"/>
  <c r="AQ298" i="1"/>
  <c r="AR298" i="1"/>
  <c r="AS298" i="1"/>
  <c r="AT298" i="1"/>
  <c r="AU298" i="1"/>
  <c r="AV298" i="1"/>
  <c r="AW298" i="1"/>
  <c r="AX298" i="1"/>
  <c r="AY298" i="1"/>
  <c r="AZ298" i="1"/>
  <c r="BA298" i="1"/>
  <c r="BB298" i="1"/>
  <c r="BC298" i="1"/>
  <c r="BD298" i="1"/>
  <c r="BE298" i="1"/>
  <c r="BF298" i="1"/>
  <c r="BG298" i="1"/>
  <c r="BH298" i="1"/>
  <c r="BI298" i="1"/>
  <c r="BJ298" i="1"/>
  <c r="BK298" i="1"/>
  <c r="BL298" i="1"/>
  <c r="BM298" i="1"/>
  <c r="BN298" i="1"/>
  <c r="BO298" i="1"/>
  <c r="BP298" i="1"/>
  <c r="BQ298" i="1"/>
  <c r="BR298" i="1"/>
  <c r="BS298" i="1"/>
  <c r="BT298" i="1"/>
  <c r="BU298" i="1"/>
  <c r="BV298" i="1"/>
  <c r="BW298" i="1"/>
  <c r="BX298" i="1"/>
  <c r="BY298" i="1"/>
  <c r="BZ298" i="1"/>
  <c r="CA298" i="1"/>
  <c r="CB298" i="1"/>
  <c r="CC298" i="1"/>
  <c r="CD298" i="1"/>
  <c r="A299" i="1"/>
  <c r="B299" i="1"/>
  <c r="C299" i="1"/>
  <c r="D299" i="1"/>
  <c r="E299" i="1"/>
  <c r="G299" i="1"/>
  <c r="J299" i="1"/>
  <c r="M299" i="1"/>
  <c r="P299" i="1"/>
  <c r="Q299" i="1"/>
  <c r="R299" i="1"/>
  <c r="H299" i="1" s="1"/>
  <c r="T299" i="1"/>
  <c r="U299" i="1"/>
  <c r="V299" i="1"/>
  <c r="W299" i="1"/>
  <c r="Z299" i="1"/>
  <c r="AA299" i="1"/>
  <c r="AC299" i="1"/>
  <c r="AE299" i="1"/>
  <c r="AH299" i="1"/>
  <c r="AQ299" i="1"/>
  <c r="AR299" i="1"/>
  <c r="AS299" i="1"/>
  <c r="AT299" i="1"/>
  <c r="AU299" i="1"/>
  <c r="AV299" i="1"/>
  <c r="AW299" i="1"/>
  <c r="AX299" i="1"/>
  <c r="AY299" i="1"/>
  <c r="AZ299" i="1"/>
  <c r="BA299" i="1"/>
  <c r="BB299" i="1"/>
  <c r="BC299" i="1"/>
  <c r="BD299" i="1"/>
  <c r="BE299" i="1"/>
  <c r="BF299" i="1"/>
  <c r="BG299" i="1"/>
  <c r="BH299" i="1"/>
  <c r="BI299" i="1"/>
  <c r="BJ299" i="1"/>
  <c r="BK299" i="1"/>
  <c r="BL299" i="1"/>
  <c r="BM299" i="1"/>
  <c r="BN299" i="1"/>
  <c r="BO299" i="1"/>
  <c r="BP299" i="1"/>
  <c r="BQ299" i="1"/>
  <c r="BR299" i="1"/>
  <c r="BS299" i="1"/>
  <c r="BT299" i="1"/>
  <c r="BU299" i="1"/>
  <c r="BV299" i="1"/>
  <c r="BW299" i="1"/>
  <c r="BX299" i="1"/>
  <c r="BY299" i="1"/>
  <c r="BZ299" i="1"/>
  <c r="CA299" i="1"/>
  <c r="CB299" i="1"/>
  <c r="CC299" i="1"/>
  <c r="CD299" i="1"/>
  <c r="A300" i="1"/>
  <c r="B300" i="1"/>
  <c r="C300" i="1"/>
  <c r="D300" i="1"/>
  <c r="E300" i="1"/>
  <c r="G300" i="1"/>
  <c r="J300" i="1"/>
  <c r="M300" i="1"/>
  <c r="P300" i="1"/>
  <c r="Q300" i="1"/>
  <c r="R300" i="1"/>
  <c r="H300" i="1" s="1"/>
  <c r="T300" i="1"/>
  <c r="U300" i="1"/>
  <c r="V300" i="1"/>
  <c r="W300" i="1"/>
  <c r="Z300" i="1"/>
  <c r="AA300" i="1"/>
  <c r="AC300" i="1"/>
  <c r="AE300" i="1"/>
  <c r="AH300" i="1"/>
  <c r="AQ300" i="1"/>
  <c r="AR300" i="1"/>
  <c r="AS300" i="1"/>
  <c r="AT300" i="1"/>
  <c r="AU300" i="1"/>
  <c r="AV300" i="1"/>
  <c r="AW300" i="1"/>
  <c r="AX300" i="1"/>
  <c r="AY300" i="1"/>
  <c r="AZ300" i="1"/>
  <c r="BA300" i="1"/>
  <c r="BB300" i="1"/>
  <c r="BC300" i="1"/>
  <c r="BD300" i="1"/>
  <c r="BE300" i="1"/>
  <c r="BF300" i="1"/>
  <c r="BG300" i="1"/>
  <c r="BH300" i="1"/>
  <c r="BI300" i="1"/>
  <c r="BJ300" i="1"/>
  <c r="BK300" i="1"/>
  <c r="BL300" i="1"/>
  <c r="BM300" i="1"/>
  <c r="BN300" i="1"/>
  <c r="BO300" i="1"/>
  <c r="BP300" i="1"/>
  <c r="BQ300" i="1"/>
  <c r="BR300" i="1"/>
  <c r="BS300" i="1"/>
  <c r="BT300" i="1"/>
  <c r="BU300" i="1"/>
  <c r="BV300" i="1"/>
  <c r="BW300" i="1"/>
  <c r="BX300" i="1"/>
  <c r="BY300" i="1"/>
  <c r="BZ300" i="1"/>
  <c r="CA300" i="1"/>
  <c r="CB300" i="1"/>
  <c r="CC300" i="1"/>
  <c r="CD300" i="1"/>
  <c r="A301" i="1"/>
  <c r="B301" i="1"/>
  <c r="C301" i="1"/>
  <c r="D301" i="1"/>
  <c r="E301" i="1"/>
  <c r="G301" i="1"/>
  <c r="J301" i="1"/>
  <c r="M301" i="1"/>
  <c r="P301" i="1"/>
  <c r="Q301" i="1"/>
  <c r="R301" i="1"/>
  <c r="H301" i="1" s="1"/>
  <c r="T301" i="1"/>
  <c r="U301" i="1"/>
  <c r="V301" i="1"/>
  <c r="W301" i="1"/>
  <c r="Z301" i="1"/>
  <c r="AA301" i="1"/>
  <c r="AC301" i="1"/>
  <c r="AE301" i="1"/>
  <c r="AH301" i="1"/>
  <c r="AQ301" i="1"/>
  <c r="AR301" i="1"/>
  <c r="AS301" i="1"/>
  <c r="AT301" i="1"/>
  <c r="AU301" i="1"/>
  <c r="AV301" i="1"/>
  <c r="AW301" i="1"/>
  <c r="AX301" i="1"/>
  <c r="AY301" i="1"/>
  <c r="AZ301" i="1"/>
  <c r="BA301" i="1"/>
  <c r="BB301" i="1"/>
  <c r="BC301" i="1"/>
  <c r="BD301" i="1"/>
  <c r="BE301" i="1"/>
  <c r="BF301" i="1"/>
  <c r="BG301" i="1"/>
  <c r="BH301" i="1"/>
  <c r="BI301" i="1"/>
  <c r="BJ301" i="1"/>
  <c r="BK301" i="1"/>
  <c r="BL301" i="1"/>
  <c r="BM301" i="1"/>
  <c r="BN301" i="1"/>
  <c r="BO301" i="1"/>
  <c r="BP301" i="1"/>
  <c r="BQ301" i="1"/>
  <c r="BR301" i="1"/>
  <c r="BS301" i="1"/>
  <c r="BT301" i="1"/>
  <c r="BU301" i="1"/>
  <c r="BV301" i="1"/>
  <c r="BW301" i="1"/>
  <c r="BX301" i="1"/>
  <c r="BY301" i="1"/>
  <c r="BZ301" i="1"/>
  <c r="CA301" i="1"/>
  <c r="CB301" i="1"/>
  <c r="CC301" i="1"/>
  <c r="CD301" i="1"/>
  <c r="A302" i="1"/>
  <c r="B302" i="1"/>
  <c r="C302" i="1"/>
  <c r="D302" i="1"/>
  <c r="E302" i="1"/>
  <c r="G302" i="1"/>
  <c r="J302" i="1"/>
  <c r="M302" i="1"/>
  <c r="P302" i="1"/>
  <c r="Q302" i="1"/>
  <c r="R302" i="1"/>
  <c r="H302" i="1" s="1"/>
  <c r="T302" i="1"/>
  <c r="U302" i="1"/>
  <c r="V302" i="1"/>
  <c r="W302" i="1"/>
  <c r="Z302" i="1"/>
  <c r="AA302" i="1"/>
  <c r="AC302" i="1"/>
  <c r="AE302" i="1"/>
  <c r="AH302" i="1"/>
  <c r="AQ302" i="1"/>
  <c r="AR302" i="1"/>
  <c r="AS302" i="1"/>
  <c r="AT302" i="1"/>
  <c r="AU302" i="1"/>
  <c r="AV302" i="1"/>
  <c r="AW302" i="1"/>
  <c r="AX302" i="1"/>
  <c r="AY302" i="1"/>
  <c r="AZ302" i="1"/>
  <c r="BA302" i="1"/>
  <c r="BB302" i="1"/>
  <c r="BC302" i="1"/>
  <c r="BD302" i="1"/>
  <c r="BE302" i="1"/>
  <c r="BF302" i="1"/>
  <c r="BG302" i="1"/>
  <c r="BH302" i="1"/>
  <c r="BI302" i="1"/>
  <c r="BJ302" i="1"/>
  <c r="BK302" i="1"/>
  <c r="BL302" i="1"/>
  <c r="BM302" i="1"/>
  <c r="BN302" i="1"/>
  <c r="BO302" i="1"/>
  <c r="BP302" i="1"/>
  <c r="BQ302" i="1"/>
  <c r="BR302" i="1"/>
  <c r="BS302" i="1"/>
  <c r="BT302" i="1"/>
  <c r="BU302" i="1"/>
  <c r="BV302" i="1"/>
  <c r="BW302" i="1"/>
  <c r="BX302" i="1"/>
  <c r="BY302" i="1"/>
  <c r="BZ302" i="1"/>
  <c r="CA302" i="1"/>
  <c r="CB302" i="1"/>
  <c r="CC302" i="1"/>
  <c r="CD302" i="1"/>
  <c r="A303" i="1"/>
  <c r="B303" i="1"/>
  <c r="C303" i="1"/>
  <c r="D303" i="1"/>
  <c r="E303" i="1"/>
  <c r="G303" i="1"/>
  <c r="J303" i="1"/>
  <c r="M303" i="1"/>
  <c r="P303" i="1"/>
  <c r="Q303" i="1"/>
  <c r="R303" i="1"/>
  <c r="H303" i="1" s="1"/>
  <c r="T303" i="1"/>
  <c r="U303" i="1"/>
  <c r="V303" i="1"/>
  <c r="W303" i="1"/>
  <c r="Z303" i="1"/>
  <c r="AA303" i="1"/>
  <c r="AC303" i="1"/>
  <c r="AE303" i="1"/>
  <c r="AH303" i="1"/>
  <c r="AQ303" i="1"/>
  <c r="AR303" i="1"/>
  <c r="AS303" i="1"/>
  <c r="AT303" i="1"/>
  <c r="AU303" i="1"/>
  <c r="AV303" i="1"/>
  <c r="AW303" i="1"/>
  <c r="AX303" i="1"/>
  <c r="AY303" i="1"/>
  <c r="AZ303" i="1"/>
  <c r="BA303" i="1"/>
  <c r="BB303" i="1"/>
  <c r="BC303" i="1"/>
  <c r="BD303" i="1"/>
  <c r="BE303" i="1"/>
  <c r="BF303" i="1"/>
  <c r="BG303" i="1"/>
  <c r="BH303" i="1"/>
  <c r="BI303" i="1"/>
  <c r="BJ303" i="1"/>
  <c r="BK303" i="1"/>
  <c r="BL303" i="1"/>
  <c r="BM303" i="1"/>
  <c r="BN303" i="1"/>
  <c r="BO303" i="1"/>
  <c r="BP303" i="1"/>
  <c r="BQ303" i="1"/>
  <c r="BR303" i="1"/>
  <c r="BS303" i="1"/>
  <c r="BT303" i="1"/>
  <c r="BU303" i="1"/>
  <c r="BV303" i="1"/>
  <c r="BW303" i="1"/>
  <c r="BX303" i="1"/>
  <c r="BY303" i="1"/>
  <c r="BZ303" i="1"/>
  <c r="CA303" i="1"/>
  <c r="CB303" i="1"/>
  <c r="CC303" i="1"/>
  <c r="CD303" i="1"/>
  <c r="A2" i="1"/>
  <c r="B2" i="1"/>
  <c r="C2" i="1"/>
  <c r="D2" i="1"/>
  <c r="G2" i="1"/>
  <c r="J2" i="1"/>
  <c r="M2" i="1"/>
  <c r="P2" i="1"/>
  <c r="F2" i="1" s="1"/>
  <c r="Q2" i="1"/>
  <c r="R2" i="1"/>
  <c r="H2" i="1" s="1"/>
  <c r="T2" i="1"/>
  <c r="U2" i="1"/>
  <c r="V2" i="1"/>
  <c r="W2" i="1"/>
  <c r="Z2" i="1"/>
  <c r="AA2" i="1"/>
  <c r="AC2" i="1"/>
  <c r="AE2" i="1"/>
  <c r="AH2" i="1"/>
  <c r="AQ2" i="1"/>
  <c r="AR2" i="1"/>
  <c r="AS2" i="1"/>
  <c r="AT2" i="1"/>
  <c r="AU2" i="1"/>
  <c r="AV2" i="1"/>
  <c r="AW2" i="1"/>
  <c r="AX2" i="1"/>
  <c r="AY2" i="1"/>
  <c r="AZ2" i="1"/>
  <c r="BA2" i="1"/>
  <c r="BB2" i="1"/>
  <c r="BC2" i="1"/>
  <c r="BD2" i="1"/>
  <c r="BE2" i="1"/>
  <c r="BF2" i="1"/>
  <c r="BG2" i="1"/>
  <c r="BH2" i="1"/>
  <c r="BI2" i="1"/>
  <c r="BJ2" i="1"/>
  <c r="BK2" i="1"/>
  <c r="BL2" i="1"/>
  <c r="BM2" i="1"/>
  <c r="BN2" i="1"/>
  <c r="BO2" i="1"/>
  <c r="BP2" i="1"/>
  <c r="BQ2" i="1"/>
  <c r="BR2" i="1"/>
  <c r="BS2" i="1"/>
  <c r="BT2" i="1"/>
  <c r="BU2" i="1"/>
  <c r="BV2" i="1"/>
  <c r="BW2" i="1"/>
  <c r="BX2" i="1"/>
  <c r="BY2" i="1"/>
  <c r="BZ2" i="1"/>
  <c r="CA2" i="1"/>
  <c r="CB2" i="1"/>
  <c r="CC2" i="1"/>
  <c r="CD2" i="1"/>
  <c r="H284" i="1" l="1"/>
  <c r="I23" i="1"/>
  <c r="H282" i="1"/>
  <c r="H287" i="1"/>
  <c r="H79" i="1"/>
  <c r="H98" i="1"/>
  <c r="H154" i="1"/>
  <c r="F8" i="1"/>
  <c r="I8" i="1"/>
  <c r="F14" i="1"/>
  <c r="I14" i="1"/>
  <c r="F25" i="1"/>
  <c r="I25" i="1"/>
  <c r="F26" i="1"/>
  <c r="I26" i="1"/>
  <c r="F30" i="1"/>
  <c r="I30" i="1"/>
  <c r="F32" i="1"/>
  <c r="I32" i="1"/>
  <c r="F7" i="1"/>
  <c r="I7" i="1"/>
  <c r="F9" i="1"/>
  <c r="I9" i="1"/>
  <c r="F11" i="1"/>
  <c r="I11" i="1"/>
  <c r="F12" i="1"/>
  <c r="I12" i="1"/>
  <c r="F15" i="1"/>
  <c r="I15" i="1"/>
  <c r="F16" i="1"/>
  <c r="I16" i="1"/>
  <c r="F19" i="1"/>
  <c r="I19" i="1"/>
  <c r="F33" i="1"/>
  <c r="I33" i="1"/>
  <c r="H229" i="1"/>
  <c r="H162" i="1"/>
  <c r="H220" i="1"/>
  <c r="H242" i="1"/>
  <c r="F187" i="1"/>
  <c r="I187" i="1"/>
  <c r="H75" i="1"/>
  <c r="F92" i="1"/>
  <c r="I92" i="1"/>
  <c r="F200" i="1"/>
  <c r="I200" i="1"/>
  <c r="F204" i="1"/>
  <c r="I204" i="1"/>
  <c r="F242" i="1"/>
  <c r="I242" i="1"/>
  <c r="F244" i="1"/>
  <c r="I244" i="1"/>
  <c r="I88" i="1"/>
  <c r="I97" i="1"/>
  <c r="I103" i="1"/>
  <c r="I166" i="1"/>
  <c r="I196" i="1"/>
  <c r="I245" i="1"/>
  <c r="F4" i="1"/>
  <c r="I4" i="1"/>
  <c r="F5" i="1"/>
  <c r="I5" i="1"/>
  <c r="F6" i="1"/>
  <c r="I6" i="1"/>
  <c r="F13" i="1"/>
  <c r="I13" i="1"/>
  <c r="F20" i="1"/>
  <c r="I20" i="1"/>
  <c r="F27" i="1"/>
  <c r="I27" i="1"/>
  <c r="F28" i="1"/>
  <c r="I28" i="1"/>
  <c r="F35" i="1"/>
  <c r="I35" i="1"/>
  <c r="F36" i="1"/>
  <c r="I36" i="1"/>
  <c r="F37" i="1"/>
  <c r="I37" i="1"/>
  <c r="F65" i="1"/>
  <c r="I65" i="1"/>
  <c r="F66" i="1"/>
  <c r="I66" i="1"/>
  <c r="F74" i="1"/>
  <c r="I74" i="1"/>
  <c r="F75" i="1"/>
  <c r="I75" i="1"/>
  <c r="F76" i="1"/>
  <c r="I76" i="1"/>
  <c r="F77" i="1"/>
  <c r="I77" i="1"/>
  <c r="F78" i="1"/>
  <c r="I78" i="1"/>
  <c r="F80" i="1"/>
  <c r="I80" i="1"/>
  <c r="F81" i="1"/>
  <c r="I81" i="1"/>
  <c r="F82" i="1"/>
  <c r="I82" i="1"/>
  <c r="F83" i="1"/>
  <c r="I83" i="1"/>
  <c r="F84" i="1"/>
  <c r="I84" i="1"/>
  <c r="F86" i="1"/>
  <c r="I86" i="1"/>
  <c r="F87" i="1"/>
  <c r="I87" i="1"/>
  <c r="F91" i="1"/>
  <c r="I91" i="1"/>
  <c r="F93" i="1"/>
  <c r="I93" i="1"/>
  <c r="F94" i="1"/>
  <c r="I94" i="1"/>
  <c r="F95" i="1"/>
  <c r="I95" i="1"/>
  <c r="F96" i="1"/>
  <c r="I96" i="1"/>
  <c r="F98" i="1"/>
  <c r="I98" i="1"/>
  <c r="F99" i="1"/>
  <c r="I99" i="1"/>
  <c r="F100" i="1"/>
  <c r="I100" i="1"/>
  <c r="F101" i="1"/>
  <c r="I101" i="1"/>
  <c r="F102" i="1"/>
  <c r="I102" i="1"/>
  <c r="F105" i="1"/>
  <c r="I105" i="1"/>
  <c r="F111" i="1"/>
  <c r="I111" i="1"/>
  <c r="F117" i="1"/>
  <c r="I117" i="1"/>
  <c r="F136" i="1"/>
  <c r="I136" i="1"/>
  <c r="F141" i="1"/>
  <c r="I141" i="1"/>
  <c r="F152" i="1"/>
  <c r="I152" i="1"/>
  <c r="F159" i="1"/>
  <c r="I159" i="1"/>
  <c r="F190" i="1"/>
  <c r="I190" i="1"/>
  <c r="F226" i="1"/>
  <c r="I226" i="1"/>
  <c r="F237" i="1"/>
  <c r="I237" i="1"/>
  <c r="F238" i="1"/>
  <c r="I238" i="1"/>
  <c r="F239" i="1"/>
  <c r="I239" i="1"/>
  <c r="F240" i="1"/>
  <c r="I240" i="1"/>
  <c r="F247" i="1"/>
  <c r="I247" i="1"/>
  <c r="F249" i="1"/>
  <c r="I249" i="1"/>
  <c r="F252" i="1"/>
  <c r="I252" i="1"/>
  <c r="H253" i="1"/>
  <c r="I253" i="1"/>
  <c r="H254" i="1"/>
  <c r="I254" i="1"/>
  <c r="F275" i="1"/>
  <c r="I275" i="1"/>
  <c r="F277" i="1"/>
  <c r="I277" i="1"/>
  <c r="F280" i="1"/>
  <c r="I280" i="1"/>
  <c r="F282" i="1"/>
  <c r="I282" i="1"/>
  <c r="F285" i="1"/>
  <c r="I285" i="1"/>
  <c r="F297" i="1"/>
  <c r="I297" i="1"/>
  <c r="H86" i="1"/>
  <c r="H188" i="1"/>
  <c r="H294" i="1"/>
  <c r="H22" i="1"/>
  <c r="H101" i="1"/>
  <c r="H244" i="1"/>
  <c r="H176" i="1"/>
  <c r="F164" i="1"/>
  <c r="I164" i="1"/>
  <c r="I295" i="1"/>
  <c r="F295" i="1"/>
  <c r="F3" i="1"/>
  <c r="I3" i="1"/>
  <c r="F10" i="1"/>
  <c r="I10" i="1"/>
  <c r="F17" i="1"/>
  <c r="I17" i="1"/>
  <c r="F18" i="1"/>
  <c r="I18" i="1"/>
  <c r="F21" i="1"/>
  <c r="I21" i="1"/>
  <c r="F22" i="1"/>
  <c r="I22" i="1"/>
  <c r="F24" i="1"/>
  <c r="I24" i="1"/>
  <c r="F29" i="1"/>
  <c r="I29" i="1"/>
  <c r="F31" i="1"/>
  <c r="I31" i="1"/>
  <c r="I34" i="1"/>
  <c r="F34" i="1"/>
  <c r="F39" i="1"/>
  <c r="I39" i="1"/>
  <c r="I40" i="1"/>
  <c r="F40" i="1"/>
  <c r="I41" i="1"/>
  <c r="F41" i="1"/>
  <c r="F42" i="1"/>
  <c r="I42" i="1"/>
  <c r="F43" i="1"/>
  <c r="I43" i="1"/>
  <c r="F44" i="1"/>
  <c r="I44" i="1"/>
  <c r="F45" i="1"/>
  <c r="I45" i="1"/>
  <c r="F46" i="1"/>
  <c r="I46" i="1"/>
  <c r="F47" i="1"/>
  <c r="I47" i="1"/>
  <c r="F48" i="1"/>
  <c r="I48" i="1"/>
  <c r="F49" i="1"/>
  <c r="I49" i="1"/>
  <c r="F50" i="1"/>
  <c r="I50" i="1"/>
  <c r="F51" i="1"/>
  <c r="I51" i="1"/>
  <c r="I52" i="1"/>
  <c r="F52" i="1"/>
  <c r="F53" i="1"/>
  <c r="I53" i="1"/>
  <c r="F54" i="1"/>
  <c r="I54" i="1"/>
  <c r="I55" i="1"/>
  <c r="F55" i="1"/>
  <c r="F56" i="1"/>
  <c r="I56" i="1"/>
  <c r="F57" i="1"/>
  <c r="I57" i="1"/>
  <c r="F58" i="1"/>
  <c r="I58" i="1"/>
  <c r="I59" i="1"/>
  <c r="F59" i="1"/>
  <c r="I60" i="1"/>
  <c r="F60" i="1"/>
  <c r="F61" i="1"/>
  <c r="I61" i="1"/>
  <c r="I62" i="1"/>
  <c r="F62" i="1"/>
  <c r="F63" i="1"/>
  <c r="I63" i="1"/>
  <c r="I64" i="1"/>
  <c r="F64" i="1"/>
  <c r="F67" i="1"/>
  <c r="I67" i="1"/>
  <c r="F68" i="1"/>
  <c r="I68" i="1"/>
  <c r="I69" i="1"/>
  <c r="F69" i="1"/>
  <c r="I70" i="1"/>
  <c r="F70" i="1"/>
  <c r="F71" i="1"/>
  <c r="I71" i="1"/>
  <c r="I72" i="1"/>
  <c r="F72" i="1"/>
  <c r="F73" i="1"/>
  <c r="I73" i="1"/>
  <c r="F79" i="1"/>
  <c r="I79" i="1"/>
  <c r="I85" i="1"/>
  <c r="F85" i="1"/>
  <c r="I104" i="1"/>
  <c r="F104" i="1"/>
  <c r="I109" i="1"/>
  <c r="F109" i="1"/>
  <c r="F120" i="1"/>
  <c r="I120" i="1"/>
  <c r="F127" i="1"/>
  <c r="I127" i="1"/>
  <c r="I134" i="1"/>
  <c r="F134" i="1"/>
  <c r="I155" i="1"/>
  <c r="F155" i="1"/>
  <c r="F158" i="1"/>
  <c r="I158" i="1"/>
  <c r="F168" i="1"/>
  <c r="I168" i="1"/>
  <c r="I172" i="1"/>
  <c r="F172" i="1"/>
  <c r="I183" i="1"/>
  <c r="F183" i="1"/>
  <c r="I194" i="1"/>
  <c r="F194" i="1"/>
  <c r="F205" i="1"/>
  <c r="I205" i="1"/>
  <c r="F206" i="1"/>
  <c r="I206" i="1"/>
  <c r="F207" i="1"/>
  <c r="I207" i="1"/>
  <c r="F208" i="1"/>
  <c r="I208" i="1"/>
  <c r="F209" i="1"/>
  <c r="I209" i="1"/>
  <c r="F210" i="1"/>
  <c r="I210" i="1"/>
  <c r="F211" i="1"/>
  <c r="I211" i="1"/>
  <c r="F212" i="1"/>
  <c r="I212" i="1"/>
  <c r="F213" i="1"/>
  <c r="I213" i="1"/>
  <c r="F214" i="1"/>
  <c r="I214" i="1"/>
  <c r="I215" i="1"/>
  <c r="F215" i="1"/>
  <c r="I216" i="1"/>
  <c r="F216" i="1"/>
  <c r="F217" i="1"/>
  <c r="I217" i="1"/>
  <c r="F218" i="1"/>
  <c r="I218" i="1"/>
  <c r="I219" i="1"/>
  <c r="F219" i="1"/>
  <c r="I220" i="1"/>
  <c r="F220" i="1"/>
  <c r="F221" i="1"/>
  <c r="I221" i="1"/>
  <c r="I222" i="1"/>
  <c r="F222" i="1"/>
  <c r="I241" i="1"/>
  <c r="F241" i="1"/>
  <c r="I243" i="1"/>
  <c r="F243" i="1"/>
  <c r="F246" i="1"/>
  <c r="I246" i="1"/>
  <c r="F248" i="1"/>
  <c r="I248" i="1"/>
  <c r="F250" i="1"/>
  <c r="I250" i="1"/>
  <c r="F251" i="1"/>
  <c r="I251" i="1"/>
  <c r="F255" i="1"/>
  <c r="I255" i="1"/>
  <c r="I256" i="1"/>
  <c r="F256" i="1"/>
  <c r="F257" i="1"/>
  <c r="I257" i="1"/>
  <c r="F258" i="1"/>
  <c r="I258" i="1"/>
  <c r="F259" i="1"/>
  <c r="I259" i="1"/>
  <c r="F260" i="1"/>
  <c r="I260" i="1"/>
  <c r="F261" i="1"/>
  <c r="I261" i="1"/>
  <c r="F262" i="1"/>
  <c r="I262" i="1"/>
  <c r="F263" i="1"/>
  <c r="I263" i="1"/>
  <c r="F265" i="1"/>
  <c r="I265" i="1"/>
  <c r="F267" i="1"/>
  <c r="I267" i="1"/>
  <c r="F270" i="1"/>
  <c r="I270" i="1"/>
  <c r="F271" i="1"/>
  <c r="I271" i="1"/>
  <c r="I272" i="1"/>
  <c r="F272" i="1"/>
  <c r="F274" i="1"/>
  <c r="I274" i="1"/>
  <c r="F276" i="1"/>
  <c r="I276" i="1"/>
  <c r="F278" i="1"/>
  <c r="I278" i="1"/>
  <c r="I281" i="1"/>
  <c r="F281" i="1"/>
  <c r="I284" i="1"/>
  <c r="F284" i="1"/>
  <c r="F287" i="1"/>
  <c r="I287" i="1"/>
  <c r="F289" i="1"/>
  <c r="I289" i="1"/>
  <c r="F290" i="1"/>
  <c r="I290" i="1"/>
  <c r="I291" i="1"/>
  <c r="F291" i="1"/>
  <c r="F292" i="1"/>
  <c r="I292" i="1"/>
  <c r="F293" i="1"/>
  <c r="I293" i="1"/>
  <c r="I294" i="1"/>
  <c r="F294" i="1"/>
  <c r="F296" i="1"/>
  <c r="I296" i="1"/>
  <c r="F298" i="1"/>
  <c r="I298" i="1"/>
  <c r="F299" i="1"/>
  <c r="I299" i="1"/>
  <c r="F300" i="1"/>
  <c r="I300" i="1"/>
  <c r="F301" i="1"/>
  <c r="I301" i="1"/>
  <c r="F302" i="1"/>
  <c r="I302" i="1"/>
  <c r="F303" i="1"/>
  <c r="I303" i="1"/>
  <c r="I2" i="1"/>
</calcChain>
</file>

<file path=xl/sharedStrings.xml><?xml version="1.0" encoding="utf-8"?>
<sst xmlns="http://schemas.openxmlformats.org/spreadsheetml/2006/main" count="8441" uniqueCount="4354">
  <si>
    <t>ID</t>
  </si>
  <si>
    <t>Tipo</t>
  </si>
  <si>
    <t>SKU</t>
  </si>
  <si>
    <t>GTIN, UPC, EAN o ISBN</t>
  </si>
  <si>
    <t>Nombre</t>
  </si>
  <si>
    <t>Publicado</t>
  </si>
  <si>
    <t>¿Está destacado?</t>
  </si>
  <si>
    <t>Visibilidad en el catálogo</t>
  </si>
  <si>
    <t>Descripción corta</t>
  </si>
  <si>
    <t>Descripción</t>
  </si>
  <si>
    <t>Día en que empieza el precio rebajado</t>
  </si>
  <si>
    <t>Día en que termina el precio rebajado</t>
  </si>
  <si>
    <t>Estado del impuesto</t>
  </si>
  <si>
    <t>Clase de impuesto</t>
  </si>
  <si>
    <t>¿Existencias?</t>
  </si>
  <si>
    <t>Inventario</t>
  </si>
  <si>
    <t>Cantidad de bajo inventario</t>
  </si>
  <si>
    <t>¿Permitir reservas de productos agotados?</t>
  </si>
  <si>
    <t>¿Vendido individualmente?</t>
  </si>
  <si>
    <t>Peso (kg)</t>
  </si>
  <si>
    <t>Longitud (cm)</t>
  </si>
  <si>
    <t>Anchura (cm)</t>
  </si>
  <si>
    <t>Altura (cm)</t>
  </si>
  <si>
    <t>¿Permitir valoraciones de clientes?</t>
  </si>
  <si>
    <t>Nota de compra</t>
  </si>
  <si>
    <t>Precio rebajado</t>
  </si>
  <si>
    <t>Precio normal</t>
  </si>
  <si>
    <t>Categorías</t>
  </si>
  <si>
    <t>Etiquetas</t>
  </si>
  <si>
    <t>Clase de envío</t>
  </si>
  <si>
    <t>Imágenes</t>
  </si>
  <si>
    <t>Límite de descargas</t>
  </si>
  <si>
    <t>Días de caducidad de la descarga</t>
  </si>
  <si>
    <t>Superior</t>
  </si>
  <si>
    <t>Productos agrupados</t>
  </si>
  <si>
    <t>Ventas dirigidas</t>
  </si>
  <si>
    <t>Ventas cruzadas</t>
  </si>
  <si>
    <t>URL externa</t>
  </si>
  <si>
    <t>Texto del botón</t>
  </si>
  <si>
    <t>Posición</t>
  </si>
  <si>
    <t>Swatches Attributes</t>
  </si>
  <si>
    <t>Marcas</t>
  </si>
  <si>
    <t>Nombre del atributo 1</t>
  </si>
  <si>
    <t>Valor(es) del atributo 1</t>
  </si>
  <si>
    <t>Atributo visible 1</t>
  </si>
  <si>
    <t>Atributo global 1</t>
  </si>
  <si>
    <t>Nombre del atributo 2</t>
  </si>
  <si>
    <t>Valor(es) del atributo 2</t>
  </si>
  <si>
    <t>Atributo visible 2</t>
  </si>
  <si>
    <t>Atributo global 2</t>
  </si>
  <si>
    <t>Nombre del atributo 3</t>
  </si>
  <si>
    <t>Valor(es) del atributo 3</t>
  </si>
  <si>
    <t>Atributo visible 3</t>
  </si>
  <si>
    <t>Atributo global 3</t>
  </si>
  <si>
    <t>Nombre del atributo 4</t>
  </si>
  <si>
    <t>Valor(es) del atributo 4</t>
  </si>
  <si>
    <t>Atributo visible 4</t>
  </si>
  <si>
    <t>Atributo global 4</t>
  </si>
  <si>
    <t>Nombre del atributo 5</t>
  </si>
  <si>
    <t>Valor(es) del atributo 5</t>
  </si>
  <si>
    <t>Atributo visible 5</t>
  </si>
  <si>
    <t>Atributo global 5</t>
  </si>
  <si>
    <t>Nombre del atributo 6</t>
  </si>
  <si>
    <t>Valor(es) del atributo 6</t>
  </si>
  <si>
    <t>Atributo visible 6</t>
  </si>
  <si>
    <t>Atributo global 6</t>
  </si>
  <si>
    <t>Nombre del atributo 7</t>
  </si>
  <si>
    <t>Valor(es) del atributo 7</t>
  </si>
  <si>
    <t>Atributo visible 7</t>
  </si>
  <si>
    <t>Atributo global 7</t>
  </si>
  <si>
    <t>Nombre del atributo 8</t>
  </si>
  <si>
    <t>Valor(es) del atributo 8</t>
  </si>
  <si>
    <t>Atributo visible 8</t>
  </si>
  <si>
    <t>Atributo global 8</t>
  </si>
  <si>
    <t>Nombre del atributo 9</t>
  </si>
  <si>
    <t>Valor(es) del atributo 9</t>
  </si>
  <si>
    <t>Atributo visible 9</t>
  </si>
  <si>
    <t>Atributo global 9</t>
  </si>
  <si>
    <t>Nombre del atributo 10</t>
  </si>
  <si>
    <t>Valor(es) del atributo 10</t>
  </si>
  <si>
    <t>Atributo visible 10</t>
  </si>
  <si>
    <t>Atributo global 10</t>
  </si>
  <si>
    <t>variable</t>
  </si>
  <si>
    <t>visible</t>
  </si>
  <si>
    <t>taxable</t>
  </si>
  <si>
    <t>Ciclismo &gt; Ruedas &gt; Aros, Rebajas</t>
  </si>
  <si>
    <t>Orificios</t>
  </si>
  <si>
    <t>DT Swiss</t>
  </si>
  <si>
    <t>En stock</t>
  </si>
  <si>
    <t>variation</t>
  </si>
  <si>
    <t>hidden</t>
  </si>
  <si>
    <t>Ciclismo &gt; Ruedas &gt; Aros</t>
  </si>
  <si>
    <t>simple</t>
  </si>
  <si>
    <t>BC Basic Cinta Tubeless 27 mm</t>
  </si>
  <si>
    <t>BC</t>
  </si>
  <si>
    <t>Ciclismo &gt; Ruedas &gt; Válvulas</t>
  </si>
  <si>
    <t>Bike Workx</t>
  </si>
  <si>
    <t>Rebajas, Ciclismo &gt; Ruedas &gt; Válvulas</t>
  </si>
  <si>
    <t>Chris King</t>
  </si>
  <si>
    <t>Continental Cámara MTB 26 universal/26 x 1,75-2,5 SV 42 mm</t>
  </si>
  <si>
    <t>Continental</t>
  </si>
  <si>
    <t>Continental Cámara MTB 27.5 universal/27,5 x 1,75-2,4 SV 42 mm</t>
  </si>
  <si>
    <t>Continental Cámara MTB 29 universal/28-29 x 1,75-2,5 SV 42 mm</t>
  </si>
  <si>
    <t>Ciclismo &gt; Ruedas &gt; Cámaras</t>
  </si>
  <si>
    <t>Crankbrothers Pedales Candy 1 One Size azul</t>
  </si>
  <si>
    <t>Crankbrothers</t>
  </si>
  <si>
    <t>Crankbrothers Pedales Eggbeater 1 one size rojo</t>
  </si>
  <si>
    <t>Crankbrothers Stamp 1 talla L azul</t>
  </si>
  <si>
    <t>Cube Performance - Black White</t>
  </si>
  <si>
    <t>Cube</t>
  </si>
  <si>
    <t>DMR Brendog Deathgrip - Gruesas - Suaves celeste</t>
  </si>
  <si>
    <t>Ciclismo &gt; Dirección &gt; Puños de manillar</t>
  </si>
  <si>
    <t>DMR</t>
  </si>
  <si>
    <t>Fidlock Botella sola TWIST 450</t>
  </si>
  <si>
    <t>Ciclismo &gt; Accesorios &gt; Bidones &amp; portabidones</t>
  </si>
  <si>
    <t>Fidlock</t>
  </si>
  <si>
    <t>Ciclismo &gt; Taller &gt; Productos de mantenimiento &amp; lubricantes</t>
  </si>
  <si>
    <t>Ciclismo &gt; Ruedas &gt; Radios &amp; Cabecillas</t>
  </si>
  <si>
    <t>Rebajas, Ciclismo &gt; Ruedas &gt; Repuestos</t>
  </si>
  <si>
    <t>Fidlock Botella sola TWIST KEEGO 600</t>
  </si>
  <si>
    <t>Fidlock Botella TWIST 700 life + Base magnética para bicicleta</t>
  </si>
  <si>
    <t>Fidlock Case hermético UNI VACCUM</t>
  </si>
  <si>
    <t>Ciclismo &gt; Accesorios &gt; Equipamiento para celulares</t>
  </si>
  <si>
    <t>Tamaño</t>
  </si>
  <si>
    <t>Fidlock Case VACCUM para iPhone</t>
  </si>
  <si>
    <t>Modelo</t>
  </si>
  <si>
    <t>Eltin Darkspace - negro - talla M</t>
  </si>
  <si>
    <t>Eltin</t>
  </si>
  <si>
    <t>Ergon GA2 Bar Grips - yellow mellow</t>
  </si>
  <si>
    <t>Ergon</t>
  </si>
  <si>
    <t>E*thirteen</t>
  </si>
  <si>
    <t>Fidlock Adaptador de base para bicicleta TWIST, Negro - ME09603(ALB)</t>
  </si>
  <si>
    <t>Fidlock Case VACCUM para Samsung Galaxy</t>
  </si>
  <si>
    <t>Fidlock Base magnética de manillar VACUUM para celulares, Negro - VB-0001A(BLK)</t>
  </si>
  <si>
    <t>Fidlock Base magnética de rejilla de ventilación de auto VACUUM para celulares, Negro - VB-000CM(BLK)</t>
  </si>
  <si>
    <t>Fidlock Base magnética de tapa de dirección VACUUM para celulares, Negro - VB-0001B(BLK)</t>
  </si>
  <si>
    <t>Fidlock Parche universal UNI VACUMM para celulares</t>
  </si>
  <si>
    <t>Fidlock Base magnética de trípode mini VACUUM para celulares, Negro - VB-0000E(BLK)</t>
  </si>
  <si>
    <t>Fidlock Base magnética de ventosa de auto VACUUM para celulares, Negro - VB-000CS(BLK)</t>
  </si>
  <si>
    <t>Fidlock Base magnética flexible de escritorio VACUUM para celulares, Negro - VB-0000D(BLK)</t>
  </si>
  <si>
    <t>Fidlock Base magnética giratoria VACUUM de soporte de ciclocomputador para celulares, Negro - VB-0000H(BLK)</t>
  </si>
  <si>
    <t>Fidlock Base magnética TEX multi para botellas TWIST, Negro - 09650(TBL)</t>
  </si>
  <si>
    <t>Fidlock Base TEX VACUUM para celulares, Negro - VB-000HG(BLK)</t>
  </si>
  <si>
    <t>ION BD-Socks 2.0 Black</t>
  </si>
  <si>
    <t>Talla</t>
  </si>
  <si>
    <t>ION</t>
  </si>
  <si>
    <t>Fidlock Bolsa de sillín PUSH 400 con base magnética de sillín, Negro - 09176(BLK)</t>
  </si>
  <si>
    <t>Ciclismo &gt; Accesorios &gt; Mochilas &amp; bolsas</t>
  </si>
  <si>
    <t>Fidlock Bolsa de sillín PUSH 600 con base magnética de sillín, Negro - 09175(BLK)</t>
  </si>
  <si>
    <t>KRNKS Luz trasera 5 funciones Waterproff</t>
  </si>
  <si>
    <t>Forma</t>
  </si>
  <si>
    <t>KRNKS</t>
  </si>
  <si>
    <t>G-Form</t>
  </si>
  <si>
    <t>HT PA03A Platform rojo</t>
  </si>
  <si>
    <t>Ciclismo &gt; Transmisión &gt; Pedales</t>
  </si>
  <si>
    <t>HT</t>
  </si>
  <si>
    <t>Rebajas, Ciclismo &gt; Ropa &gt; Zapatillas</t>
  </si>
  <si>
    <t>KMC Cadena X12 de 126 links, Dorada/Negro</t>
  </si>
  <si>
    <t>KMC</t>
  </si>
  <si>
    <t>KMC X11 Silver 118 Links</t>
  </si>
  <si>
    <t>Ciclismo &gt; Transmisión &gt; Cadenas</t>
  </si>
  <si>
    <t>KRNKS Stand de bicicletas showmaster</t>
  </si>
  <si>
    <t>Rebajas, Ciclismo &gt; Taller &gt; Soportes de montaje</t>
  </si>
  <si>
    <t>Ciclismo &gt; Frenos &gt; Discos para frenos</t>
  </si>
  <si>
    <t>Magura</t>
  </si>
  <si>
    <t>Magura Disco Centerlock Storm</t>
  </si>
  <si>
    <t>Lockring</t>
  </si>
  <si>
    <t>Magura Abrazadera Carbolay (1 unid) - 0724709</t>
  </si>
  <si>
    <t>Magura Abrazadera Shiftmix 1+2 Izq. y Der. para Shimano I-Spec I+II, Plateado (1 set) - 2702063</t>
  </si>
  <si>
    <t>Ciclismo &gt; Frenos &gt; Abrazaderas para frenos</t>
  </si>
  <si>
    <t>Magura Aceite mineral Royal Blood 1 L (1 unid) - 0721631</t>
  </si>
  <si>
    <t>Ciclismo &gt; Frenos &gt; Líquido para frenos</t>
  </si>
  <si>
    <t>Magura Aceite mineral Royal Blood 100 ml (1 unid) - 0721630</t>
  </si>
  <si>
    <t>Magura Adaptador Centerlock para eje pasante (herramienta de corona exterior) (1 unid) - 2701374</t>
  </si>
  <si>
    <t>Ciclismo &gt; Frenos &gt; Adaptadores para frenos</t>
  </si>
  <si>
    <t>Magura Adaptador Flat Mount  QM50 +20mm, Rueda delantera (FM 140-160F, FM 160-180F) 11g (1 unid) - 2701598</t>
  </si>
  <si>
    <t>Magura Adaptador Post Mount QM42 +43mm (PM 160-203) 34g (1 unid) - 2700517</t>
  </si>
  <si>
    <t>Magura Disco MDR-C</t>
  </si>
  <si>
    <t>Magura Disco MDR-P</t>
  </si>
  <si>
    <t>A pedido, En stock</t>
  </si>
  <si>
    <t>A pedido</t>
  </si>
  <si>
    <t>Magura Adaptador Post Mount QM45 +40mm (PM 140-180, PM 180-220) 37g (1 unid) - 2701940</t>
  </si>
  <si>
    <t>Magura Adaptador Post Mount QM46 +17mm (PM 203-220) 37g (1 unid) - 2702193</t>
  </si>
  <si>
    <t>Magura Anillo para calipers de 4 pistones, Amarillo neon (2 unid)</t>
  </si>
  <si>
    <t>Ciclismo &gt; Frenos &gt; Accesorios para frenos</t>
  </si>
  <si>
    <t>Magura Bloque de cambio de palanca MT, incluye punta extractora (1 set) -  2702056</t>
  </si>
  <si>
    <t>Ciclismo &gt; Taller &gt; Herramientas para frenos</t>
  </si>
  <si>
    <t>Magura Dado ranurado con vastago hexagonal de 8mm (1 unid) - 2702430</t>
  </si>
  <si>
    <t>Ciclismo &gt; Taller &gt; Herramientas generales</t>
  </si>
  <si>
    <t>Magura Freno MT THIRTY, palanca de 2 dedos Carbotecture, 4 pistones (1 unid) - 2702284</t>
  </si>
  <si>
    <t>Ciclismo &gt; Frenos &gt; Frenos de disco y aro</t>
  </si>
  <si>
    <t>Frenos</t>
  </si>
  <si>
    <t>Magura Freno MT TRAIL SL, palanca de 1 dedo HC-Carbolay, 4 piston. (long. De latiguillo 1m)</t>
  </si>
  <si>
    <t>Magura Freno MT5, palanca de 2 dedos Aluminio, 4 pistones (1 unid) - 2700477</t>
  </si>
  <si>
    <t>Magura Freno MT7 HC3, 4 pistones (1 unid) - 2702285</t>
  </si>
  <si>
    <t>Magura Freno MT7 HCW, 4 pistones (1 unid) - 2702484</t>
  </si>
  <si>
    <t>Magura Freno MT8 RACELINE, palanca de 1 dedo HC-Aluminio, 2 pistones (1 unid) - 2701630</t>
  </si>
  <si>
    <t>Magura kit de cubierta para manetas MT7 PRO (4 unid) - 2701231</t>
  </si>
  <si>
    <t>Magura kit de cubierta para manetas MT8 SL (4 unid) - 2701725</t>
  </si>
  <si>
    <t>Magura Kit de partes para servicio de frenos MT (1 set) - 0999515</t>
  </si>
  <si>
    <t>Ciclismo &gt; Frenos &gt; Kits de servicio para frenos</t>
  </si>
  <si>
    <t>Magura Kit de purgado pequeño para todos los modelos de frenos (1 set) - 2700191</t>
  </si>
  <si>
    <t>Magura Kit de purgado PRO (1 set) - 0724492</t>
  </si>
  <si>
    <t>Magura Kit de servicio grande de taller para todos los modelos de frenos (1 set) - 0321247-US</t>
  </si>
  <si>
    <t>Magura Latiguillo de freno para MT Sport/MT2 , 2500mm, con conexión prensada de 0 grados (1 unid) - 2702688</t>
  </si>
  <si>
    <t>Ciclismo &gt; Frenos &gt; Fundas y Cables para frenos</t>
  </si>
  <si>
    <t>Magura Latiguillo de freno para MT8/7/6/5/4/MT Trail, longitud 2500 mm, Negro (1 unid) - 2702632</t>
  </si>
  <si>
    <t>Magura Maneta MT TRAIL SPORT, palanca de 1 dedo HC-Aluminio, desde MY2017 (1 unid) - 2701407</t>
  </si>
  <si>
    <t>Ciclismo &gt; Frenos &gt; Manetas y Palancas para frenos</t>
  </si>
  <si>
    <t>Magura Maneta MT5, palanca de 2 dedos aluminio, desde MY2015 (1 unid) - 2700533</t>
  </si>
  <si>
    <t>Magura Maneta MT7 PRO, palanca de 1 dedo HC-Aluminio, desde MY2015 (1 unid) - 2702218</t>
  </si>
  <si>
    <t>Magura Maneta MT8 PRO, palanca de 1 dedo HC-Aluminio, desde MY2019 (1 unid) - 2701727</t>
  </si>
  <si>
    <t>Magura Multiherramienta para frenos, discos, pastillas y Palanca para neumáticos (1 unid) - 2702675</t>
  </si>
  <si>
    <t>Ciclismo &gt; Taller &gt; Minitools</t>
  </si>
  <si>
    <t>Magura Palanca HC para MT5, aluminio, palanca de 1 dedo, ajuste con herramienta, desde MY2015, compatible con MT SPORT/MT4/MT5/MT TRAIL SPORT desde MY2015 (1 unid) - 2701249</t>
  </si>
  <si>
    <t>Magura Palanca HC-W, aluminio, palanca de 1 dedo, ajuste con herramienta, para MT6/MT7/MT8/MT TRAIL SL desde MY2015 (1 unid) - 2702070</t>
  </si>
  <si>
    <t>Magura Pastillas 7.P Performance para un caliper MT de 2 pistones (1 set) incl. Tornillo - 2701625</t>
  </si>
  <si>
    <t>Ciclismo &gt; Frenos &gt; Pastillas y Zapatas para frenos</t>
  </si>
  <si>
    <t>Magura Pastillas 7.R Race para un caliper MT de 2 pistones (1 set) incl. Tornillo - 2701179</t>
  </si>
  <si>
    <t>Magura Pastillas 7.S Sport para un caliper MT de 2 pistones (1 set) incl. Tornillo - 2701927</t>
  </si>
  <si>
    <t>Magura Pastillas 8.P Performance para un caliper MT de 4 pistones (1 set) incl. Tornillos - 2701628</t>
  </si>
  <si>
    <t>Magura Pastillas 8.R Race para un caliper MT de 4 pistones (1 set) incl. Tornillos - 2701173</t>
  </si>
  <si>
    <t>Magura Pastillas 8.S Sport para un caliper MT de 4 pistones (1 set) incl. Tornillos - 2701925</t>
  </si>
  <si>
    <t>Magura Torquímetro 0.5 Nm T25 (1 set) -  2701486</t>
  </si>
  <si>
    <t>Magura Torquímetro 2-8 Nm incluye dado ranurado con vastago hexagonal de 8mm (1 set) -  2702539</t>
  </si>
  <si>
    <t>Maxxis HighRoller II 3CT EXO 27.5x2.4</t>
  </si>
  <si>
    <t>Ciclismo &gt; Ruedas &gt; Cubiertas</t>
  </si>
  <si>
    <t>Maxxis</t>
  </si>
  <si>
    <t>ODI Puños Rogue Bonus Pack, negro</t>
  </si>
  <si>
    <t>ODI</t>
  </si>
  <si>
    <t>ODI Ruffian Lock-On Replacement kit Grips negro</t>
  </si>
  <si>
    <t>Ciclismo &gt; Dirección &gt; Tapa de dirección</t>
  </si>
  <si>
    <t>OneUp Components</t>
  </si>
  <si>
    <t>Shimano Calas SM-SH51</t>
  </si>
  <si>
    <t>Shimano</t>
  </si>
  <si>
    <t>Shimano Calas SM-SH56 con placas</t>
  </si>
  <si>
    <t>Ciclismo &gt; Transmisión &gt; Calas</t>
  </si>
  <si>
    <t>Shimano Descarrilador XT M8100 Shadow+ SGS Black 12s / Max 51t</t>
  </si>
  <si>
    <t>Ciclismo &gt; Transmisión &gt; Descarrilador</t>
  </si>
  <si>
    <t>Shimano Pastillas H03C Saint Zee metálicas</t>
  </si>
  <si>
    <t>Shimano Pastillas N03A resina</t>
  </si>
  <si>
    <t>Shimano pedales ME700 Trail Enduro Black One Size</t>
  </si>
  <si>
    <t>Shimano Piñon Deore CS-M6100 Micro Spline 12V</t>
  </si>
  <si>
    <t>Ciclismo &gt; Transmisión &gt; Piñones</t>
  </si>
  <si>
    <t>Shimano Piñon XT CS-M8100 Micro Spline 12V</t>
  </si>
  <si>
    <t>Shimano SLX shifter M7100 1x12v</t>
  </si>
  <si>
    <t>Rebajas, Ciclismo &gt; Transmisión &gt; Shifter</t>
  </si>
  <si>
    <t>Shimano XTR CS-M9100 12v 126 links</t>
  </si>
  <si>
    <t>Vittoria Mezcal XC-Trail TR 29</t>
  </si>
  <si>
    <t>Ancho</t>
  </si>
  <si>
    <t>Vittoria</t>
  </si>
  <si>
    <t>Specialized Bidón Purist WaterGate 650ml</t>
  </si>
  <si>
    <t>Specialized</t>
  </si>
  <si>
    <t>Sram batería Red eTap</t>
  </si>
  <si>
    <t>Rebajas, Ciclismo &gt; Transmisión &gt; Repuestos</t>
  </si>
  <si>
    <t>Sram</t>
  </si>
  <si>
    <t>Sram Cadena GX 126 Links 12s</t>
  </si>
  <si>
    <t>Sram Descarrilador GX Lunar 12s / Max 52t</t>
  </si>
  <si>
    <t>Sram Pastillas para Code desde MY 2011 / Guide RE - Orgánicas con Placa Acero - 00.5315.023.030</t>
  </si>
  <si>
    <t>Sram Protector de bielas Eagle XX1/X01</t>
  </si>
  <si>
    <t>Sram Shifter GX Trigger Rear Discrete Clamp Lunar Grey 12s</t>
  </si>
  <si>
    <t>Ciclismo &gt; Transmisión &gt; Shifter</t>
  </si>
  <si>
    <t>Sram Cadena X01 126 Links 12s</t>
  </si>
  <si>
    <t>Sram Cadena XX1 126 Links 12s Rainbow</t>
  </si>
  <si>
    <t>WTB Tubeless Rim Tape 11 Meters Yellow</t>
  </si>
  <si>
    <t>WTB</t>
  </si>
  <si>
    <t>X-Sauce Cinta Negra Para Tubelizar 9 m</t>
  </si>
  <si>
    <t>Ciclismo &gt; Ruedas &gt; Cinta tubeless</t>
  </si>
  <si>
    <t>X-Sauce</t>
  </si>
  <si>
    <t>Stan's NoTubes</t>
  </si>
  <si>
    <t>Topeak</t>
  </si>
  <si>
    <t>Topeak Manómetro Digital D2 Smarthead</t>
  </si>
  <si>
    <t>Ciclismo &gt; Ruedas &gt; Medidores de Presión</t>
  </si>
  <si>
    <t>Topeak Manómetro Digital D2X</t>
  </si>
  <si>
    <t>Alligator Zapatas V-Brake</t>
  </si>
  <si>
    <t>Alligator</t>
  </si>
  <si>
    <t>Continental Cross King TR ShieldWall 26x2.2</t>
  </si>
  <si>
    <t>Continental Race King TR ShieldWall 26x2.2</t>
  </si>
  <si>
    <t>Uncategorized</t>
  </si>
  <si>
    <t>Crankbrothers Pedales Eggbeater 1 one size negro</t>
  </si>
  <si>
    <t>Crankbrothers Placas para calas Shoe shield</t>
  </si>
  <si>
    <t>Effetto Mariposa</t>
  </si>
  <si>
    <t>Five Ten</t>
  </si>
  <si>
    <t>KMC Cadena X12 de 126 links, Plateada/Negro</t>
  </si>
  <si>
    <t>Magura Abrazadera Shiftmix 4 Izq. y Der. para Shimano I-Spec EV, Negro (1 set) - 2702189</t>
  </si>
  <si>
    <t>Magura Adaptador Post Mount QM40 +20mm (PM 140-160, PM 160-180, PM 200-220) 39g (1 unid) - 2700515</t>
  </si>
  <si>
    <t>Magura Adaptador Post Mount QM44 +23mm (PM 180-203) 37g (1 unid) - 2701967</t>
  </si>
  <si>
    <t>Magura Conector de 90° de latiguillo con manetas MT desde MY2015 y HS33 (1 unid) - 2701955</t>
  </si>
  <si>
    <t>Ciclismo &gt; Frenos &gt; Repuestos y componentes para frenos</t>
  </si>
  <si>
    <t>Magura Cortador de manguera hidráulica (1 unid) - 2400729</t>
  </si>
  <si>
    <t>Magura Freno MT SPORT, palanca de 2 dedos Carbotecture, 2 pistones (1 unid) - 2701705</t>
  </si>
  <si>
    <t>Magura Freno MT TRAIL SL, palanca de 1 dedo HC-Carbolay, 4 piston. adelante y 2 piston. atras (1 set)  - 2701646</t>
  </si>
  <si>
    <t>Magura Freno MT4, palanca de 2 dedos Aluminio, 2 pistones (1 unid) - 2700476</t>
  </si>
  <si>
    <t>Magura Freno MT5 HC, palanca de 1 dedo HC-Aluminio, 4 pistones (1 unid) - 2702382</t>
  </si>
  <si>
    <t>Magura Freno MT7 PRO, palanca de 1 dedo HC-Aluminio, 4 pistones (1 unid) - 2701445</t>
  </si>
  <si>
    <t>Magura Freno MT7 RACELINE, palanca de 1 dedo HC-Aluminio, 4 pistones (1 unid) - 2701434</t>
  </si>
  <si>
    <t>Magura Freno MT8 PRO, palanca de 1 dedo HC-Aluminio, 2 pistones (1 unid) - 2701728</t>
  </si>
  <si>
    <t>Magura Freno MT8 SL, palanca de 1 dedo HC-Carbolay, 2 pistones (1 unid) - 2701657</t>
  </si>
  <si>
    <t>Magura Maneta MT SPORT, palanca de 2 dedos Carbotecture, desde MY2019 (1 unid) - 2701698</t>
  </si>
  <si>
    <t>Magura Palanca HC para MT TRAIL SPORT, aluminio, palanca de 1 dedo, ajuste con herramienta, desde MY2017, compatible con MT SPORT/MT4/MT5/MT TRAIL SPORT desde MY2015 (1 unid) - 2701369</t>
  </si>
  <si>
    <t>Magura Palanca HC-W, aluminio, palanca de 1 dedo, ajuste con herramienta, para MT SPORT/MT4/MT5/MT TRAIL SPORT desde MY2015 (1 unid) - 2702071</t>
  </si>
  <si>
    <t>Magura Pastillas 9.P Performance para un caliper MT de 4 pistones (1 set) - 2701627</t>
  </si>
  <si>
    <t>Magura Sensor magnetico para discos Storm HC 180, MDR-C y MDR-P (1 unid) - 2701966</t>
  </si>
  <si>
    <t>MaXalami Válvulas Tubeless</t>
  </si>
  <si>
    <t>MaXalami</t>
  </si>
  <si>
    <t>ODI AG-1 Aaron Gwin Lock-On negro/gris</t>
  </si>
  <si>
    <t>ODI F-1 Series Float rojo</t>
  </si>
  <si>
    <t>ODI Rogue Replacement kit Puños negro</t>
  </si>
  <si>
    <t>Race Face</t>
  </si>
  <si>
    <t>Rockshox Aceite para suspensión 15WT, 1 L</t>
  </si>
  <si>
    <t>Rockshox</t>
  </si>
  <si>
    <t>Rockshox Sid SL Ultimate Race Day Debon Air 29'' Boost Twistloc Tapered rake 44mm Azul</t>
  </si>
  <si>
    <t>Ciclismo &gt; Amortiguador &gt; Horquillas de suspensión</t>
  </si>
  <si>
    <t>Shimano Descarrilador Deore M6100 Shadow+ SGS Black 12s / Max 51t</t>
  </si>
  <si>
    <t>Shimano Descarrilador SLX M7100 Shadow+ SGS Black 12s / Max 51t</t>
  </si>
  <si>
    <t>Sram Grasa Butter 500 ml</t>
  </si>
  <si>
    <t>Sram Missing link Power Lock Eagle 12V tornasolado</t>
  </si>
  <si>
    <t>Ciclismo &gt; Transmisión &gt; Repuestos</t>
  </si>
  <si>
    <t>Sram Piñon NX Eagle PG-1230 11-50 12V</t>
  </si>
  <si>
    <t>Sram Protector de bielas Boot Guard</t>
  </si>
  <si>
    <t>Sram Roldanas y patilla interior cambio Sram GX Eagle 12V</t>
  </si>
  <si>
    <t>Sram Piñon XG-1275 52t-10t lunar clamp</t>
  </si>
  <si>
    <t>Supacaz Diamond Kush Grips</t>
  </si>
  <si>
    <t>Supacaz</t>
  </si>
  <si>
    <t>Topeak Mini 20 Pro Mini Tool - gold</t>
  </si>
  <si>
    <t>Vittoria Mezcal XC-Race TR 29x2.25 beige</t>
  </si>
  <si>
    <t>Vittoria Standard 27.5" FV 48mm Talla: 27.5" x 1.95/2.50</t>
  </si>
  <si>
    <t>Vittoria Standard 29" FV 48mm Talla: 29" x 1.95/2.50</t>
  </si>
  <si>
    <t>X-Sauce Cinta Amarilla Para Tubelizar 9 m x 25 mm</t>
  </si>
  <si>
    <t>Fidlock Botella sola TWIST 800</t>
  </si>
  <si>
    <t>Fidlock Conector magnético solo UNI TWIST 80, Negro - 09634(BLK)</t>
  </si>
  <si>
    <t>Muc-Off</t>
  </si>
  <si>
    <t>KMC Cadena E12 EcoProTeq, para ebikes, Plateada</t>
  </si>
  <si>
    <t>KMC Cadena X12 de 126 links, Plateada</t>
  </si>
  <si>
    <t>Gemini Manillar KÄSTOR, Brillante 12K</t>
  </si>
  <si>
    <t>Disponible A pedido, Ciclismo &gt; Dirección &gt; Manillares</t>
  </si>
  <si>
    <t>Longitud de potencia</t>
  </si>
  <si>
    <t>Gemini</t>
  </si>
  <si>
    <t>Gemini Manillar KÄSTOR, Brillante UD</t>
  </si>
  <si>
    <t>Gemini Manillar KÄSTOR, Mate 12K</t>
  </si>
  <si>
    <t>Gemini Manillar KÄSTOR, Mate UD</t>
  </si>
  <si>
    <t>Gemini Manillar POLLUX, Brillante 12K</t>
  </si>
  <si>
    <t>Gemini Manillar POLLUX, Brillante UD</t>
  </si>
  <si>
    <t>Gemini Manillar POLLUX, Mate 12K</t>
  </si>
  <si>
    <t>Gemini Manillar POLLUX, Mate UD</t>
  </si>
  <si>
    <t>Gemini Manillar WÄSSAT, Brillante UD</t>
  </si>
  <si>
    <t>Laminado</t>
  </si>
  <si>
    <t>Gemini Manillar WÄSSAT, Mate UD</t>
  </si>
  <si>
    <t>Gemini Soporte para Ciclocomputador SOYUZ</t>
  </si>
  <si>
    <t>Disponible A pedido, Ciclismo &gt; Dirección &gt; Soportes de dispositivos</t>
  </si>
  <si>
    <t>Dispositivo</t>
  </si>
  <si>
    <t>Acabado</t>
  </si>
  <si>
    <t>Garmin</t>
  </si>
  <si>
    <t>Gemini Soporte para Ciclocomputador VOSTOK</t>
  </si>
  <si>
    <t>Largo</t>
  </si>
  <si>
    <t>Gemini Tija ÄLSAK, Brillante 12K</t>
  </si>
  <si>
    <t>Diámetro</t>
  </si>
  <si>
    <t>Longitud</t>
  </si>
  <si>
    <t>Gemini Tija ÄLSAK, Brillante UD</t>
  </si>
  <si>
    <t>Gemini Tija ÄLSAK, Mate 12K</t>
  </si>
  <si>
    <t>Gemini Tija ÄLSAK, Mate UD</t>
  </si>
  <si>
    <t>Magura Abrazadera Shiftmix 3 Izq. y Der. para Sram Matchmaker, Plateado (1 set) - 2702066</t>
  </si>
  <si>
    <t>Magura Adaptador Flat Mount QM51 +20mm, Rueda trasera (FM 140-160R, FM 160-180R) 10g (1 unid) - 2701600</t>
  </si>
  <si>
    <t>Magura Adaptador Flat Mount QM52 +0mm, Rueda delantera (FM 140-140F, FM 160-160F, FM 180-180F) 10g (1 unid) - 2702055</t>
  </si>
  <si>
    <t>Magura BAT kit para MT6/MT7/MT8/MT TRAIL SL desde MY2015 (incluye perno BAT, resorte y tuerca) (1 set) - 2701645</t>
  </si>
  <si>
    <t>Magura Freno MT TRAIL SPORT, palanca de 1 dedo HC-Aluminio, 4 piston. adelante y 2 piston. atras (1 set) - 2701389</t>
  </si>
  <si>
    <t>Disponible A pedido, Ciclismo &gt; Frenos &gt; Frenos de disco y aro</t>
  </si>
  <si>
    <t>Magura Manguera hidráulica de purgado para Jeringa (1 unid) - 2404344</t>
  </si>
  <si>
    <t>Magura Olivas para manguera hidráulica de freno (10 unid) - 0720916</t>
  </si>
  <si>
    <t>Magura Palanca HC, aluminio, palanca de 1 dedo, ajuste con herramienta, para MT6/MT7/MT8/MT TRAIL SL desde MY2015 (1 unid) - 2701247</t>
  </si>
  <si>
    <t>Magura Palanca HC3, aluminio, palanca de 1 dedo, ajuste con herramienta, para MT6/MT7/MT8/MT TRAIL SL desde MY2015 (1 unid) - 2701251</t>
  </si>
  <si>
    <t>Gemini Manillar PRÖPUS, Brillante 12K</t>
  </si>
  <si>
    <t>Offset - Caída</t>
  </si>
  <si>
    <t>Gemini Manillar PRÖPUS, Brillante UD</t>
  </si>
  <si>
    <t>Gemini Manillar PRÖPUS, Mate 12K</t>
  </si>
  <si>
    <t>Gemini Manillar PRÖPUS, Mate UD</t>
  </si>
  <si>
    <t>Magura Freno MT5 eSTOP, palanca de 2 dedos Aluminio, 4 pistones (1 unid) - 2701999</t>
  </si>
  <si>
    <t>Magura Abrazadera Aluminio</t>
  </si>
  <si>
    <t>Magura Abrazadera Shiftmix 3 para Sram Matchmaker, Negro</t>
  </si>
  <si>
    <t>Lado</t>
  </si>
  <si>
    <t>Magura Abrazadera Shiftmix 3 para Sram Matchmaker, Plateado</t>
  </si>
  <si>
    <t>Magura Abrazadera Shiftmix 4 para Shimano I-Spec EV, Negro</t>
  </si>
  <si>
    <t>Magura Caliper HS33/HS11, M6/M8</t>
  </si>
  <si>
    <t>&lt;p&gt;&lt;/p&gt;</t>
  </si>
  <si>
    <t>Magura Adaptador International Standard QM12 (IS-160-R / IS-180-F) 30g (1 unid) - 0722426</t>
  </si>
  <si>
    <t>Magura Adaptador International Standard QM41 (IS-180-R) 37g (1 unid) - 2700516</t>
  </si>
  <si>
    <t>Magura Adaptador International Standard QM43 (IS-160-F) 30g (1 unid) - 2700518</t>
  </si>
  <si>
    <t>Magura Adaptador International Standard QM9 (IS-203-R) 50g (1 unid) - 0722325</t>
  </si>
  <si>
    <t>Magura Caliper MT TRAIL SL, 2 pistones, cromado con anillos azules, incluye pastillas (1 unid) - 2701238</t>
  </si>
  <si>
    <t>Ciclismo &gt; Frenos &gt; Calipers</t>
  </si>
  <si>
    <t>Magura Caliper MT TRAIL SL, 4 pistones, cromado con anillos azules, incluye pastillas (1 unid) - 2701237</t>
  </si>
  <si>
    <t>Magura Caliper MT2/MT SPORT, 2 pistones, conector de manguera de 0°, negro, incluye pastillas, desde MY2015 (1 unid) - 2701662</t>
  </si>
  <si>
    <t>Magura Caliper MT4 eSTOP, 4 pistones, negro, incluye pastillas (1 unid) - 2702006</t>
  </si>
  <si>
    <t>Magura Caliper MT4/MT TRAIL SPORT, 2 pistones, negro con anillos color plateado, incluye pastillas, desde MY2015 (1 unid) - 2700528</t>
  </si>
  <si>
    <t>Magura Caliper MT4/MT8 SL Flat Mount, 2 pistones, negro con anillos color amarillo neon, incluye pastillas, desde MY2019 (1 unid) - 2701634</t>
  </si>
  <si>
    <t>Magura Caliper MT5 eSTOP, 4 pistones, negro, incluye pastillas (1 unid) - 2702005</t>
  </si>
  <si>
    <t>Magura Caliper MT5/MT TRAIL SPORT, CMe5, 4 pistones, negro con anillos color plateado, incluye pastillas, desde MY2015 (1 unid) - 2701658</t>
  </si>
  <si>
    <t>Magura Caliper MT7, 4 pistones, gris místico con anillos amarillo neón, incluye pastillas, desde MY2015 (1 unid) - 2701236</t>
  </si>
  <si>
    <t>Magura Caliper MT8 SL, 2 pistones, gris místico con anillos rojo neón y/o amarillo neón, incluye pastillas, desde MY2019 (1 unid) - 2701726</t>
  </si>
  <si>
    <t>Magura Capucha de tuerca hidráulica para manetas MT (10 unid) - 0724699</t>
  </si>
  <si>
    <t>Magura Conector de 40° de latiguillo con manetas MT desde MY2015 y HS33 (1 unid) - 2700712</t>
  </si>
  <si>
    <t>Magura Conector de 90° de latiguillo con maneta HS33/66, para 2 frenos (2 unid) - 321285</t>
  </si>
  <si>
    <t>Magura conector de montaje M9 para manetas HS33/HS11 (1 unid) - 0724584</t>
  </si>
  <si>
    <t>Magura Conector M6 de caliper para purgar, para frenos de disco y de aro (5 unid) - 0721225</t>
  </si>
  <si>
    <t>Magura Conector M6 de manguera hidráulica con caliper (10 unid) - 0720411</t>
  </si>
  <si>
    <t>Magura Dado ranurado con vastago hexagonal de 8mm para Torquímetro Vario SW8 (1 unid) - 2701488</t>
  </si>
  <si>
    <t>Disponible A pedido, Ciclismo &gt; Taller &gt; Herramientas generales</t>
  </si>
  <si>
    <t>Magura Disco Storm Rohloff-Speedhub</t>
  </si>
  <si>
    <t>Magura Espaciador QM1.5 +1.5mm (PM 200-203) (2 unid) - 2702538</t>
  </si>
  <si>
    <t>Magura Freno de disco HS11, palanca de 3 dedos Aluminio, EVO2 Mount (1 unid) - 2701214</t>
  </si>
  <si>
    <t>Magura Freno de disco HS22, palanca de 3 dedos Aluminio, EASY Mount (1 unid) - 2700846</t>
  </si>
  <si>
    <t>Magura Freno de disco HS22, palanca de 3 dedos Aluminio, EVO2 Mount (1 unid) - 2700845</t>
  </si>
  <si>
    <t>Magura Freno de disco HS33 R, palanca de 2 dedos Aluminio (1 unid) - 2700246</t>
  </si>
  <si>
    <t>Magura Freno MT C4 derecho, palanca de 3 dedos Carbotecture, 2 pistones (1 unid) - 2702541</t>
  </si>
  <si>
    <t>Magura Freno MT C4 izquierdo, palanca de 3 dedos Carbotecture, 2 pistones (1 unid) - 2702540</t>
  </si>
  <si>
    <t>Magura Freno MT4 eSTOP, palanca de 2 dedos Aluminio, 2 pistones (1 unid) - 2702000</t>
  </si>
  <si>
    <t>Magura Freno MT4 Flat Mount, palanca de 2 dedos Aluminio, 2 pistones (1 unid) - 2701633</t>
  </si>
  <si>
    <t>Magura Freno MT4e, HIGO, Closer, 2 pistones (1 unid) - 2700985</t>
  </si>
  <si>
    <t>Magura Freno MT5e, HIGO, Closer, 4 pistones (1 unid) - 2700984</t>
  </si>
  <si>
    <t>Magura kit de anillos para calipers de 2 pistones</t>
  </si>
  <si>
    <t>Magura kit de anillos para calipers de 4 pistones</t>
  </si>
  <si>
    <t>Magura Herramienta de cambio de planca MT, 2012-2013 (1 set) -  2700033</t>
  </si>
  <si>
    <t>Magura Interruptor de presión para E-Bike, para todos los frenos de aro y frenos MT hasta MY2014, cerrado (1 unid) - 0724344</t>
  </si>
  <si>
    <t>Magura Jeringa 30 ml (1 unid) - 0431894</t>
  </si>
  <si>
    <t>Magura Jeringa con agujero 30 ml (1 unid) - 2400639</t>
  </si>
  <si>
    <t>Magura Juego de tornillos T25 Flat Mount, Rueda trasera (2 unid. de M5x20, M5x25, M5x30, M5x35, M5x40, M5x45) - 2701601</t>
  </si>
  <si>
    <t>Magura Maneta CMe5 derecha, palanca de 4 dedos aluminio con extremo de bola, desde MY2019 (1 unid) - 2701712</t>
  </si>
  <si>
    <t>Disponible A pedido, Ciclismo &gt; Frenos &gt; Manetas y Palancas para frenos</t>
  </si>
  <si>
    <t>Magura Maneta CMe5 izquierda, palanca de 4 dedos aluminio con extremo de bola, desde MY2019 (1 unid) - 2701713</t>
  </si>
  <si>
    <t>Magura Maneta HS22, palanca de 2 dedos aluminio, negro (1 unid) - 2700842</t>
  </si>
  <si>
    <t>Magura Maneta HS33 R, palanca de 2 dedos aluminio, negro (1 unid) - 2700304</t>
  </si>
  <si>
    <t>Magura Maneta MT eSTOP, palanca de 2 dedos aluminio, desde MY2019 (1 unid) - 2702001</t>
  </si>
  <si>
    <t>Magura Maneta MT TRAIL SL, palanca de 1 dedo HC-Carbolay (1 unid) - 2701647</t>
  </si>
  <si>
    <t>Magura Maneta MT4, palanca de 2 dedos aluminio, desde MY2015 (1 unid) - 2700524</t>
  </si>
  <si>
    <t>Magura Maneta MT5E / MT4E, palanca de 3 dedos aluminio con extremo de bola (1 unid) - 2701663</t>
  </si>
  <si>
    <t>Magura Maneta MT8 SL, palanca de 1 dedo HC-Carbolay, desde MY2019 (1 unid) - 2701642</t>
  </si>
  <si>
    <t>Magura Multiherramienta para frenos, discos, pastillas, valvulas, radios con alicate de cadenas y 8 puntas hexagonales (más de 25 funciones) (1 set) - 2702676</t>
  </si>
  <si>
    <t>Disponible A pedido, Ciclismo &gt; Taller &gt; Minitools</t>
  </si>
  <si>
    <t>Magura O-Rings de Banjo para calipers MT (20 unid) - 0724698</t>
  </si>
  <si>
    <t>Magura Palanca HC para MT eSTOP, aluminio, palanca de 1 dedo, ajuste con herramienta, desde MY2020, compatible con MT SPORT/MT4/MT5/MT TRAIL SPORT desde MY2015 (1 unid) - 2702003</t>
  </si>
  <si>
    <t>Magura Palanca HC para MT4, aluminio, palanca de 1 dedo, ajuste con herramienta, desde MY2015, compatible con MT SPORT/MT4/MT5/MT TRAIL SPORT desde MY2015 (1 unid) - 2701250</t>
  </si>
  <si>
    <t>Magura Palanca HC, aluminio, palanca de 1 dedo, ajuste cromado sin herramienta, para MT6/MT7/MT8/MT TRAIL SL desde MY2015 (1 unid) - 2701248</t>
  </si>
  <si>
    <t>Magura Palanca HC, aluminio, palanca de 1 dedo, ajuste sin herramienta, para MT6/MT7/MT8/MT TRAIL SL desde MY2015 (1 unid) - 2701246</t>
  </si>
  <si>
    <t>Magura Palanca HC, carbolay, palanca de 1 dedo, ajuste con herramienta, para MT6/MT7/MT8/MT TRAIL SL desde MY2015 (1 unid) - 2701631</t>
  </si>
  <si>
    <t>Magura Palanca HS22, palanca de 3 dedos, negro (1 unid) - 2700844</t>
  </si>
  <si>
    <t>Magura Palanca HS33 R, palanca de 2 dedos, negro (1 unid) - 2700307</t>
  </si>
  <si>
    <t>Magura Palanca HS33 R, palanca de 4 dedos aluminio con extremo de bola, HIGO closer, 150 mm de longitud de cable (1 unid) - 2700839</t>
  </si>
  <si>
    <t>Magura Palanca HS33 R, palanca de 4 dedos con extremo de bola, negro (1 unid) - 2700309</t>
  </si>
  <si>
    <t>Magura Palanca HS33 R, palanca de 4 dedos, negro (1 unid) - 2700308</t>
  </si>
  <si>
    <t>Magura Palanca MTC, palanca de 2 dedos aluminio con extremo de bola, negro (1 unid) - 2702530</t>
  </si>
  <si>
    <t>Magura Palanca MTC, palanca de 2 dedos aluminio, negro (1 unid) - 2702529</t>
  </si>
  <si>
    <t>Magura Palanca MTC, palanca de 3 dedos Carbotecture, negro (1 unid) - 2702528</t>
  </si>
  <si>
    <t>Magura Palanca para CMe5, aluminio, palanca de 4 dedos con extremo de bola (1 unid) - 2701714</t>
  </si>
  <si>
    <t>Magura Palanca para MT eSTOP, aluminio, palanca de 2 dedos, ajuste con herramienta, desde MY2020, compatible con MT SPORT/MT4/MT5/MT TRAIL SPORT desde MY2015 (1 unid) - 2702002</t>
  </si>
  <si>
    <t>Magura Palanca para MT eSTOP, aluminio, palanca de 3 dedos con extremo de bola, ajuste con herramienta, desde MY2020, compatible con MT SPORT/MT4/MT5/MT TRAIL SPORT desde MY2015 (1 unid) - 2702004</t>
  </si>
  <si>
    <t>Magura Palanca para MT SPORT, carbotecture, palanca de 2 dedos, ajuste con herramienta, desde MY2019, compatible con MT SPORT/MT4/MT5/MT TRAIL SPORT desde MY2015 (1 unid) - 2701701</t>
  </si>
  <si>
    <t>Magura Palanca para MT4, aluminio, palanca de 2 dedos, ajuste con herramienta, desde MY2015, compatible con MT SPORT/MT4/MT5/MT TRAIL SPORT desde MY2015 (1 unid) - 2700529</t>
  </si>
  <si>
    <t>Magura Palanca para MT4, aluminio, palanca de 4 dedos con extremo de bola, ajuste con herramienta, desde MY2015 (1 unid) - 2700873</t>
  </si>
  <si>
    <t>Magura Palanca para MT4, aluminio, palanca de 4 dedos, ajuste con herramienta, desde MY2015, compatible con MT SPORT/MT4/MT5/MT TRAIL SPORT desde MY2015 (1 unid) - 2700869</t>
  </si>
  <si>
    <t>Magura Palanca para MT4e, aluminio, palanca de 3 dedos con extremo de bola, ajuste con herramienta, HIGO closer NO, 150 mm de longitud de cable (1 unid) - 2700836</t>
  </si>
  <si>
    <t>Magura Palanca para MT5, aluminio, palanca de 2 dedos, ajuste con herramienta, desde MY2015, compatible con MT SPORT/MT4/MT5/MT TRAIL SPORT desde MY2015 (1 unid) - 2700538</t>
  </si>
  <si>
    <t>Magura Palanca para MT5e, aluminio, palanca de 3 dedos con extremo de bola, ajuste con herramienta, HIGO closer NO, 150 mm de longitud de cable (1 unid) - 2700837</t>
  </si>
  <si>
    <t>Magura Palanca, aluminio, palanca de 2 dedo, ajuste con herramienta, para MT6/MT7/MT8/MT TRAIL SL desde MY2015 (1 unid) - 2700854</t>
  </si>
  <si>
    <t>Magura Palanca, aluminio, palanca de 2 dedo, ajuste cromado sin herramienta, para MT6/MT7/MT8/MT TRAIL SL desde MY2015 (1 unid) - 2701216</t>
  </si>
  <si>
    <t>Magura Pin para manguera hidráulica de freno (10 unid) - 720825</t>
  </si>
  <si>
    <t>Magura Tornillo de Banjo para calipers MT con conexión rotatoria (5 unid) - 2701400</t>
  </si>
  <si>
    <t>Magura Tornillos EBT con O-ring, tornillo de purga de bloque matriz, T25 (2 unid) - 2700513</t>
  </si>
  <si>
    <t>Magura Torquímetro 4 Nm incluye dado ranurado con vastago hexagonal de 8mm (1 set) -  2701485</t>
  </si>
  <si>
    <t>Crankbrothers Pedales Mallet E, negro</t>
  </si>
  <si>
    <t>Fidlock Base magnética UNI TWIST con correas, Negro - 09620(BLK)</t>
  </si>
  <si>
    <t>Ciclismo &gt; Accesorios &gt; Bidones &amp; portabidones, Disponible A pedido</t>
  </si>
  <si>
    <t>Magura Freno MT8 SL Flat Mount, palanca de 1 dedo HC-Carbolay, 2 pistones (1 unid) - 2701732</t>
  </si>
  <si>
    <t>Magura Latiguillo de freno para CMe, longitud 3000 mm  (1 unid) - 2702768</t>
  </si>
  <si>
    <t>Disponible A pedido, Ciclismo &gt; Frenos &gt; Fundas y Cables para frenos</t>
  </si>
  <si>
    <t>Magura Manguera hidráulica, rollo de 100 m, para todos los frenos de aro y los frenos Julie de 2008 y anteriores (1 unid) - 2403163</t>
  </si>
  <si>
    <t>Magura Pieza de transporte para calipers, Amarillo (1 unid) - 2700688</t>
  </si>
  <si>
    <t>Magura Tuerca hidráulica con rosca larga para uso con interruptor de presión para E-Bikes (10 unid) - 721717</t>
  </si>
  <si>
    <t>Disponible A pedido, Ciclismo &gt; Frenos &gt; Repuestos y componentes para frenos</t>
  </si>
  <si>
    <t>Shimano XTR M9100 disco 160mm</t>
  </si>
  <si>
    <t>Shimano XTR M9100 disco 180mm</t>
  </si>
  <si>
    <t>Sram Biela GX Boost DUB Direct Mount Crankset 175 mm / 32t</t>
  </si>
  <si>
    <t>Crankbrothers Stamp 7 talla L negro</t>
  </si>
  <si>
    <t>Sram Rival XG 1250 12V 10-30t</t>
  </si>
  <si>
    <t>Disponible A pedido, Ciclismo &gt; Transmisión &gt; Piñones</t>
  </si>
  <si>
    <t>Diámetro de aro</t>
  </si>
  <si>
    <t>Ciclismo &gt; Ruedas &gt; Aros, Disponible A pedido</t>
  </si>
  <si>
    <t>Ciclismo &gt; Ruedas &gt; Cinta tubeless, Disponible A pedido</t>
  </si>
  <si>
    <t>Disponible A pedido, Ciclismo &gt; Ruedas &gt; Mazas</t>
  </si>
  <si>
    <t>Núcleo</t>
  </si>
  <si>
    <t>Altura</t>
  </si>
  <si>
    <t>Industry Nine</t>
  </si>
  <si>
    <t>ODI Puños Rogue Bonus Pack, negro - plateado</t>
  </si>
  <si>
    <t>Fidlock Base de tornillo VACUUM para celulares, Negro - VB-0000G-P0002(BLK)</t>
  </si>
  <si>
    <t>Fidlock Base magnética para bicicleta TWIST, Negro - 09603(BLK)</t>
  </si>
  <si>
    <t>Fidlock Bolsa de hidratación HERMETIC</t>
  </si>
  <si>
    <t>Fidlock Botella FIDGUARD 600 antibacterial</t>
  </si>
  <si>
    <t>Fidlock Botella sola TWIST 590</t>
  </si>
  <si>
    <t>Fidlock Botella sola TWIST 750 compact</t>
  </si>
  <si>
    <t>Fidlock Bolsa Portaherramientas TWIST + Base magnética para bicicleta, Negro - 09635(BLK)</t>
  </si>
  <si>
    <t>Fidlock Botella TWIST 590 + Base magnética para bicicleta</t>
  </si>
  <si>
    <t>Fidlock Botella TWIST 600 + Base magnética para bicicleta</t>
  </si>
  <si>
    <t>Fidlock Botella TWIST 450 niños + Base magnética para bicicleta, Naranja, Blanco transparante - 09638(CLR)</t>
  </si>
  <si>
    <t>Fidlock Botella TWIST 590 antibacterial + Base magnética para bicicleta, Negro transparante - AB-09636(TBL)</t>
  </si>
  <si>
    <t>Fidlock Botella TWIST 750 compact + Base magnética para bicicleta</t>
  </si>
  <si>
    <t>Fidlock Clip para tapa de lente SNAPSNAP, Negro - 05132-P00002(BLO)</t>
  </si>
  <si>
    <t>Ciclismo &gt; Accesorios &gt; Equipamiento para grabar y fotografiar</t>
  </si>
  <si>
    <t>Fidlock Conector magnético para botellas TWIST, Negro - 09604(BLK)</t>
  </si>
  <si>
    <t>Fidlock Conector UNI TWIST 80 + Base magnética UNI con correas, Negro - 09627(BLK)</t>
  </si>
  <si>
    <t>Fidlock Correa de cámara SNAPSNAP, Negro - 05222-R00011(BLK)</t>
  </si>
  <si>
    <t>Fidlock Montura magnética PINCLIP para cámara de acción, Negro - 09702(BLK)</t>
  </si>
  <si>
    <t>Fidlock Botella FIDGUARD 750 antibacterial</t>
  </si>
  <si>
    <t>Fidlock Botella sola TWIST 700 life</t>
  </si>
  <si>
    <t>Vittoria Valvulas multiway 40mm, negro</t>
  </si>
  <si>
    <t>Onza Cubierta plegable Porcupine TRC SC60 29" White Edition blanco-marrón/29x2,4</t>
  </si>
  <si>
    <t>Onza</t>
  </si>
  <si>
    <t>Crankbrothers Pedales Double Shot 3 - negro</t>
  </si>
  <si>
    <t>Shimano Calas SM-SH56</t>
  </si>
  <si>
    <t>SAPIM Nipple Polyax Aluminio Secure Lock - 2 mm - 14 mm</t>
  </si>
  <si>
    <t>SAPIM</t>
  </si>
  <si>
    <t>KMC Cadena X12 de 126 links, Aurora Azul</t>
  </si>
  <si>
    <t>BARON Maza posterior straightpull IS SP, 6 pernos, boost 148x12</t>
  </si>
  <si>
    <t>Huecos</t>
  </si>
  <si>
    <t>BARON</t>
  </si>
  <si>
    <t>BARON Maza frontal IS, 6 pernos, 110x15 boost, 32h, negro</t>
  </si>
  <si>
    <t>BARON Maza posterior IS, 6 pernos, boost 148x12</t>
  </si>
  <si>
    <t>SAPIM Radio D-Light 2.0-1.65-2.0 Straightpull - black - 304 mm</t>
  </si>
  <si>
    <t>SAPIM Radio Laser 2.0-1.5-2.0 en J - black - 294 mm</t>
  </si>
  <si>
    <t>Gemini Plato RIGEL</t>
  </si>
  <si>
    <t>Disponible A pedido, Ciclismo &gt; Transmisión &gt; Plato</t>
  </si>
  <si>
    <t>Interface</t>
  </si>
  <si>
    <t>Dientes</t>
  </si>
  <si>
    <t>Vittoria Mezcal XC-Trail TR 27.5x2.25 gris</t>
  </si>
  <si>
    <t>DMR Brendog Deathgrip Flangeless - Gruesas - Suaves - negro</t>
  </si>
  <si>
    <t>Crankbrothers Pedales Candy 1 One Size rojo</t>
  </si>
  <si>
    <t>PIRELLI</t>
  </si>
  <si>
    <t>Vittoria Barzo XC-Trail TR 27.5x2.25 gris</t>
  </si>
  <si>
    <t>Magura Pastillas 8.S Sport para un caliper MT de 4 pistones (20 sets) incl. Tornillos - 2701928</t>
  </si>
  <si>
    <t>Magura Pastillas 8.P Performance para un caliper MT de 4 pistones (20 sets) incl. Tornillos - 2701654</t>
  </si>
  <si>
    <t>Fidlock Tarro de cobertores de válvula, Fucsia, Petróleo, Veder Claro - H0038</t>
  </si>
  <si>
    <t>Crankbrothers Pedales Candy 1 One Size negro</t>
  </si>
  <si>
    <t>PIRELLI Cámara SporTUBE MTB 27.5 x 2.1-2.4 SV 48 mm</t>
  </si>
  <si>
    <t>Fidlock Bolsa de sillín PINCLIP con base magnética de sillín, S, Negro - SB-10001(BLK)</t>
  </si>
  <si>
    <t>Fidlock Bolso essential TWIST + Base magnética para bicicleta</t>
  </si>
  <si>
    <t>Fidlock Botella TWIST 450 + Base magnética para bicicleta</t>
  </si>
  <si>
    <t>Fidlock Clip para tubo de Bolsa de hidratación, S (9mm), Negro - 09720-P00002(BLK)</t>
  </si>
  <si>
    <t>Fidlock Conector de fuerza TWIST para batería TQ range extender, Negro - 09656(BLK)</t>
  </si>
  <si>
    <t>Fidlock Estante exhibidor, Negro - H0056-57-SET</t>
  </si>
  <si>
    <t>Ciclismo &gt; Accesorios &gt; Comercialización</t>
  </si>
  <si>
    <t>Fidlock Exhibidor de barra de tecnologia TWIST + VACUUM 1, Negro - H0067-SET</t>
  </si>
  <si>
    <t>Fidlock Exhibidor de correa de tecnologia TWIST TEX multi, Negro - H0063-SET</t>
  </si>
  <si>
    <t>Fidlock Exhibidor para bicicleta TWIST, L (25 unds), Negro - H0033</t>
  </si>
  <si>
    <t>Fidlock Exhibidor para bicicleta TWIST, S (10 unds), Negro - H0032</t>
  </si>
  <si>
    <t>Fidlock Funda térmica TWIST 590, Negro - 09712(BLK)</t>
  </si>
  <si>
    <t>Fidlock Riñonera HIP BELT botella doble 450, Negro - HB-20001(BLK)</t>
  </si>
  <si>
    <t>Fidlock Riñonera HIP BELT botella individual 450, Negro - HB-10001(BLK)</t>
  </si>
  <si>
    <t>Fidlock Botella TWIST 800 + Base magnética para bicicleta</t>
  </si>
  <si>
    <t>Fidlock Botella TWIST KEEGO 600 + Base magnética para bicicleta</t>
  </si>
  <si>
    <t>Rockshox Grasa PTFE para juntas Dynamic, 29 ml</t>
  </si>
  <si>
    <t>Shimano Pedales PD-M520, Negro</t>
  </si>
  <si>
    <t>Sram Tapa de protección de batería AXS</t>
  </si>
  <si>
    <t>Shimano Descarrilador SLX RD-M7000 11v</t>
  </si>
  <si>
    <t>Sram Descarrilador GX 11v X-horizon, negro</t>
  </si>
  <si>
    <t>Sram Pastillas sinterizadas para frenos Level (T,TL) y Avid - 11.5015.040.000</t>
  </si>
  <si>
    <t>Sram roldanas para Force 1, Force CX1, Rival 1, XX1, X01, X0DH, X1, GX X-Sync 11v - 11.7518.032.000</t>
  </si>
  <si>
    <t>Sram Shifter GX-E trigger 11v - 00.7018.377.000</t>
  </si>
  <si>
    <t>Truvativ Bottom Bracket Power Spline 68 mm/113 mm</t>
  </si>
  <si>
    <t>Ciclismo &gt; Transmisión &gt; Pedalier</t>
  </si>
  <si>
    <t>Truvativ</t>
  </si>
  <si>
    <t>Rockshox Aceite para suspensión 0w-30, 1 litro</t>
  </si>
  <si>
    <t>Rockshox Aceite para suspensión 2.5wt, 1 litro</t>
  </si>
  <si>
    <t>Rockshox Aceite para suspensión Máxima 3wt PLUSH, 1 litro</t>
  </si>
  <si>
    <t>Sram Latiguillo kit para Guide RSC, RS, R, DB5, Level TL</t>
  </si>
  <si>
    <t>Oak Components</t>
  </si>
  <si>
    <t>Disponible A pedido, Ciclismo &gt; Taller &gt; Tornillos &amp; material de montaje</t>
  </si>
  <si>
    <t>Disponible A pedido, Ciclismo &gt; Ropa &gt; Jerseys Polos y Poleras</t>
  </si>
  <si>
    <t>Disponible A pedido, Ciclismo &gt; Transmisión &gt; Guíacadenas &amp; Bashguards</t>
  </si>
  <si>
    <t>Disponible A pedido, Ciclismo &gt; Dirección &gt; Tapa de dirección</t>
  </si>
  <si>
    <t>Skuad Válvula high flow para insert, 40mm</t>
  </si>
  <si>
    <t>Skuad</t>
  </si>
  <si>
    <t>77Designz</t>
  </si>
  <si>
    <t>Disponible A pedido, Ciclismo &gt; Dirección &gt; Potencias</t>
  </si>
  <si>
    <t>Disponible A pedido, Ciclismo &gt; Dirección &gt; Espaciador</t>
  </si>
  <si>
    <t>Medidas</t>
  </si>
  <si>
    <t>Disponible A pedido, Ciclismo &gt; Amortiguador &gt; Piezas y accesorios para horquillas</t>
  </si>
  <si>
    <t>Ashima Disco ARO-19, gris</t>
  </si>
  <si>
    <t>Ashima</t>
  </si>
  <si>
    <t>Ashima Disco ARO-19, negro</t>
  </si>
  <si>
    <t>Ashima Disco ARO-19, rojo</t>
  </si>
  <si>
    <t>Fidlock Conector magnético IZQUIERDO para botellas TWIST, Negro - 09671(BLK)</t>
  </si>
  <si>
    <t>Ciclismo &gt; Ruedas &gt; Mazas</t>
  </si>
  <si>
    <t>Extralite  Aros completos CarboCamber 327 / 950gr,Hyperboost 3</t>
  </si>
  <si>
    <t>Extralite</t>
  </si>
  <si>
    <t>Extralite Aros completos CarboCamber 330 / 950gr,Hyperboost 3</t>
  </si>
  <si>
    <t>Extralite Aros completos CarboCamber 330+ Berd 910gr,Hyperboost 3</t>
  </si>
  <si>
    <t>Extralite Bielas QRC-3, negro brillante</t>
  </si>
  <si>
    <t>Extralite Bielas QRC-3S naranja - morado</t>
  </si>
  <si>
    <t>Extralite Bielas QRC-3S negro brillante</t>
  </si>
  <si>
    <t>Extralite Bielas QRC-3S oro - azul</t>
  </si>
  <si>
    <t>Extralite Bielas QRC-3S oro - rojo</t>
  </si>
  <si>
    <t>Extralite Bielas QRC-3S Plata antracita</t>
  </si>
  <si>
    <t>Extralite Juego de ruedas Cyberdisc 327c 24h</t>
  </si>
  <si>
    <t>Extralite Juego de ruedas Cyberdisc 339c 24h</t>
  </si>
  <si>
    <t>Extralite Juego de ruedas Cyberdisc 340c 24h</t>
  </si>
  <si>
    <t>Extralite Juego de ruedas Cyberdisc E25T 24h</t>
  </si>
  <si>
    <t>Extralite Juego de ruedas HyperGravel HC  24h</t>
  </si>
  <si>
    <t>Extralite Juego de ruedas HyperGravel HC Berd 24h</t>
  </si>
  <si>
    <t>Extralite Juego de ruedas HyperGravel SL 24h</t>
  </si>
  <si>
    <t>Extralite Juego de ruedas HyperGravel SL Berd 24h</t>
  </si>
  <si>
    <t>Extralite Maza delantera y posterior Cyber SPD 3+ 24h Negro</t>
  </si>
  <si>
    <t>Extralite Maza delantera Hyperboost3 Boost 15x110</t>
  </si>
  <si>
    <t>Extremo del eje frontal</t>
  </si>
  <si>
    <t>Extralite Maza delantera y posterior Cyber SPD 3+ 24h Silver</t>
  </si>
  <si>
    <t>Extralite Maza delantera y posterior Hyper Smart3+ 24h, negro</t>
  </si>
  <si>
    <t>Extralite Maza posterior Hyper Smart3+ 24h Eje pasante 12x142mm</t>
  </si>
  <si>
    <t>Extralite Maza posterior Hyper Smart3+ 24h Plumilla 135mm</t>
  </si>
  <si>
    <t>Extralite Maza posterior Hyper Smart3+ 28h Eje pasante 12x142mm</t>
  </si>
  <si>
    <t>Extralite Maza posterior Hyper Smart3+ 28h Plumilla 135mm</t>
  </si>
  <si>
    <t>Extralite Maza posterior Hyperboost R+  Boost 12x148 24h</t>
  </si>
  <si>
    <t>Extralite Maza posterior Hyperboost3 Boost 12x148</t>
  </si>
  <si>
    <t>Extralite Maza posterior HyperRear2+ 32h Eje pasante 12x142</t>
  </si>
  <si>
    <t>Extralite Maza posterior HyperRear2+ 32h Plumilla 10x135qr</t>
  </si>
  <si>
    <t>Extralite Maza posterior HyperSmart 3 eje pasante 142mm</t>
  </si>
  <si>
    <t>Extralite Maza posterior HyperSmart 3 Plumilla qr135mm, 24h</t>
  </si>
  <si>
    <t>Extralite Maza posterior HyperSmart 3+ eje pasante 142mm</t>
  </si>
  <si>
    <t>Extralite Maza posterior HyperSmart 3+ plumilla qr135mm</t>
  </si>
  <si>
    <t>Extralite Maza posterior y delantera Hyperboost3 Boost</t>
  </si>
  <si>
    <t>Extralite Maza posterior y delantera Hyperboost3 Silver Boost</t>
  </si>
  <si>
    <t>Extralite Maza trasera CyberRear SL-2 QR 10x130 24h</t>
  </si>
  <si>
    <t>Extralite Maza trasera CyberRear SP 28h QR 10x130mm</t>
  </si>
  <si>
    <t>Extralite Maza trasera CyberRear SPD 3+ 24h 12x142mm</t>
  </si>
  <si>
    <t>Extralite Maza trasera CyberRear SPD-2 24h QR 10 x 130 mm</t>
  </si>
  <si>
    <t>Extralite Maza trasera CyberRear SPD-T2 24h QR 10x130mm</t>
  </si>
  <si>
    <t>Fidlock Botella de repuesto TWIST 750 compact</t>
  </si>
  <si>
    <t>Extralite Sillin Hypersaddle</t>
  </si>
  <si>
    <t>Magura Kit de tornillería MT (4 olivas, 4 pines, 2 tornillos EBT y 2 tornillos de abrazadera) - 2703041</t>
  </si>
  <si>
    <t>SAPIM Radio CX-RAY SP, negro, 14G</t>
  </si>
  <si>
    <t>SKS Airchecker G2</t>
  </si>
  <si>
    <t>SKS</t>
  </si>
  <si>
    <t>Sram Pastillas de Freno Trail | Guide | G2 - Metálicas con Placa Acero - Powerful - 00.5318.003.005 (20 sets)</t>
  </si>
  <si>
    <t>Sram Pastillas para Code desde MY 2011 / Guide RE - Orgánicas con Placa Acero - 00.5315.023.030 (20 sets)</t>
  </si>
  <si>
    <t>Sram Pastillas para Elixir | DB | Level T / TL | Level TLM / Ultimate con MY 2020 - Sintética con Placa de Acero - Powerful - 00.5315.035.010 (20 sets)</t>
  </si>
  <si>
    <t>Vittoria Barzo XC-Race TR 29</t>
  </si>
  <si>
    <t>Vittoria Barzo XC-Trail TR 29</t>
  </si>
  <si>
    <t>ODI Placa de matrícula Downhill</t>
  </si>
  <si>
    <t>Ciclismo &gt; Dirección &gt; Manillares, Próximamente en llegar</t>
  </si>
  <si>
    <t>Pronto en stock</t>
  </si>
  <si>
    <t>Duke Stickers, varios colores para cada modelo de aro</t>
  </si>
  <si>
    <t>Tipo de Eje</t>
  </si>
  <si>
    <t>Extralite Juego de ruedas Cyberdisc 338T 24h, 12x142mm, quick release 135mm</t>
  </si>
  <si>
    <t>Extralite Juego de ruedas Cyberdisc 339t 24h, 12x142mm, quick release 135mm</t>
  </si>
  <si>
    <t>Extralite Maza delantera y posterior Cyber SL-2 Negro, 20h, 24h, 28h, 10x135mm quick release, 12x142mm thru release</t>
  </si>
  <si>
    <t>Eje</t>
  </si>
  <si>
    <t>Magura Disco MDR-S</t>
  </si>
  <si>
    <t>Magura Freno Gustav Pro, 2200mm, 4 pistones (1 unid) - 2703046</t>
  </si>
  <si>
    <t>Magura Pastillas 13.S Sport para un caliper MT de 4 pistones, GUSTAV OE (1 set) incl. Tornillos - 2703067</t>
  </si>
  <si>
    <t>Ciclismo &gt; Ropa &gt; Gafas &amp; Goggles</t>
  </si>
  <si>
    <t>Ciclismo &gt; Ropa &gt; Guantes</t>
  </si>
  <si>
    <t>Ciclismo &gt; Ropa &gt; Shorts</t>
  </si>
  <si>
    <t>Ciclismo &gt; Ropa &gt; Cascos</t>
  </si>
  <si>
    <t>Airbone Key Ring with Valve Adapter SV to AV black</t>
  </si>
  <si>
    <t>Airbone</t>
  </si>
  <si>
    <t>Alé Jaquard Black One Size</t>
  </si>
  <si>
    <t>Ciclismo &gt; Ropa &gt; Máscaras</t>
  </si>
  <si>
    <t>Alé</t>
  </si>
  <si>
    <t>Alpcross Tija de sillín Die Stütze Lt Carbon, 27.2mm, 400mm</t>
  </si>
  <si>
    <t>Ciclismo &gt; Sillines y tijas &gt; Tijas de sillín</t>
  </si>
  <si>
    <t>Alpcross</t>
  </si>
  <si>
    <t>BARON Maza frontal straightpull IS SP, 6 pernos, 110x15 boost, negro</t>
  </si>
  <si>
    <t>BARON Maza posterior straightpull CL SP, 142x12</t>
  </si>
  <si>
    <t>Ashima Adaptador de Center Lock a IS 6 agujeros QR</t>
  </si>
  <si>
    <t>BBB Alicates de cadena LinkFix BTL-77 negro/universal</t>
  </si>
  <si>
    <t>BBB</t>
  </si>
  <si>
    <t>BC Basic Pedales de plataforma negro</t>
  </si>
  <si>
    <t>BC Basic Válvulas tubeless - 2 Unid negro/44 mm</t>
  </si>
  <si>
    <t>Bear</t>
  </si>
  <si>
    <t>Bell Super Air R Spherical - Fullface Helm Color: matte/gloss blue/hi-viz</t>
  </si>
  <si>
    <t>Bell</t>
  </si>
  <si>
    <t>Bell Super DH MIPS</t>
  </si>
  <si>
    <t>Bosch Abrazadera del display Purion 400 31,8 mm (Ref. 124.24040)</t>
  </si>
  <si>
    <t>Bosch</t>
  </si>
  <si>
    <t>Bosch Bateria PowerTube 625 Horizontal</t>
  </si>
  <si>
    <t>Bosch Cable PowerMore 300 mm, Compatible con Mondraker Sly y más</t>
  </si>
  <si>
    <t>Bosch Controlador del Sistema (system controller) Smart System BS3</t>
  </si>
  <si>
    <t>Bosch Display Intuvia 100 BS3 – para Smart System</t>
  </si>
  <si>
    <t>Bosch Display Purion 400 BS3 – para Smart System</t>
  </si>
  <si>
    <t>Bosch Lockring BDU37YY / BDU31YY / BUD38YY para DUNE, SLY, CRAFTY CARBON (Ref. 124.24042)</t>
  </si>
  <si>
    <t>Bosch Mini Remote BS3 22.2 mm, Control remoto para Smart System</t>
  </si>
  <si>
    <t>Burgtec Bartender Pro Single Lock On - Deep Blue</t>
  </si>
  <si>
    <t>Burgtec</t>
  </si>
  <si>
    <t>Burgtec Bartender Pro Single Lock On - Purple Rain</t>
  </si>
  <si>
    <t>Cinelli Seat Post Vai Black Anodized 350 mm / 27.2 mm</t>
  </si>
  <si>
    <t>Cinelli</t>
  </si>
  <si>
    <t>Ciclismo &gt; Ropa &gt; Chaquetas &amp; chalecos</t>
  </si>
  <si>
    <t>Columbia</t>
  </si>
  <si>
    <t>Continental Cámara Light MTB 29 universal/28-29 x 1,75-2,5 SV 42 mm</t>
  </si>
  <si>
    <t>Continental Cross King Alambrada 26x2.2</t>
  </si>
  <si>
    <t>Continental Race King Alambrada 26x2.2</t>
  </si>
  <si>
    <t>Continental Tyre Lever MTB / Tour</t>
  </si>
  <si>
    <t>Ciclismo &gt; Ruedas &gt; Piezas pequeñas</t>
  </si>
  <si>
    <t>Crankbrothers Calas Premium easy release 6° Rose</t>
  </si>
  <si>
    <t>Crankbrothers Multiherramienta M-17 negro</t>
  </si>
  <si>
    <t>Crankbrothers Pedales Eggbeater 2 one size</t>
  </si>
  <si>
    <t>Crankbrothers Stamp 1 talla L amarillo</t>
  </si>
  <si>
    <t>Crankbrothers Stamp 1 talla L morado</t>
  </si>
  <si>
    <t>Crankbrothers Stamp 1 talla L naranja</t>
  </si>
  <si>
    <t>Crankbrothers Stamp 1 talla L negro</t>
  </si>
  <si>
    <t>Crankbrothers Stamp 1 talla L rojo</t>
  </si>
  <si>
    <t>Crankbrothers Stamp 1 talla S</t>
  </si>
  <si>
    <t>Crankbrothers Zero Float</t>
  </si>
  <si>
    <t>Cube ETP Pedal-Pins 10 units</t>
  </si>
  <si>
    <t>Cycplus Inflador mini AS2 Pro Eléctrico</t>
  </si>
  <si>
    <t>Ciclismo &gt; Ruedas &gt; Infladores</t>
  </si>
  <si>
    <t>Cycplus</t>
  </si>
  <si>
    <t>Dakine Vectra Diablo</t>
  </si>
  <si>
    <t>Dakine</t>
  </si>
  <si>
    <t>Ciclismo &gt; Dirección &gt; Manillares</t>
  </si>
  <si>
    <t>Deda Vinci</t>
  </si>
  <si>
    <t>DMR Brendog Deathgrip - Gruesas - Suaves mostaza</t>
  </si>
  <si>
    <t>DMR Brendog Deathgrip Flangeless - Delgado - Suaves Verde Camo</t>
  </si>
  <si>
    <t>DMR Brendog Deathgrip Flangeless - Gruesas - Suaves - Azul manchado</t>
  </si>
  <si>
    <t>Duke Regla para Mazas</t>
  </si>
  <si>
    <t>Disponible A pedido, Ciclismo &gt; Taller &gt; Herramientas según módulos</t>
  </si>
  <si>
    <t>Dyedbro Lightning azul</t>
  </si>
  <si>
    <t>Dyedbro</t>
  </si>
  <si>
    <t>Dyedbro Ride Or Die</t>
  </si>
  <si>
    <t>El Gallo</t>
  </si>
  <si>
    <t>Elita One</t>
  </si>
  <si>
    <t>Elite Jet 550ml Clear / Grey One Size</t>
  </si>
  <si>
    <t>Elite</t>
  </si>
  <si>
    <t>Elite Lateral Prism Fibra Left Black One Size</t>
  </si>
  <si>
    <t>Ergon GD1 Factory Slim MTB Gravity Grips naranja negro</t>
  </si>
  <si>
    <t>Ergon GE1 Evo Factory Regular Bar Grips - frozen stealth / oil slick</t>
  </si>
  <si>
    <t>Ergon GE1 Evo Frozen Stealth Grips negro</t>
  </si>
  <si>
    <t>Ergon GE1 Evo Grips amarillo negro</t>
  </si>
  <si>
    <t>Ergon GE1 Evo Grips negro</t>
  </si>
  <si>
    <t>ESIgrips Extra Chunky Handlebars negro</t>
  </si>
  <si>
    <t>ESIgrips</t>
  </si>
  <si>
    <t>ESIgrips Extra Chunky Handlebars rojo</t>
  </si>
  <si>
    <t>Ciclismo &gt; Taller &gt; Tornillos &amp; material de montaje</t>
  </si>
  <si>
    <t>Extralite potencia Ultrastem / Roadstem OC +4°, 31.8mm</t>
  </si>
  <si>
    <t>Ciclismo &gt; Dirección &gt; Potencias</t>
  </si>
  <si>
    <t>Extralite Cierre rapido de ruta de titanio Streeters</t>
  </si>
  <si>
    <t>Ciclismo &gt; Ruedas &gt; Ejes pasantes</t>
  </si>
  <si>
    <t>Extralite Combo 3</t>
  </si>
  <si>
    <t>Extralite Covertor Aero</t>
  </si>
  <si>
    <t>Extralite CyberCity 349 Fr</t>
  </si>
  <si>
    <t>Extralite CyberFront SP-B</t>
  </si>
  <si>
    <t>Extralite CyberFront/Rear SP-2 Limited Silver Hubsets</t>
  </si>
  <si>
    <t>Extralite CyberRear SL-2B 128 g</t>
  </si>
  <si>
    <t>Extralite CyberRear SP-2B</t>
  </si>
  <si>
    <t>Extralite Eje delantero BlackLock</t>
  </si>
  <si>
    <t>Extralite Eje Plumilla Aliens 3</t>
  </si>
  <si>
    <t>Extralite Eje Plumilla Aliens 4</t>
  </si>
  <si>
    <t>Extralite Eje posterior BlackLock</t>
  </si>
  <si>
    <t>Extralite Extensores de manillar Cyberends</t>
  </si>
  <si>
    <t>Extralite espaciador para el Covertor Aero ACS-06 01</t>
  </si>
  <si>
    <t>Extralite ExtraBolt 1</t>
  </si>
  <si>
    <t>Extralite ExtraBolt 1 7.2 g</t>
  </si>
  <si>
    <t>Extralite ExtraBolt 1.1 9 g</t>
  </si>
  <si>
    <t>Extralite ExtraBolt 1.1S 9 g</t>
  </si>
  <si>
    <t>Extralite ExtraBolt 1.2</t>
  </si>
  <si>
    <t>Extralite ExtraBolt 1.2S</t>
  </si>
  <si>
    <t>Extralite ExtraBolt 12.1</t>
  </si>
  <si>
    <t>Extralite ExtraBolt 12.1 2.8 g</t>
  </si>
  <si>
    <t>Extralite ExtraBolt 12.2</t>
  </si>
  <si>
    <t>Extralite ExtraBolt 12.2 1 g</t>
  </si>
  <si>
    <t>Extralite ExtraBolt 16</t>
  </si>
  <si>
    <t>Extralite ExtraBolt 2</t>
  </si>
  <si>
    <t>Extralite ExtraBolt 3.6 3.9 g</t>
  </si>
  <si>
    <t>Extralite ExtraBolt 4</t>
  </si>
  <si>
    <t>Extralite ExtraBolt 8</t>
  </si>
  <si>
    <t>Cantidad</t>
  </si>
  <si>
    <t>Extralite Grips Hypergrips</t>
  </si>
  <si>
    <t>Extralite herramientas de inserción de rodamientos</t>
  </si>
  <si>
    <t>Ciclismo &gt; Taller &gt; Sets de herramientas</t>
  </si>
  <si>
    <t>Extralite Hyper BB</t>
  </si>
  <si>
    <t>Ciclismo &gt; Transmisión &gt; Bielas</t>
  </si>
  <si>
    <t>Extralite Hypercap</t>
  </si>
  <si>
    <t>Extralite HyperCap 1-1/4</t>
  </si>
  <si>
    <t>Extralite HyperSpacer</t>
  </si>
  <si>
    <t>Extralite Hyperterra 3</t>
  </si>
  <si>
    <t>Extralite HyperV3 F/R hubset</t>
  </si>
  <si>
    <t>Extralite Manillar Hyperbar 31.8mm rise + -5 curvatura 6°</t>
  </si>
  <si>
    <t>Extralite Maza delantera CyberFront HD 9x100mm</t>
  </si>
  <si>
    <t>Extralite Kit adaptador de refuerzo delantero BAK 3-F</t>
  </si>
  <si>
    <t>Extralite Kit adaptador de refuerzo delantero BAK-F 34gr</t>
  </si>
  <si>
    <t>Extralite Kit adaptador de refuerzo posterior BAK 3-R</t>
  </si>
  <si>
    <t>Extralite Kit adaptador de refuerzo posterior BAK-R 54gr</t>
  </si>
  <si>
    <t>Extralite LeftyLite</t>
  </si>
  <si>
    <t>Extralite Manillar Ultrabar 2</t>
  </si>
  <si>
    <t>Extralite Maza delantera CyberFront SL 9x100mm</t>
  </si>
  <si>
    <t>Extralite Maza delantera CyberFront SP 9x100mm</t>
  </si>
  <si>
    <t>Extralite Maza delantera CyberFront SPD 3+ 24h</t>
  </si>
  <si>
    <t>Medida</t>
  </si>
  <si>
    <t>Extralite Maza delantera CyberFront SP-X 9x100mm</t>
  </si>
  <si>
    <t>Extralite Maza delantera Hyper Eje pasante 142mm</t>
  </si>
  <si>
    <t>Extralite Maza delantera Hyper QR15-15mm eje pasante</t>
  </si>
  <si>
    <t>Extralite Maza delantera Hyper Smart 3+ 24h</t>
  </si>
  <si>
    <t>Extralite Maza delantera Hyper Smart 3+ 28h</t>
  </si>
  <si>
    <t>Extralite Maza delantera Hyper Smart3 24h</t>
  </si>
  <si>
    <t>Extralite Maza delantera Hyper Smart3 28h</t>
  </si>
  <si>
    <t>Extralite Maza delantera HyperLefty 2 Boost</t>
  </si>
  <si>
    <t>Extralite Maza delantera HyperLefty 3 Boost</t>
  </si>
  <si>
    <t>Extralite Maza delantera HyperLefty Boost</t>
  </si>
  <si>
    <t>Extralite Maza delantera Hyperboost F Boost 15X110</t>
  </si>
  <si>
    <t>Extralite Maza delantera HyperSmart 3 9x100mm</t>
  </si>
  <si>
    <t>Extralite Maza delantera HyperSmart 3 Eje pasante 12mm</t>
  </si>
  <si>
    <t>Extralite Maza delantera HyperSmart 3 Plumilla qr15</t>
  </si>
  <si>
    <t>Extralite Maza delantera HyperSmart 3+</t>
  </si>
  <si>
    <t>Extralite Maza delantera HyperWiz Boost</t>
  </si>
  <si>
    <t>Extralite Maza posterior Hyper JR+ 28h Eje pasante 12x142mm</t>
  </si>
  <si>
    <t>Extralite Maza posterior Hyper JR+ 28h Plumilla 10x135qr</t>
  </si>
  <si>
    <t>Extralite maza frontal CyberFront SL-B 43 g</t>
  </si>
  <si>
    <t>Extralite Perno Extrabolt 3.6</t>
  </si>
  <si>
    <t>Extralite OctaOne</t>
  </si>
  <si>
    <t>Extralite OctaRamp 22E</t>
  </si>
  <si>
    <t>Ciclismo &gt; Transmisión &gt; Plato</t>
  </si>
  <si>
    <t>Extralite OctaRamp 22T</t>
  </si>
  <si>
    <t>Extralite OctaRamp 30T</t>
  </si>
  <si>
    <t>Extralite OctaRamp 32T</t>
  </si>
  <si>
    <t>Extralite OctaRamp 44T</t>
  </si>
  <si>
    <t>Extralite plato Octaphase BCD 110</t>
  </si>
  <si>
    <t>Extralite Potencia HyperStealth 31.8mm, -6°</t>
  </si>
  <si>
    <t>Extralite potencia Hyperstem 1.25, 31.8mm, + -6°</t>
  </si>
  <si>
    <t>Extralite potencia Hyperstem Silver Edición Limitada, 31.8mm</t>
  </si>
  <si>
    <t>Angulo</t>
  </si>
  <si>
    <t>Extralite Roldanas Ultrapulley "kit"</t>
  </si>
  <si>
    <t>Extralite Potencia Roadstem UL 25.4mm -6°, 130mm</t>
  </si>
  <si>
    <t>Extralite Potencia Ultrastem UL3 25.4mm + 4°, 120mm</t>
  </si>
  <si>
    <t>Extralite Roldanas Ultrapulley "single"</t>
  </si>
  <si>
    <t>Extralite Soporte de ciclocomputador CH-02</t>
  </si>
  <si>
    <t>Ciclismo &gt; Dirección &gt; Soportes de dispositivos</t>
  </si>
  <si>
    <t>Anclaje</t>
  </si>
  <si>
    <t>Extralite Tapa de Hypergrips</t>
  </si>
  <si>
    <t>Extralite Tornillos para platos Extrabolt 1S</t>
  </si>
  <si>
    <t>Extralite SCR-058c 580 g</t>
  </si>
  <si>
    <t>Extralite set de platos OctaRamp CH-2 BCD 110 53t y 39t</t>
  </si>
  <si>
    <t>Extralite set de platos OctaRamp RC-2 BCD 110 50t y 34t</t>
  </si>
  <si>
    <t>Extralite Soporte para GO-PRO GP-02</t>
  </si>
  <si>
    <t>Extralite TA12 Adaptor kit</t>
  </si>
  <si>
    <t>Fidlock bandolera HERMETIC</t>
  </si>
  <si>
    <t>Extralite UltraBottom</t>
  </si>
  <si>
    <t>Extralite UltraBottom (tapered forks)</t>
  </si>
  <si>
    <t>Extralite UltraLevers 3</t>
  </si>
  <si>
    <t>Extralite UltraPulley "kit"</t>
  </si>
  <si>
    <t>Extralite UltraPulley "single"</t>
  </si>
  <si>
    <t>Extralite UltraStar 4</t>
  </si>
  <si>
    <t>Extralite UltraTop</t>
  </si>
  <si>
    <t>Extralite UltraTop HD</t>
  </si>
  <si>
    <t>Exustar Pedales E-PB73, negro</t>
  </si>
  <si>
    <t>Exustar</t>
  </si>
  <si>
    <t>EZMTB Kit de Purgado para Frenos Hidraulicos Lite Universal</t>
  </si>
  <si>
    <t>EZMTB</t>
  </si>
  <si>
    <t>Fidlock Base magnética de pared VACCUM para celulare</t>
  </si>
  <si>
    <t>Fidlock Base magnética integrada para bicicleta TWIST, Negro - F9617-P00112(BLK)</t>
  </si>
  <si>
    <t>Fidlock Base magnética para bicicleta TWIST, Negro - 09603(BLK) - PCK</t>
  </si>
  <si>
    <t>Fidlock Base magnética Vario, Negro - 09697(BLK)</t>
  </si>
  <si>
    <t>Fidlock Base magnética XL UNI TWIST con correas, Negro - 09685(BLK)</t>
  </si>
  <si>
    <t>Fidlock base sola TEX, Negro - VB-0001G(BLK)</t>
  </si>
  <si>
    <t>Fidlock Bolsa HERMETIC maxi</t>
  </si>
  <si>
    <t>Fidlock Bolsa HERMETIC medi</t>
  </si>
  <si>
    <t>Fidlock Bolsa HERMETIC mega</t>
  </si>
  <si>
    <t>Fidlock Bolsa HERMETIC multi</t>
  </si>
  <si>
    <t>Fidlock Bolsa Portaherramientas sola TWIST, Negro - 09646(BLK)</t>
  </si>
  <si>
    <t>Fidlock Bolsa Portaherramientas TWIST + Base magnética UNI con correas, Negro - 09643(BLK)</t>
  </si>
  <si>
    <t>Fidlock Botella Antibacterial TWIST 450 + Base magnética para bicicleta, Negro transparente - AB-09611-P11032(TBL)</t>
  </si>
  <si>
    <t>Fidlock Botella Antibacterial TWIST 600 + Base magnética para bicicleta, Negro transparente - AB-09669-P01032(TBL)</t>
  </si>
  <si>
    <t>Fidlock Botella Antibacterial TWIST 750 + Base magnética para bicicleta, Negro transparente - AB-09676-P01032(TBL)</t>
  </si>
  <si>
    <t>Fidlock Botella Antibacterial TWIST 800 + Base magnética para bicicleta, Negro transparente - AB-09653-P01032(TBL)</t>
  </si>
  <si>
    <t>Fidlock Botella de repuesto TWIST 450</t>
  </si>
  <si>
    <t>Fidlock Botella de repuesto TWIST 590</t>
  </si>
  <si>
    <t>Fidlock Botella de repuesto TWIST 600</t>
  </si>
  <si>
    <t>Fidlock Botella de repuesto TWIST 700 life</t>
  </si>
  <si>
    <t>Fidlock Botella de repuesto TWIST 800</t>
  </si>
  <si>
    <t>Fidlock Botella de repuesto antibacterial TWIST 450, Negro transparente - AB-09612-P02002(TBL)</t>
  </si>
  <si>
    <t>Fidlock Botella de repuesto antibacterial TWIST 590, Negro transparente - AB-09637(TBL)</t>
  </si>
  <si>
    <t>Fidlock Botella de repuesto antibacterial TWIST 600, Negro transparente - AB-09667-P01002(TBL)</t>
  </si>
  <si>
    <t>Fidlock Botella de repuesto antibacterial TWIST 750, Negro transparente - AB-09674-P01002(TBL)</t>
  </si>
  <si>
    <t>Fidlock Botella de repuesto antibacterial TWIST 800, transparent black - AB-09651-P01002(TBL)</t>
  </si>
  <si>
    <t>Fidlock Botella de repuesto niños TWIST 450, Naranja, Blanco transparante - 09639(CLR)</t>
  </si>
  <si>
    <t>Fidlock Botella de repuesto TWIST KEEGO 600</t>
  </si>
  <si>
    <t>Fidlock Botella sola Antibacterial TWIST 450, Negro transparente - AB-09633-P02032(TBL)</t>
  </si>
  <si>
    <t>Fidlock Botella sola antibacterial TWIST 590, Negro transparente - AB-09642(TBL)</t>
  </si>
  <si>
    <t>Fidlock Botella sola Antibacterial TWIST 600, Negro transparente - AB-09668-P01032(TBL)</t>
  </si>
  <si>
    <t>Fidlock Botella sola Antibacterial TWIST 750, Negro transparente - AB-09675-P01032(TBL)</t>
  </si>
  <si>
    <t>Fidlock Botella sola Antibacterial TWIST 800, Negro transparente - AB-09652-P01032(TBL)</t>
  </si>
  <si>
    <t>Fidlock Botella sola TWIST 600</t>
  </si>
  <si>
    <t>Fidlock Botella TWIST 450 + Base magnética TEX multi, Negro transparante - 09649(TBL)</t>
  </si>
  <si>
    <t>Fidlock Botella TWIST 450 + Base magnética UNI con correas, Negro transparante - 09626(TBL)</t>
  </si>
  <si>
    <t>Fidlock Botella TWIST 590 + Base magnética TEX multi, Negro transparante - 09648(TBL)</t>
  </si>
  <si>
    <t>Fidlock Botella TWIST 590 + Base magnética UNI con correas, Negro transparante - 09641(TBL)</t>
  </si>
  <si>
    <t>Fidlock Botella TWIST 600 + Base magnética UNI con correas, Negro transparante - 09672(TBL)</t>
  </si>
  <si>
    <t>Fidlock Cobertor de válvula</t>
  </si>
  <si>
    <t>Fidlock Conector magnético de cinturón paras botellas TWIST, Negro - 09618(BLK)</t>
  </si>
  <si>
    <t>Fidlock Conector magnético para botellas TWIST, Negro - 09604(BLK) - PCK</t>
  </si>
  <si>
    <t>Fidlock Conector UNI TWIST 80 + Base magnética para bicicleta, Negro - 09622(BLK)</t>
  </si>
  <si>
    <t>Fidlock Exhibidor de barra de tecnologia TWIST + VACUUM 2,  - H0066-SET</t>
  </si>
  <si>
    <t>Fidlock Exhibidor de barra de tecnologia TWIST + VACUUM 3,  - H0065-SET</t>
  </si>
  <si>
    <t>Fidlock Exhibidor de barra de tecnología TWIST 1, Negro - H0069-SET</t>
  </si>
  <si>
    <t>Fidlock Exhibidor de barra de tecnología TWIST 2,  - H0068-SET</t>
  </si>
  <si>
    <t>Fidlock Set de luces de batería PINCLIP, Negro - B-AA00(BLK)</t>
  </si>
  <si>
    <t>Ciclismo &gt; Taller &gt; Limpieza</t>
  </si>
  <si>
    <t>Finish Line</t>
  </si>
  <si>
    <t>Ciclismo &gt; Ropa &gt; Zapatillas</t>
  </si>
  <si>
    <t>Fox 32 Taper-Cast Horquilla Factory 29 GRIP SL 3 posiciones Negro, eje pasante, 2024</t>
  </si>
  <si>
    <t>Disponible A pedido, Ciclismo &gt; Amortiguador &gt; Horquillas de suspensión</t>
  </si>
  <si>
    <t>Fox</t>
  </si>
  <si>
    <t>Fox 34 Horquilla Factory 29 130mm GRIP X Naranja Brillante, eje pasante, 2024</t>
  </si>
  <si>
    <t>Fox 34 SL Horquilla Factory 29 120mm GRIP SL Remoto Push-to-Lock Negro, eje pasante, 2024</t>
  </si>
  <si>
    <t>Fox 34 SL Horquilla Performance 29 120mm GRIP 3 posiciones Negro Mate, eje pasante, 2024</t>
  </si>
  <si>
    <t>Fox 36 Horquilla Factory 29 160mm GRIP X2 Naranja Brillante, eje pasante, 2024</t>
  </si>
  <si>
    <t>Fox 36 Horquilla Factory 29 160mm GRIP X2 Negro, eje pasante, 2024</t>
  </si>
  <si>
    <t>Fox 36 SL Horquilla Factory 29 130mm GRIP X Naranja Brillante, eje pasante, 2024</t>
  </si>
  <si>
    <t>Fox 36 SL Horquilla Factory 29 140mm GRIP X Naranja Brillante, eje pasante, 2024</t>
  </si>
  <si>
    <t>Fox 38 Horquilla Factory 29 170mm GRIP X2 Negro, eje pasante, 2024</t>
  </si>
  <si>
    <t>Fox 40 Horquilla Factory 29 203mm GRIP X2 Naranja Brillante, eje pasante, 2024</t>
  </si>
  <si>
    <t>Fox 40 Horquilla Factory 29 203mm GRIP X2 Negro, eje pasante, 2024</t>
  </si>
  <si>
    <t>Fox Baseframe Pro SL - negro - talla M</t>
  </si>
  <si>
    <t>Fox Bath Oil - 20 WT</t>
  </si>
  <si>
    <t>Ciclismo &gt; Amortiguador &gt; Mantenimiento</t>
  </si>
  <si>
    <t>Fox Defend Dark purple dedos completos</t>
  </si>
  <si>
    <t>Fox FIT4 Mando Remoto - 2 posiciones</t>
  </si>
  <si>
    <t>Ciclismo &gt; Amortiguador &gt; Mandos remotos para suspensiones</t>
  </si>
  <si>
    <t>Fox Flexair Delta MTB Trikot</t>
  </si>
  <si>
    <t>Ciclismo &gt; Ropa &gt; Jerseys Polos y Poleras</t>
  </si>
  <si>
    <t>Fox Inflador Manual</t>
  </si>
  <si>
    <t>Fox Proframe RS Fullface Sumyt - negro/rojo - talla M</t>
  </si>
  <si>
    <t>Gemini Adaptador del soporte para ciclocomputador</t>
  </si>
  <si>
    <t>Fox Ranger Camo MTB Shorts with Pad</t>
  </si>
  <si>
    <t>Fox Ranger gris MTB Shorts</t>
  </si>
  <si>
    <t>Fox Speedframe Pro Elv black-pink</t>
  </si>
  <si>
    <t>Fox Speedframe Sistema de retención de repuesto</t>
  </si>
  <si>
    <t>Fox Strap Correa de sujeción Negro</t>
  </si>
  <si>
    <t>Fox Tapabarro 36 Corto 2026</t>
  </si>
  <si>
    <t>Fox Tapabarro 36 Largo 2026</t>
  </si>
  <si>
    <t>Fox Tapabarro 36–38 Corto</t>
  </si>
  <si>
    <t>Fox Tapabarro 36–38 Largo</t>
  </si>
  <si>
    <t>Fox Tapabarro 40</t>
  </si>
  <si>
    <t>Fuse Alpha Wrist Support black</t>
  </si>
  <si>
    <t>Fuse</t>
  </si>
  <si>
    <t>Galfer EBike Brake Pads Sram Guide/Avid XO Trai Purple One Size</t>
  </si>
  <si>
    <t>Galfer</t>
  </si>
  <si>
    <t>Garmin Funda silicona Edge 530 010-12791 blanco</t>
  </si>
  <si>
    <t>Ciclismo &gt; Accesorios &gt; Ciclocomputadores, GPS &amp; Relojes</t>
  </si>
  <si>
    <t>Garmin Funda silicona Edge 530 010-12791 rojo</t>
  </si>
  <si>
    <t>Garmin GPS Edge 530 con pack de sensores para ciclismo</t>
  </si>
  <si>
    <t>GES Xennox Wide Black / Red 277 x 158 mm</t>
  </si>
  <si>
    <t>GES</t>
  </si>
  <si>
    <t>Giro Artex mips black matte /white / red</t>
  </si>
  <si>
    <t>Giro</t>
  </si>
  <si>
    <t>Giro Disciple MIPS Helmet - matte citron / olive</t>
  </si>
  <si>
    <t>Giro Disciple MIPS Helmet - matte warm black / orange</t>
  </si>
  <si>
    <t>Giro Guantes Cortos Jag Talla M</t>
  </si>
  <si>
    <t>Giro Guantes Largos DND Talla M</t>
  </si>
  <si>
    <t>Ciclismo &gt; Ropa &gt; Medias</t>
  </si>
  <si>
    <t>Giro Switchblade MIPS Casco - matte warm black</t>
  </si>
  <si>
    <t>HT PA03A Platform azul</t>
  </si>
  <si>
    <t>Hutchinson Tubeless Valve 44 mm 2 Units One Size</t>
  </si>
  <si>
    <t>Hutchinson</t>
  </si>
  <si>
    <t>IceToolz Wrench Disassemble Crowns</t>
  </si>
  <si>
    <t>IceToolz</t>
  </si>
  <si>
    <t>ION BD-Socks 2.0 Indigo Dawn</t>
  </si>
  <si>
    <t>ION BD-Socks 2.0 inside blue</t>
  </si>
  <si>
    <t>ION BD-Socks 2.0 mud brown</t>
  </si>
  <si>
    <t>ION BD-Socks 2.0 multicolor</t>
  </si>
  <si>
    <t>ION BD-Socks 2.0 Shallow Green</t>
  </si>
  <si>
    <t>ION BD-Socks 2.0 thunder grey</t>
  </si>
  <si>
    <t>ION BD-Socks 2.0 Dard Mud Talla: 39-42</t>
  </si>
  <si>
    <t>ION BD-Socks 2.0 Dark Lavender Talla: 35-38</t>
  </si>
  <si>
    <t>ION BD-Socks 2.0 Sea Grass Talla: 43-46</t>
  </si>
  <si>
    <t>ION Dude CrocODIle</t>
  </si>
  <si>
    <t>ION Dude Crystal Blue</t>
  </si>
  <si>
    <t>ION Traze AMP Long Root Brown</t>
  </si>
  <si>
    <t>Jagwire Cortador de cables de frenos Sport Hydraulic Hose Cutter</t>
  </si>
  <si>
    <t>Jagwire</t>
  </si>
  <si>
    <t>Ciclismo &gt; Taller &gt; Herramientas según módulos</t>
  </si>
  <si>
    <t>J sport</t>
  </si>
  <si>
    <t>Kask Protone Icon WG11 blanco mate talla M</t>
  </si>
  <si>
    <t>Kask</t>
  </si>
  <si>
    <t>KSIX True Wireless Sport Buds Black One Size</t>
  </si>
  <si>
    <t>Ciclismo &gt; Accesorios &gt; Electrónicos</t>
  </si>
  <si>
    <t>KSIX</t>
  </si>
  <si>
    <t>Leatt Chaqueta impermeable RaceCover, translúcida, talla M</t>
  </si>
  <si>
    <t>Leatt</t>
  </si>
  <si>
    <t>Leatt DBX 3.0 Flat granite Talla: 45,5</t>
  </si>
  <si>
    <t>Leatt DBX 4.0 V19.1 Ink / Blue</t>
  </si>
  <si>
    <t>Leonardi Plato Racing Gecko para Shimano M9100/M8100/M7100 12V, 34T</t>
  </si>
  <si>
    <t>Leonardi</t>
  </si>
  <si>
    <t>Level Nine</t>
  </si>
  <si>
    <t>Magura Abrazadera Carbotecture</t>
  </si>
  <si>
    <t>Magura Abrazadera Shiftmix 1+2 para Shimano I-Spec I+II, Negro</t>
  </si>
  <si>
    <t>Magura Abrazadera Shiftmix 1+2 para Shimano I-Spec I+II, Plateado</t>
  </si>
  <si>
    <t>Magura Abrazadera Carbotecture para Gustav Elite / Louise Elite, incluye tornillo (1 set) – 2703278</t>
  </si>
  <si>
    <t>Magura Abrazadera EVO2  para adaptador frontal (1 unid) - 2702908</t>
  </si>
  <si>
    <t>Magura Abrazadera EVO2  para adaptador posterior (1 unid) - 2702906</t>
  </si>
  <si>
    <t>Magura Abrazadera para adaptador (1 unid) - 2700695</t>
  </si>
  <si>
    <t>Magura Abrazadera Shiftmix Gustav, controlador sram pod, ig6.x derecha/izquierda</t>
  </si>
  <si>
    <t>Magura Abrazadera Shiftmix Gustav, I-spec ev, ajustable, ig4.x derecha/izquierda</t>
  </si>
  <si>
    <t>Magura Abrazadera ShiftMix para Gustav / Louise, compatible con SRAM Matchmaker, ajustable para uso derecho o izquierdo (1 unid) – 2703020</t>
  </si>
  <si>
    <t>Magura Aceite mineral Royal Blood 250 ml (1 unid) - 2702644</t>
  </si>
  <si>
    <t>Magura Adaptador Braze On set, para un freno, plateado (1 unid) - 0551336</t>
  </si>
  <si>
    <t>Magura Adaptador Centerlock para eje quick release (herramienta de corona interior) (1 unid) - 2701373</t>
  </si>
  <si>
    <t>Magura Adaptador Easy Mount, para un freno, negro (1 unid) - 2700694</t>
  </si>
  <si>
    <t>Magura Adaptador Evolution, para un freno, plateado (1 unid) - 0724667</t>
  </si>
  <si>
    <t>Magura Adaptador Post Mount QM45 G +40mm (PM 140-180, PM 180-220) (1 unid) - 2703096</t>
  </si>
  <si>
    <t>Magura Adaptador Post Mount QM46 G +17mm (PM 203-220) (1 unid) - 2703094</t>
  </si>
  <si>
    <t>Magura Anillo para calipers de 2 pistones, Cian (1 unid) - PCK</t>
  </si>
  <si>
    <t>Magura Anillo para calipers de 2 pistones, Verde (1 unid) - PCK</t>
  </si>
  <si>
    <t>Magura Anillo para calipers de 4 pistones, Celeste (1 unid) - PCK</t>
  </si>
  <si>
    <t>Magura Anillo para calipers de 4 pistones, Purpura (1 unid) - PCK</t>
  </si>
  <si>
    <t>Magura Anillo resinado para adaptador Evolution (10 unid) - 0720442</t>
  </si>
  <si>
    <t>Magura Arandela de sellado de compresión (20 unid) - 0720424</t>
  </si>
  <si>
    <t>Magura Arandelas-D para adaptador Evolution en Canti-Stud (20 unid) - 0720441</t>
  </si>
  <si>
    <t>Magura Banjo ETT Easy Link para caliper (10 unid) - 2703216</t>
  </si>
  <si>
    <t>Magura Bloque maestro Carbotecture sin pistón, compatible con frenos MT Sport/MT2 - PCK</t>
  </si>
  <si>
    <t>Magura Bloque maestro Carbotecture SL SIN PISTON MT8/7/6/5/4/MT Trail SL - PCK</t>
  </si>
  <si>
    <t>Magura Caja de herramientas de servicio (1 unid) – 2703206</t>
  </si>
  <si>
    <t>Magura Caliper de freno Clara Pro (1 unid) – 2703283</t>
  </si>
  <si>
    <t>Magura Caliper de freno Gustav Elite (1 unid) – 2703276</t>
  </si>
  <si>
    <t>Magura Caliper de freno Louise Elite (1 unid) – 2703267</t>
  </si>
  <si>
    <t>Magura Disco 5 pernos MDR-A</t>
  </si>
  <si>
    <t>Magura Caliper MT A2, 2 pistones - 2702921</t>
  </si>
  <si>
    <t>Magura Clip resorte Easy Link para Louise Elite / Clara Pro (1 unid) – 2703266</t>
  </si>
  <si>
    <t>Magura Conector de crimpado ETT Easy Link para maneta (10 unid) - 2703212</t>
  </si>
  <si>
    <t>Magura Conector de línea recta ETT Easy Link para caliper (10 unid) - 2703217</t>
  </si>
  <si>
    <t>Magura Disco Centerlock MDR-A</t>
  </si>
  <si>
    <t>Magura Disco MDR-A</t>
  </si>
  <si>
    <t>Magura Freno Clara Pro Derecho, HIGO, Closer, 3000mm (1 unid) – 2703309</t>
  </si>
  <si>
    <t>Magura Freno Clara Pro Izquierdo, HIGO, Closer, 3000mm (1 unid) – 2703308</t>
  </si>
  <si>
    <t>Magura Freno Gustav Elite, HIGO, Closer, 2600mm (compatible con discos de 2.0 mm y 2.5 mm) (1 unid) – 2703306</t>
  </si>
  <si>
    <t>Magura Freno MT A2</t>
  </si>
  <si>
    <t>Magura Freno Louise Elite, palanca Carbotecture®, 2200mm (1 unid) – 2703172</t>
  </si>
  <si>
    <t>Magura Funda de goma Easy Link para frenos Clara, protege y cubre la unión del latiguillo (1 unid) – 2703285</t>
  </si>
  <si>
    <t>Magura Gorra, 3D logo, Negro/Blanco (1 unid) - 2701913</t>
  </si>
  <si>
    <t>Ciclismo &gt; Ropa &gt; Accesorios</t>
  </si>
  <si>
    <t>Magura Herramienta crimpadora mecánica para Easy Link (1 unid) - 2703080</t>
  </si>
  <si>
    <t>Magura Jersey YellowCamo Freeride Manga Corta</t>
  </si>
  <si>
    <t>Magura Jersey YellowCamo Freeride Manga Larga</t>
  </si>
  <si>
    <t>Magura Herramienta de ajuste a presión para Easy Link - 2703082</t>
  </si>
  <si>
    <t>Magura Interruptor de luz de freno (1 unid) – 2701592</t>
  </si>
  <si>
    <t>Magura Jeringa de purgado 24 ml (1 unid) – 2703109</t>
  </si>
  <si>
    <t>Magura Jeringa de purgado 24 ml con agujero (1 unid) – 2703110</t>
  </si>
  <si>
    <t>Magura Jeringa de purgado 24 ml con conexión roscada (1 unid) – 2703183</t>
  </si>
  <si>
    <t>Magura Kit de conexión banjo ETT Easy Link para caliper - 2703178</t>
  </si>
  <si>
    <t>Magura Kit de conexión de línea recta ETT Easy Link para caliper - 2703179</t>
  </si>
  <si>
    <t>Magura Kit de conexión ETT Easy Link crimpada para maneta - 2703176</t>
  </si>
  <si>
    <t>Magura Kit de conexión ETT Easy Link roscada para maneta - 2703177</t>
  </si>
  <si>
    <t>Magura Kit de cubierta Gustav Elite para maneta izquierda y derecha (4 piezas) – 2703277</t>
  </si>
  <si>
    <t>Magura kit de cubierta para manetas MT TRAIL SL (4 unid) - 2701233</t>
  </si>
  <si>
    <t>Magura kit de cubierta para manetas MT7 HC3, naranja (1 unid), Derecho - PCK</t>
  </si>
  <si>
    <t>Magura kit de cubierta para manetas MT7 HC3, naranja (1 unid), Izquierdo - PCK</t>
  </si>
  <si>
    <t>Magura kit de cubierta para manetas MT7 PRO (1 unid), derecha - PCK</t>
  </si>
  <si>
    <t>Magura kit de cubierta para manetas MT7 PRO (1 unid), izquierda - PCK</t>
  </si>
  <si>
    <t>Magura kit de cubierta para manetas MT8 PRO (4 unid) - 2701232</t>
  </si>
  <si>
    <t>Magura Kit de cubiertas Louise Elite para maneta izquierda y derecha (1 set) – 2703268</t>
  </si>
  <si>
    <t>Magura Kit de partes para servicio de frenos de línea  (1 set) -  0999510</t>
  </si>
  <si>
    <t>Magura Kit de pernos para cáliper – incluye 1 pin y 1 oliva (nuevo, sellado) - PCK</t>
  </si>
  <si>
    <t>Magura Kit de servicio CORE para frenos de disco y llanta, incluye aceite mineral Royal Blood, jeringas y accesorios (1 set) – 2703202</t>
  </si>
  <si>
    <t>Magura Latiguillo de freno de disco, 3000 mm (solo manguera) - 2703175</t>
  </si>
  <si>
    <t>Magura Latiguillo de freno, 2500mm, con terminal Banjo (1 unid) – 2703228</t>
  </si>
  <si>
    <t>Magura Latiguillo de freno, 2500mm, con terminal recto 0° (1 unid) – 2703229</t>
  </si>
  <si>
    <t>Magura Liberación rápida para EVO2, para un freno, izquierdo (1 unid) - 0724460</t>
  </si>
  <si>
    <t>Magura Maneta Clara Pro Derecha, palanca de 3 dedos en aluminio (1 unid) – 2703282</t>
  </si>
  <si>
    <t>Magura Maneta Clara Pro Izquierda, palanca de 3 dedos en aluminio (1 unid) – 2703281</t>
  </si>
  <si>
    <t>Magura Maneta Louise Elite, palanca de 1 dedo Carbotecture (1 unid) – 2703265</t>
  </si>
  <si>
    <t>Magura Maneta MTC derecha, palanca de 3 dedos Carbotecture, negro (1 unid) - 2702520</t>
  </si>
  <si>
    <t>Magura Maneta MTC izquierda, palanca de 3 dedos Carbotecture, negro (1 unid) - 2702521</t>
  </si>
  <si>
    <t>Magura Manguera hidráulica de 3 m, para todos los frenos de aro y los frenos Julie de 2008 y anteriores (1 unid) - 0610150-03</t>
  </si>
  <si>
    <t>Magura Manguera hidráulica de plastica cruzada, incluye conectores, para caliper HS11/HS22/HS33 (1 unid) - 0999450-01</t>
  </si>
  <si>
    <t>Magura MT/MT TRAIL DISPLAY (WITHOUT BRAKE AND ROTOR) - 2701322</t>
  </si>
  <si>
    <t>Magura Oliva de conexión hidráulica para maneta, compatible con MT8/7/6/5/4/MT Trail/MT Sport/MT2 - PCK</t>
  </si>
  <si>
    <t>Magura Oliva split ETT Easy Link (10 unid) - 2703213</t>
  </si>
  <si>
    <t>Magura Palanca de freno Clara Pro, palanca de 3 dedos en aluminio con ajuste de alcance (1 unid) – 2703280</t>
  </si>
  <si>
    <t>Magura Palanca de freno Gustav Elite Carbotecture, palanca de 1 dedo, con ajuste de alcance (1 unid) – 2703269</t>
  </si>
  <si>
    <t>Magura Palanca de freno Gustav Elite, palanca de 1 dedo, con HIGO, Closer (1 unid) – 2703273</t>
  </si>
  <si>
    <t>Magura Palanca de freno Louise Elite Carbotecture, palanca de 1 dedo con ajuste de alcance, compatible con sistemas Louise Elite y Gustav Elite (1 unid) – 2703264</t>
  </si>
  <si>
    <t>Magura Pastillas 7.C Comfort para un caliper MT de 2 pistones (1 set) incl. Tornillo - 2701624</t>
  </si>
  <si>
    <t>Magura Pastillas 8.P Performance para Caliper MT 4 Pistones, a granel (sin empaque) - PCK</t>
  </si>
  <si>
    <t>Magura Pastillas 8.S Sport para Caliper MT 4 Pistones, a granel (sin empaque) - PCK</t>
  </si>
  <si>
    <t>Magura Pastillas 9.S Sport para un caliper MT de 4 pistones (1 set) - 2701995</t>
  </si>
  <si>
    <t>Magura Pastillas Endurace Type 6.2 para un caliper Marta 2009, Louise '07-'09, Julie 2009 (1 set) - 0721419</t>
  </si>
  <si>
    <t>Magura Pastillas Endurance Type 4.2 para un caliper Julie '08 &amp; older (1 set) - 0721684</t>
  </si>
  <si>
    <t>Magura Pastillas Endurance Type 5.2 para un caliper Marta '08 &amp; older (1 set) - 0721672</t>
  </si>
  <si>
    <t>Magura Pastillas Performance Type 3.1 para un caliper Louise &amp; Louise FR 2002-2006 (1 set) - 0721324</t>
  </si>
  <si>
    <t>Magura Pastillas Performance Type 4.1 para un caliper Julie '08 &amp; older (1 set) - 0721304</t>
  </si>
  <si>
    <t>Magura Pastillas Performance Type 5.1 para un caliper Marta '08 &amp; older (1 set) - 0721340</t>
  </si>
  <si>
    <t>Magura Pastillas Performance Type 6.1 para un caliper Marta 2009, Louise '07-'09, Julie 2009 (1 set) - 0721418</t>
  </si>
  <si>
    <t>Magura Pastillas Race, Kool Stop, de caliper de disco para aros pulidos (4 unid) - 0720423</t>
  </si>
  <si>
    <t>Magura Pastillas Standard de caliper de disco para aros pulidos (4 unid) - 2701576</t>
  </si>
  <si>
    <t>Magura Perno de liberación rápida, para Ease Mount, T25 (10 unid) - 2700693</t>
  </si>
  <si>
    <t>Magura Perno de pivote de palanca para GUSTAV PRO, pieza de repuesto - 8000-2404-825</t>
  </si>
  <si>
    <t>Magura Perno Quick Release para EVO2(10 unid) - 0720933</t>
  </si>
  <si>
    <t>Magura Pin de crimpado ETT Easy Link para maneta (10 unid) - 2703211</t>
  </si>
  <si>
    <t>Magura Pin para manguera hidráulica de freno (1 unid) - PCK</t>
  </si>
  <si>
    <t>Magura Pin roscado ETT Easy Link para maneta (10 unid) - 2703215</t>
  </si>
  <si>
    <t>Magura Repuesto de palanca para neumáticos 2702675 y 2702676 (1 unid) - 2702754</t>
  </si>
  <si>
    <t>Magura Set de boquillas de purgado con conexión roscada (1 unid) – 2703324</t>
  </si>
  <si>
    <t>Magura Set de boquillas de purgado MT (1 unid) – 2703323</t>
  </si>
  <si>
    <t>Magura Soporte adicional Booster EVO 2 (1 unid) - 0721907</t>
  </si>
  <si>
    <t>Magura Sujetador de manguera hidráulica para instalación de Pin (2 unid) - 0321239</t>
  </si>
  <si>
    <t>Magura Tapa de maneta CT derecha, incluye difragma, negro (1 unid) - 2702527</t>
  </si>
  <si>
    <t>Magura Tapa de maneta CT izquierda, incluye difragma, negro (1 unid) - 2702526</t>
  </si>
  <si>
    <t>Magura Tapa de reservorio Clara Pro (1 unid) – 2703284</t>
  </si>
  <si>
    <t>Magura Tornillo de abrazadera para Gustav Elite / Louise Elite (1 unid) – 2703279</t>
  </si>
  <si>
    <t>Magura Tornillo de fijación central para adaptador Easy Mount, M6, SW5, T25 (10 unid) - 2700697</t>
  </si>
  <si>
    <t>Magura Tuerca hidráulica ETT Easy Link (10 unid) - 2703214</t>
  </si>
  <si>
    <t>Magura Tuerca hidráulica para manetas MT (10 unid) - 0724700</t>
  </si>
  <si>
    <t>Magura Tuerca hidráulica para modelos antiguo de manetas HS, calipers RT6/RT8, no para frenos MT (10 unid) - 0720446</t>
  </si>
  <si>
    <t>Magura Válvula ETT Easy Link 1 rosca gruesa para manetas MT - 2702777</t>
  </si>
  <si>
    <t>Magura Válvula ETT Easy Link 2 rosca fina para manetas CME/BOSCH - 2703180</t>
  </si>
  <si>
    <t>Massi Hyperglide Cassette Shimano Remover</t>
  </si>
  <si>
    <t>Massi</t>
  </si>
  <si>
    <t>Mavic Kit de Conversión de Maza Trasera 12 x 142/148/157 mm</t>
  </si>
  <si>
    <t>Ciclismo &gt; Ruedas &gt; Repuestos</t>
  </si>
  <si>
    <t>Mavic</t>
  </si>
  <si>
    <t>Mavic Pulse Pro TR 27.5x2.25</t>
  </si>
  <si>
    <t>Mondraker bicicleta Chaser 2025, 29, atomic orange</t>
  </si>
  <si>
    <t>Ciclismo &gt; Bicicletas &gt; e-Bike Enduro / Trail</t>
  </si>
  <si>
    <t>Tallas</t>
  </si>
  <si>
    <t>Mondraker</t>
  </si>
  <si>
    <t>Maxxis HighRoller II TR 3CT EXO 29x2.3</t>
  </si>
  <si>
    <t>Maxxis Minion DHF TR EXO Dual - 29x2.3</t>
  </si>
  <si>
    <t>Maxxis Minion DHR II TR WT 3CT EXO+ 29x2.4</t>
  </si>
  <si>
    <t>Maxxis Rekon Race TR Dual EXO Skinwall 29x2.35</t>
  </si>
  <si>
    <t>Michelin Wild Enduro Front MAGI-X Racing Line 29x2.4</t>
  </si>
  <si>
    <t>Michelin</t>
  </si>
  <si>
    <t>Michelin Wild Enduro Rear MAGI-X Racing Line 29x2.4</t>
  </si>
  <si>
    <t>Mitas Cubierta rígida de MTB Cheetah R15 Classic 27.5´´ x 2.35</t>
  </si>
  <si>
    <t>Mitas</t>
  </si>
  <si>
    <t>Mondraker bicicleta Crafty Carbon R 2025, 29, bunker grey</t>
  </si>
  <si>
    <t>Mondraker bicicleta Sly R 2025, 29, marlin blue</t>
  </si>
  <si>
    <t>Ciclismo &gt; Bicicletas &gt; e-Bike Light</t>
  </si>
  <si>
    <t>Mondraker Bandera Publicitaria Interior Azul 2.01 m</t>
  </si>
  <si>
    <t>Mondraker Bandera Publicitaria XL Exterior Negra 5.05 m (sin base)</t>
  </si>
  <si>
    <t>Mondraker bicicleta Summum RR 2025, Mullet, carrera blue</t>
  </si>
  <si>
    <t>Ciclismo &gt; Bicicletas &gt; Downhill</t>
  </si>
  <si>
    <t>Mondraker bicicleta Chrono Carbon DC 2025, 29, flame red, talla S</t>
  </si>
  <si>
    <t>Ciclismo &gt; Bicicletas &gt; Cross Country</t>
  </si>
  <si>
    <t>Mondraker cuadro Podium RR SL 2025, 29, carrera blue</t>
  </si>
  <si>
    <t>Ciclismo &gt; Bicicletas &gt; Cuadros</t>
  </si>
  <si>
    <t>Mondraker bicicleta Crafty Carbon R 2025, 29, black, talla ML</t>
  </si>
  <si>
    <t>Mondraker bicicleta Crafty Carbon RR 2025, 29, earth red, talla S</t>
  </si>
  <si>
    <t>Mondraker bicicleta Crafty R 2024, 29, flame red, talla L</t>
  </si>
  <si>
    <t>Mondraker bicicleta Foxy R 2025, 29, atomic orange, talla M</t>
  </si>
  <si>
    <t>Ciclismo &gt; Bicicletas &gt; Enduro / Trail</t>
  </si>
  <si>
    <t>Mondraker bicicleta Podium 2023, 29, translucent green, talla L</t>
  </si>
  <si>
    <t>Mondraker bicicleta Sly RR 2025, 29, black, talla ML</t>
  </si>
  <si>
    <t>Mondraker bicicleta Summum 2023, 29, Gloss Dirty White/Orange, talla L</t>
  </si>
  <si>
    <t>Mondraker bicicleta Summum R 2025, Mullet, Dense Yellow, talla M</t>
  </si>
  <si>
    <t>Mondraker bicicleta Superfoxy 2025, 29, racing silver, talla M</t>
  </si>
  <si>
    <t>Ciclismo &gt; Bicicletas &gt; Superenduro</t>
  </si>
  <si>
    <t>Mondraker Carpa 3×3 m (Negra)</t>
  </si>
  <si>
    <t>Mondraker cuadro Summum Carbon RR 2024, Mullet, Midnight Blue, talla S</t>
  </si>
  <si>
    <t>Mondraker cuadro Superfoxy Carbon RR 2024, 29, Bunker Grey, talla S</t>
  </si>
  <si>
    <t>Mondraker Polera Company black</t>
  </si>
  <si>
    <t>Mondraker Eje Trasero Maxle 12×157 P1.75 L190</t>
  </si>
  <si>
    <t>Mondraker Eje Trasero MDK 12×148 P1.75 L180 Bolt Maxle</t>
  </si>
  <si>
    <t>Mondraker Gorra Trucker Podium, Negro y blanco</t>
  </si>
  <si>
    <t>Ciclismo &gt; Ropa &gt; Gorros Gorras y Sombreros</t>
  </si>
  <si>
    <t>Mondraker Gorra Trucker, Carrera Blue</t>
  </si>
  <si>
    <t>Mondraker Guía Cadena 2024 para NEAT, FOXY, DUNE (Ref. 099.24018)</t>
  </si>
  <si>
    <t>Ciclismo &gt; Transmisión &gt; Guíacadenas &amp; Bashguards</t>
  </si>
  <si>
    <t>Mondraker Jersey Forest Air, Azul, Talla M</t>
  </si>
  <si>
    <t>Mondraker Jersey Sprint, Black Desert, Talla L</t>
  </si>
  <si>
    <t>Mondraker Polo Company black</t>
  </si>
  <si>
    <t>Mondraker Kit de Hardware para Amortiguador 13 para CRAFTY CARBON, LEVEL, CRAFTY (Ref. 099.20201)</t>
  </si>
  <si>
    <t>Mondraker Polo manga larga Company L/S, Teal Green</t>
  </si>
  <si>
    <t>Mondraker Kit de Rodamientos Zero 20 para CRAFTY, CHASER, LEVEL, DUSK (Ref. 099.20101)</t>
  </si>
  <si>
    <t>Mondraker Kit de Rodamientos Zero 22 para Crafty Carbon (Ref. 099.20103)</t>
  </si>
  <si>
    <t>Mondraker Kit de Rodamientos Zero 23 para Summum (Ref. 099.21100)</t>
  </si>
  <si>
    <t>Mondraker Kit de Rodamientos Zero 26 para Raze, Neat, Foxy Aluminio, Foxy Carbono, F-Podium, Dune – Ref. 099.22101</t>
  </si>
  <si>
    <t>Mondraker Patilla de cambio M068 incluye Tuerca para CRAFTY, CHASER, LEVEL, SUMMMUM (Ref. 099.00055)</t>
  </si>
  <si>
    <t>Mondraker Patilla de cambio M075 incluye Tuerca para SUMMUM CARBON (Ref. 099.00063)</t>
  </si>
  <si>
    <t>Mondraker Polo manga larga Company L/S, Vortex Grey</t>
  </si>
  <si>
    <t>Fidlock Banda deportiva porta celular HERMETIC autosellante, Negro - D-61100A-F0000(BTB)</t>
  </si>
  <si>
    <t>Fidlock Base magnética de Montura PINCLIP para cámara de acción, Negro - 09703(BLK)PB</t>
  </si>
  <si>
    <t>Fidlock Base magnética de sillín PINCLIP, Negro - A-03100(BLK)</t>
  </si>
  <si>
    <t>Fidlock Base magnética de sillín PUSH, Negro - 09172(BLK)</t>
  </si>
  <si>
    <t>Fidlock Base Vario TWIST, Base Versátil para Cuadro y Horquilla - 09697 (BLK)</t>
  </si>
  <si>
    <t>Fidlock Bolsa de sillín PINCLIP con base magnética de sillín, M, Negro - SB-20001(BLK)</t>
  </si>
  <si>
    <t>Fidlock Bolsa de sillín PINCLIP, M, Negro - SB-20000(BLK)</t>
  </si>
  <si>
    <t>Fidlock Bolsa de sillín PINCLIP, S, Negro - SB-10000(BLK)</t>
  </si>
  <si>
    <t>Fidlock Bolsa HERMETIC mini, Transparente - D-11100A-F0000(TTT)</t>
  </si>
  <si>
    <t>Fidlock Botella TWIST 450 niños + Base magnética UNI con correas, Naranja, Blanco transparante - 09640(CLR)</t>
  </si>
  <si>
    <t>Fidlock Clip para tapa de lente SNAPSNAP x4 piezas macho, Negro - 05227-000002(BLK)PB</t>
  </si>
  <si>
    <t>Fidlock Clip para tubo de Bolsa de hidratación, M (11mm), Negro - 09721(BLK)</t>
  </si>
  <si>
    <t>Fidlock Conector UNI TWIST, XL - 09685 (BLK)</t>
  </si>
  <si>
    <t>Fidlock Funda térmica TWIST 450, Negro - 09711 (BLK)</t>
  </si>
  <si>
    <t>Fidlock Funda térmica TWIST 600, Negro - 09713 (BLK)</t>
  </si>
  <si>
    <t>Fidlock Pechera porta celular HERMETIC autosellante, Negro - D-61100B-F0000(BTB)</t>
  </si>
  <si>
    <t>Fidlock Tapa con válvula de botella 450 / 590 / 750 / 800 con cobertor de válvula, Negro transparente - 09630(BLK)</t>
  </si>
  <si>
    <t>Fidlock Tapa con válvula de botella 450 niños / 600, Negro - 09670(BLK)</t>
  </si>
  <si>
    <t>Fidlock Tapa de dirección VACUUM, Negro - VP-0000B(BLK)</t>
  </si>
  <si>
    <t>Mondraker Sombrero Tipo Pescador</t>
  </si>
  <si>
    <t>Motorex Dry Power Chain Lubricant - 100ml</t>
  </si>
  <si>
    <t>Motorex</t>
  </si>
  <si>
    <t>NS Bikes</t>
  </si>
  <si>
    <t>NorthWave Force Black</t>
  </si>
  <si>
    <t>Ciclismo &gt; Ropa &gt; Culote</t>
  </si>
  <si>
    <t>NorthWave</t>
  </si>
  <si>
    <t>NorthWave Sunday Monday</t>
  </si>
  <si>
    <t>NorthWave Tribe Black</t>
  </si>
  <si>
    <t>NorthWave Tribe Redblack</t>
  </si>
  <si>
    <t>ODI AG-2 Aaron Gwin Lock-On negro/gris</t>
  </si>
  <si>
    <t>ODI Elite Pro Lock-On Puños de bicicleta - Negro</t>
  </si>
  <si>
    <t>ODI F-1 Series Float negro</t>
  </si>
  <si>
    <t>ODI F-1 Series Float verde</t>
  </si>
  <si>
    <t>ODI F-1 Series Tinker Juarez Dread Lock-On V2.1 MTB Grips - azul</t>
  </si>
  <si>
    <t>ODI F-1 Series Tinker Juarez Dread Lock-On V2.1 MTB Grips - gris</t>
  </si>
  <si>
    <t>ODI F-1 Series Tinker Juarez Dread Lock-On V2.1 MTB Grips - negro</t>
  </si>
  <si>
    <t>ODI Lock-On negro</t>
  </si>
  <si>
    <t>ODI Ruffian Lock-On Grips negro</t>
  </si>
  <si>
    <t>Ciclismo &gt; Ropa &gt; Protectores</t>
  </si>
  <si>
    <t>O'Neal</t>
  </si>
  <si>
    <t>ONOFF Dropper Pija 31,6 mm, Cableado Interno (ICR), Recorrido 170 mm</t>
  </si>
  <si>
    <t>ONOFF</t>
  </si>
  <si>
    <t>ONOFF Mando Remoto para Tija Telescópica</t>
  </si>
  <si>
    <t>ONOFF Manillar Integrado S9 XC Carbono</t>
  </si>
  <si>
    <t>ONOFF Tapa de Manillar Integrado S9 XC Carbono, incluye tornillo</t>
  </si>
  <si>
    <t>Onza Cubierta plegable Porcupine TRC SC60 27,5" White Edition blanco-marrón/27,5x2,4</t>
  </si>
  <si>
    <t>Osprey Savu 5L Obsidian Black One Size</t>
  </si>
  <si>
    <t>Osprey</t>
  </si>
  <si>
    <t>Park Tool</t>
  </si>
  <si>
    <t>Ciclismo &gt; Transmisión &gt; Accesorios</t>
  </si>
  <si>
    <t>Parrier</t>
  </si>
  <si>
    <t>Pedros</t>
  </si>
  <si>
    <t>Pillar Washers PW7048 – para aro Duke Ultra</t>
  </si>
  <si>
    <t>Pillar</t>
  </si>
  <si>
    <t>POC Tectal Race SPIN NFC Casco - 8043 Hydrogen White/Fluorescent Orange AVIP</t>
  </si>
  <si>
    <t>POC</t>
  </si>
  <si>
    <t>Procraft PRC HB3.1 31.8 Carbon Flat 720mm</t>
  </si>
  <si>
    <t>Procraft</t>
  </si>
  <si>
    <t>R2 Endurance Grey</t>
  </si>
  <si>
    <t>R2</t>
  </si>
  <si>
    <t>Disponible A pedido, Ciclismo &gt; Transmisión &gt; Pedalier</t>
  </si>
  <si>
    <t>Ciclismo &gt; Ropa &gt; Rodilleras</t>
  </si>
  <si>
    <t>77designz Manillar Barlerina 35, Long. 800mm, rise 35mm</t>
  </si>
  <si>
    <t>K-Edge</t>
  </si>
  <si>
    <t>KMC Cadena E12 de 126 links, para ebikes, Dorada</t>
  </si>
  <si>
    <t>Magura Freno Clara Pro Derecho, palanca de aluminio de 3 dedos, 3000mm (1 unid) – 2703182</t>
  </si>
  <si>
    <t>Magura Freno Clara Pro Izquierdo, palanca de aluminio de 3 dedos, 3000mm (1 unid) – 2703181</t>
  </si>
  <si>
    <t>Magura Freno Gustav Elite, palanca Carbotecture®, 2600mm (compatible con discos de 2.0 mm y 2.5 mm) (1 unid) – 2703171</t>
  </si>
  <si>
    <t>Magura Pastillas MDP 13 Silver para caliper Gustav de 4 pistones (1 set) incl. tornillos - 2703250</t>
  </si>
  <si>
    <t>NEWMEN Aro Evolution SL X.A.25 Aluminum - 29" - 28h</t>
  </si>
  <si>
    <t>NEWMEN</t>
  </si>
  <si>
    <t>NEWMEN Nipple Washer</t>
  </si>
  <si>
    <t>Radon Comp Cassette Remover Set</t>
  </si>
  <si>
    <t>Radon</t>
  </si>
  <si>
    <t>Radon Pro Bottom Bracket Wrench for Hollowtech II,BB9000,BBR60</t>
  </si>
  <si>
    <t>Radon Render - MTB Langarmtrikot</t>
  </si>
  <si>
    <t>Renthal Apex 35 gold black - 40 mm</t>
  </si>
  <si>
    <t>Renthal</t>
  </si>
  <si>
    <t>Renthal Fatbar Lite Rise 30mm 760mm Negro</t>
  </si>
  <si>
    <t>Ride Concepts</t>
  </si>
  <si>
    <t>Riesel Design</t>
  </si>
  <si>
    <t>Rockshox Charger Race Day 2 Damper Upgrade 3-Position Remote Lockout SID from My 2021+ (C1+) | 35 mm</t>
  </si>
  <si>
    <t>Ciclismo &gt; Amortiguador &gt; Piezas y accesorios para horquillas</t>
  </si>
  <si>
    <t>Rockshox Kit Servicio 200 Horas Para Reba A7 80-100 m/120 mm 00.4315.032.632</t>
  </si>
  <si>
    <t>Rockshox Reverb AXS 31.6 mm 150 mm de recorrido</t>
  </si>
  <si>
    <t>RockShox Spring Grey Vivid/Kage 200 x 51/57 mmBlack 350 lbs</t>
  </si>
  <si>
    <t>Ciclismo &gt; Amortiguador &gt; Muelles para shocks</t>
  </si>
  <si>
    <t>RockShox Spring Grey Vivid/Kage 200 x 51/57 mmBlack 450 lbs</t>
  </si>
  <si>
    <t>Ciclismo &gt; Amortiguador &gt; Muelles para horquillas</t>
  </si>
  <si>
    <t>RockShox Spring Grey Vivid/Kage 200 x 51/57 mmBlack 650 lbs</t>
  </si>
  <si>
    <t>Rockshox suspensión Sid 35 Ultimate, Race Day, Debon Air 29'', Boost, Twistloc, Tapered rake 44mm, Azul</t>
  </si>
  <si>
    <t>RockShox Vivid R2C Shock Black 200 mm / 57 mm</t>
  </si>
  <si>
    <t>Ciclismo &gt; Amortiguador &gt; Shocks</t>
  </si>
  <si>
    <t>Rotor Bottom Bracket BSA30 68/73 mm acero Negro</t>
  </si>
  <si>
    <t>Rotor</t>
  </si>
  <si>
    <t>Santini Classe</t>
  </si>
  <si>
    <t>Santini</t>
  </si>
  <si>
    <t>SAPIM Radio Laser 2.0-1.5-2.0 Straightpull - black - 303 mm</t>
  </si>
  <si>
    <t>SAPIM Radio Laser 2.0-1.5-2.0 Straightpull - black - 305 mm</t>
  </si>
  <si>
    <t>Schwalbe Magic Mary Evolution ADDIX Soft Super Gravity 29+ - 2.6</t>
  </si>
  <si>
    <t>Schwalbe</t>
  </si>
  <si>
    <t>Schwalbe Racing Ralph Evo TL-Easy Super Ground Addix Speed 27.5" 2021</t>
  </si>
  <si>
    <t>Selle Italia</t>
  </si>
  <si>
    <t>Schwalbe Racing Ray Evo TL-Easy Super Ground Addix Speedgrip 27.5" 2021</t>
  </si>
  <si>
    <t>Schwalbe Rocket Ron HS438 Fold Addix Black 26 x 2.10</t>
  </si>
  <si>
    <t>Schwalbe Smart Samoa HS476 Fold Black 26 x 2.10</t>
  </si>
  <si>
    <t>Schwalbe Tubelessventile Talla: SV 40mm negro</t>
  </si>
  <si>
    <t>Shimano Cable de cambio Optislick 2.1m</t>
  </si>
  <si>
    <t>Shimano Cadena Deore M6100 Silver 126 Links 12s</t>
  </si>
  <si>
    <t>Shimano Charge battery SM-BCR2 Internal Di2 in Black / Silver One Size</t>
  </si>
  <si>
    <t>Shimano Disco RT-MT800 Center Lock 203 mm</t>
  </si>
  <si>
    <t>Shimano Disco XTR RT-MT900 Ice-Tech Freeza Centerlock - 180mm</t>
  </si>
  <si>
    <t>Shimano Frenos MT201 Brake Lever+Brake KitAluminium Front</t>
  </si>
  <si>
    <t>Shimano SM-RT30 centerlock</t>
  </si>
  <si>
    <t>Shimano Frenos MT201 Brake Lever+Brake KitAluminium Rear</t>
  </si>
  <si>
    <t>Shimano Líquido de frenos mineral Low Visc 100ml</t>
  </si>
  <si>
    <t>Shimano Pastillas J03A Resina For M9000/M8000/RS785</t>
  </si>
  <si>
    <t>Shimano Pedales DXR MX70 BMX SPD</t>
  </si>
  <si>
    <t>Shimano pedales XT PD-M8120 Enduro Trail</t>
  </si>
  <si>
    <t>Shimano Plato E-BIKE E8000 plato 34t</t>
  </si>
  <si>
    <t>Shimano pedales XT PD-M8100 XC TRAIL</t>
  </si>
  <si>
    <t>BARON Maza frontal straightpull CL SP, 100x12 boost, 28h, negro</t>
  </si>
  <si>
    <t>Blackburn Plugger Tubeless Tire Repair Kit</t>
  </si>
  <si>
    <t>Ciclismo &gt; Ruedas &gt; Parches</t>
  </si>
  <si>
    <t>Blackburn</t>
  </si>
  <si>
    <t>Bosch Batería Externa PowerMore 250 Wh (Cable PowerMore No Incluido)</t>
  </si>
  <si>
    <t>Bosch Bateria PowerTube 800 Horizontal (EU27, UK, CH, NO, AUS, NZ, ZA, IS)</t>
  </si>
  <si>
    <t>Bosch Cable Y-HMI BS3 950 mm – para System Controller</t>
  </si>
  <si>
    <t>Bosch Motor BES3 Performance CX BDU38YY (25 km/h / 20 mph)</t>
  </si>
  <si>
    <t>Bosch O-Ring G4 para ejes de motor Bosch de cuarta generación (Gen 4) para DUNE, SLY (Ref. 124.21001 )</t>
  </si>
  <si>
    <t>CeramicSpeed Allround Grease - 10ml</t>
  </si>
  <si>
    <t>CeramicSpeed</t>
  </si>
  <si>
    <t>CeramicSpeed Coated Ceramic Bottom Bracket - BSA-73-DUB - Negro</t>
  </si>
  <si>
    <t>Continental Cross King II TR ShieldWall 29x2.2</t>
  </si>
  <si>
    <t>Continental Race King TR ShieldWall 29x2.2</t>
  </si>
  <si>
    <t>Crankbrothers Stamp 1 talla L turquesa</t>
  </si>
  <si>
    <t>Deuter Pulse 3 - Hip Bag</t>
  </si>
  <si>
    <t>Deuter</t>
  </si>
  <si>
    <t>DMR Brendog Deathgrip - Delgado - Suaves negro</t>
  </si>
  <si>
    <t>DMR Brendog Deathgrip - Gruesas - Suaves Blanco Camo</t>
  </si>
  <si>
    <t>DMR Brendog Deathgrip - Gruesas - Suaves negro</t>
  </si>
  <si>
    <t>DMR Brendog Deathgrip - Gruesas - Suaves rojo camo</t>
  </si>
  <si>
    <t>DMR Brendog Deathgrip - Gruesas - Suaves Verde Camo</t>
  </si>
  <si>
    <t>DMR Brendog Deathgrip Flangeless - Delgado - Suaves Miami</t>
  </si>
  <si>
    <t>DMR Brendog Deathgrip Flangeless - Gruesas - Suaves - infra rojo</t>
  </si>
  <si>
    <t>DMR Brendog Deathgrip Flangeless - Gruesas - Suaves - tango</t>
  </si>
  <si>
    <t>Ergon GA2 Bar Grips - juicy orange</t>
  </si>
  <si>
    <t>Ergon GA2 Bar Grips - nightride blue</t>
  </si>
  <si>
    <t>Ergon GA2 Bar Grips - purple reign</t>
  </si>
  <si>
    <t>Ergon GE1 Evo Grips Juicy orange</t>
  </si>
  <si>
    <t>Ergon GE1 Evo Grips sand storm</t>
  </si>
  <si>
    <t>Ergon GE1 Evo Slim MTB Enduro Grips crema negro</t>
  </si>
  <si>
    <t>Ergon Sillín SM-10</t>
  </si>
  <si>
    <t>Extralite set de platos OctaRamp MC-2 BCD 110 50t y 36t</t>
  </si>
  <si>
    <t>Exustar Pedales E-PM215TI Titanio</t>
  </si>
  <si>
    <t>Fox Dropframe Pro Trail Casco - dark indigo talla L</t>
  </si>
  <si>
    <t>Fox Fluid Aceite Horquilla - 473 ml (16 oz)</t>
  </si>
  <si>
    <t>Fox Mud Guard 36 - 38 Guardabarros - 190 x 115 mm</t>
  </si>
  <si>
    <t>Fox Proframe RS Fullface Sumyt - negro/amarillo - talla L</t>
  </si>
  <si>
    <t>Fox Ranger MTB Pantalones - black</t>
  </si>
  <si>
    <t>Ciclismo &gt; Ropa &gt; Pantalones</t>
  </si>
  <si>
    <t>Fox Vue Vlar Goggle - Spark flame red/chrome mirror</t>
  </si>
  <si>
    <t>Galfer Disco de Freno Wave MTB, Fixed, 6 Agujeros, 160mm</t>
  </si>
  <si>
    <t>Garmin GPS Edge 830 con pack de sensores para ciclismo</t>
  </si>
  <si>
    <t>Giant dropper remote 1x Lever and Cable Set</t>
  </si>
  <si>
    <t>Giant</t>
  </si>
  <si>
    <t>Giro Short de Ciclismo para Hombre ARC Mid Gris Portaro, talla 32</t>
  </si>
  <si>
    <t>Hope Plato de montaje directo para bicicletas eléctricas shimano</t>
  </si>
  <si>
    <t>Hope</t>
  </si>
  <si>
    <t>ION Scrub Amp thunder grey</t>
  </si>
  <si>
    <t>Juice Lubes</t>
  </si>
  <si>
    <t>Kask Utopia naranja talla M</t>
  </si>
  <si>
    <t>KRNKS Stand para MTB/ATB</t>
  </si>
  <si>
    <t>Ciclismo &gt; Taller &gt; Soportes de montaje</t>
  </si>
  <si>
    <t>Lezyne CNC Pocket Drive Mini Bomba - negro</t>
  </si>
  <si>
    <t>Lezyne</t>
  </si>
  <si>
    <t>Lezyne Kit reparación cubiertas Tubeless</t>
  </si>
  <si>
    <t>Loose Riders</t>
  </si>
  <si>
    <t>Magura Abrazadera de Gustav Pro incluye tornillo (1 set) - 2703057</t>
  </si>
  <si>
    <t>Magura Abrazadera Shiftmix Shimano I-Spec EV para GUSTAV PRO derecho (1 unid) - 2703064</t>
  </si>
  <si>
    <t>Magura Abrazadera Shiftmix Shimano I-Spec EV para GUSTAV PRO izquierda (1 unid) - 2703065</t>
  </si>
  <si>
    <t>Magura Abrazadera Shiftmix SRAM Matchmaker para GUSTAV PRO izquierda o derecha (1 unid) - 2703066</t>
  </si>
  <si>
    <t>Magura Anillo amarilla para la capucha de maneta de freno Gustav Pro (2 unid) - 2703060</t>
  </si>
  <si>
    <t>Magura Anillo gris para la capucha de maneta de freno Gustav Pro (2 unid) - 2703061</t>
  </si>
  <si>
    <t>Magura Anillo para calipers de 2 pistones, Verde menta (1 unid) - PCK</t>
  </si>
  <si>
    <t>Magura Anillo para calipers de 4 pistones, Blanco (1 unid) - PCK</t>
  </si>
  <si>
    <t>Magura Anillo para calipers de 4 pistones, Rosa neon (1 unid) - PCK</t>
  </si>
  <si>
    <t>Magura Bloque maestro de freno GUSTAV PRO sin palanca (1 unid) - 2703048</t>
  </si>
  <si>
    <t>Magura Caliper de freno GUSTAV PRO (1 unid) - 2703050</t>
  </si>
  <si>
    <t>Magura Capucha de conector a Maneta ETT Easy Link MT (2 unid) - 2703052</t>
  </si>
  <si>
    <t>Magura Clips de Muelle Easy Link GUSTAV PRO (4 unid) - 2703049</t>
  </si>
  <si>
    <t>Magura Dispositivo de transporte para caliper GUSTAV PRO (2 unid) - 2703053</t>
  </si>
  <si>
    <t>Magura Dispositivo de transporte para maneta Gustav Pro incluye tapa para cable (1 set) - 2703054</t>
  </si>
  <si>
    <t>Magura herramienta para separar pistones de caliper (2 pistones)</t>
  </si>
  <si>
    <t>Magura herramienta para separar pistones de caliper (4 pistones)</t>
  </si>
  <si>
    <t>Magura Juego de anillos amarillos de caliper Gustav Pro de 4 Pistones (4 unid) - 2703058</t>
  </si>
  <si>
    <t>Magura Juego de anillos gris de caliper Gustav Pro de 4 Pistones (4 unid) - 2703059</t>
  </si>
  <si>
    <t>Magura kit de cubierta para manetas MT8 PRO (1 unid), Derecho - PCK</t>
  </si>
  <si>
    <t>Magura kit de cubierta para manetas MT8 PRO (1 unid), Izquierdo - PCK</t>
  </si>
  <si>
    <t>Magura Kit de tapas GUSTAV PRO para maneta de freno derecha e izquierda (4 unid) - 2703051</t>
  </si>
  <si>
    <t>Magura Maneta MT Thirty, palanca de 2 dedos Carbotecture (1 unidad) - PCK</t>
  </si>
  <si>
    <t>Magura Palanca de freno GUSTAV PRO Palanca de 1 dedo (1 unid) - 2703047</t>
  </si>
  <si>
    <t>Magura Pastillas 9.C Comfort para un caliper MT de 4 pistones (1 set) - 2701626</t>
  </si>
  <si>
    <t>Magura Perno Tórico para maneta, compatible con frenos MT8/7/6/5/4/MT Trail/MT Sport/MT2 (1 unid) - PCK</t>
  </si>
  <si>
    <t>Magura Pernos para Disco de Freno (6 unidades), acero TORX T25 - PCK</t>
  </si>
  <si>
    <t>Magura Pistón de maneta para MT8/7/6/5/4/MT Trail/MT Sport/MT2 - PCK</t>
  </si>
  <si>
    <t>Magura Resorte, covertor y tornillo de pistón para MT8/7/6/5/4/MT Trail/MT Sport/MT2 - PCK</t>
  </si>
  <si>
    <t>Magura Tornillo de abrazadera (1 unid) - PCK</t>
  </si>
  <si>
    <t>Magura Tornillo de abrazadera de la maneta de freno GUSTAV PRO (1 unid) - 2703056</t>
  </si>
  <si>
    <t>Magura Tornillo Luer para válvula de purga de caliper GUSTAV PRO - 2703063</t>
  </si>
  <si>
    <t>Magura Válvula de purgado para caliper GUSTAV PRO (incluye válvula de purga, tapón luer y junta tórica) (1 set) - 2703062</t>
  </si>
  <si>
    <t>Maxxis Aspen MTB Neumático plegable TR EXO WT Dual - 29x2.40"</t>
  </si>
  <si>
    <t>Maxxis Minion DHR II TR WT 3CT EXO+ 27.5x2.4</t>
  </si>
  <si>
    <t>Molon Labe</t>
  </si>
  <si>
    <t>Mondraker Banner en Rollo/Negro (10 uds – 200 × 80 cm)</t>
  </si>
  <si>
    <t>Mondraker Cazoleta Inferior de Dirección ZS56 con rodamiento, sello y crown sin tope para CRAFTY (Ref. 101.25104)</t>
  </si>
  <si>
    <t>Ciclismo &gt; Dirección &gt; Dirección</t>
  </si>
  <si>
    <t>Mondraker Cazoleta Superior de Dirección ZS56 y Rodamiento para modelos Crafty, Chaser, Level, Dusk (Ref. 101.25103)</t>
  </si>
  <si>
    <t>Mondraker Destapador / Abrelatas</t>
  </si>
  <si>
    <t>Mondraker Espaciador de Dirección Shaped 10 mm para DUNE, SLY (Ref. 101.25106)</t>
  </si>
  <si>
    <t>Mondraker Espaciador de Dirección Shaped 5 mm para DUNE, SLY (Ref. 101.25105)</t>
  </si>
  <si>
    <t>Mondraker Kit de dirección, Incluye Tapa ZS56 (New Shape) y Plugs y Compression Ring y Sello para CRAFTY CARBON (Ref. 101.25101)</t>
  </si>
  <si>
    <t>Mondraker Lapiceros (Set de escritura)</t>
  </si>
  <si>
    <t>Mondraker Sticker Grandes</t>
  </si>
  <si>
    <t>Mondraker Stickers Pequeños</t>
  </si>
  <si>
    <t>MRP AMg V2 All-Mountain guiacadena de aluminio - black</t>
  </si>
  <si>
    <t>MRP</t>
  </si>
  <si>
    <t>ODI AG-2 Aaron Gwin Lock-On azul/celeste</t>
  </si>
  <si>
    <t>ODI AG-2 Aaron Gwin Lock-On negro/azul</t>
  </si>
  <si>
    <t>ODI Elite Pro Lock-On Puños de bicicleta - Olive</t>
  </si>
  <si>
    <t>ODI F-1 Series Tinker Juarez Dread Lock-On V2.1 MTB Grips - Naranja</t>
  </si>
  <si>
    <t>ODI F-1 Series Tinker Juarez Dread Lock-On V2.1 MTB Grips - rojo</t>
  </si>
  <si>
    <t>ODI Lock-On celeste</t>
  </si>
  <si>
    <t>ONOFF Grips Forest Lock‑On CNC 135 mm</t>
  </si>
  <si>
    <t>ONOFF Potencia de aluminio Forjado 6061 S6 CNC, long 30mm, 0°, Ø 31,8 mm</t>
  </si>
  <si>
    <t>ONOFF Tapa de Potencia Shaped Concave</t>
  </si>
  <si>
    <t>ONOFF Tija de sillín S9 Carbon 15-R, Ø 27,2 mm</t>
  </si>
  <si>
    <t>Procraft PRC HB3.1 31.8 Carbon Flat 760mm</t>
  </si>
  <si>
    <t>Procraft SL 31.8 Potencia 25° 50mm</t>
  </si>
  <si>
    <t>Prologo Sillín Scratch M5 Pas Nack, negro</t>
  </si>
  <si>
    <t>Prologo</t>
  </si>
  <si>
    <t>Disponible A pedido, Ciclismo &gt; Transmisión &gt; Repuestos</t>
  </si>
  <si>
    <t>Reverse Components</t>
  </si>
  <si>
    <t>Risk Kit de cables de cambio y freno para bicicleta – MTB / Ruta</t>
  </si>
  <si>
    <t>Risk</t>
  </si>
  <si>
    <t>Rockshox Aceite para suspensión 0W-30, 120 ml</t>
  </si>
  <si>
    <t>Rockshox Aceite para suspensión 5WT, 120 ml</t>
  </si>
  <si>
    <t>Rockshox Sid SL Ultimate Race Day Debon Air 29'' Boost Twistloc Tapered rake 44mm Negro</t>
  </si>
  <si>
    <t>Rockshox TwistLoc Remote Lever Kit para Suspension Fork/Rear Shock izquierdo</t>
  </si>
  <si>
    <t>Rotor 2INpower DM MTB Powerpack - Set de biela con potenciómetro y ovalado Q-Rings 36t - 170mm</t>
  </si>
  <si>
    <t>Santini Calentador de cuello Santini Team Lidl-Trek 2026 Fan Line RE49326LT</t>
  </si>
  <si>
    <t>Santini Chaleco cortavientos Team Lidl-Trek 2026 Fan Line RE545U7526LT, talla S</t>
  </si>
  <si>
    <t>Santini Maillot Team Lidl-Trek 2026 Fan Line manga larga azul rojo amarillo, talla S</t>
  </si>
  <si>
    <t>Schwalbe Cubierta Rigida MTB Tough Tom, SBC, K-Guard - 27.5x2.60"</t>
  </si>
  <si>
    <t>Schwalbe Cubierta Rigida MTB Tough Tom, SBC, K-Guard - 29x2.60"</t>
  </si>
  <si>
    <t>Scott MTB Comp RS Shoe - matt black/silver Talla: 42</t>
  </si>
  <si>
    <t>Scott</t>
  </si>
  <si>
    <t>Shimano Bielas SLX FC-M7100 1x12V, 170mm</t>
  </si>
  <si>
    <t>Shimano Deore SM-RT54 Center Lock 180mm</t>
  </si>
  <si>
    <t>Shimano Freno frontal XTR BL-M9200-F/BR-M9200-F</t>
  </si>
  <si>
    <t>Shimano Freno posterior XTR BL-M9200-R/BR-M9200-R</t>
  </si>
  <si>
    <t>Shimano Frenos MT200 Brake Lever+Brake Kit Aluminium Front y Rear</t>
  </si>
  <si>
    <t>Shimano Roldanas Deore XT para RD-M8100 / RD-M8120 - 12-Velocidades</t>
  </si>
  <si>
    <t>Shimano Shifter Deore SL-M6100, 1x12 velocidades</t>
  </si>
  <si>
    <t>Shimano SLX SM-RT64 Center Lock 203mm</t>
  </si>
  <si>
    <t>Shimano Steps E8000 104mm</t>
  </si>
  <si>
    <t>Shimano XT buje M8110 Disc CL FrontBlack 32H / 15 x 110 mm</t>
  </si>
  <si>
    <t>Shimano XT M8100 Silver 126 Links 12s</t>
  </si>
  <si>
    <t>SKS Germany Tom 18</t>
  </si>
  <si>
    <t>Slime Tube Sealant 237ml 8oz Green One Size</t>
  </si>
  <si>
    <t>Ciclismo &gt; Ruedas &gt; Líquidos tubeless</t>
  </si>
  <si>
    <t>Slime</t>
  </si>
  <si>
    <t>Smith Casco Convoy MIPS, Verde - Spruce, talla L</t>
  </si>
  <si>
    <t>Smith</t>
  </si>
  <si>
    <t>Smith Squad MTB Gravy Chromapop Everyday Red</t>
  </si>
  <si>
    <t>Spank Spike Grip 33 Lock On Puños de bicicleta - azul</t>
  </si>
  <si>
    <t>Spank</t>
  </si>
  <si>
    <t>Spank Spoon DC Flat Pedal rojo</t>
  </si>
  <si>
    <t>Spank Spoon Lock-On Grips</t>
  </si>
  <si>
    <t>Specialized Butcher Grid Trail 2Bliss Tubeless Ready 29 x 2.60</t>
  </si>
  <si>
    <t>Specialized Enduro lemon</t>
  </si>
  <si>
    <t>Specialized Stout boost 29'' 28h nucleo HG</t>
  </si>
  <si>
    <t>Ciclismo &gt; Ruedas &gt; Ruedas</t>
  </si>
  <si>
    <t>Spiuk Chaqueta cortaviento Anatomic, Negro, Talla XL</t>
  </si>
  <si>
    <t>Spiuk</t>
  </si>
  <si>
    <t>Spiuk Culote Anatomic Talla L</t>
  </si>
  <si>
    <t>Squirt Lube Lubricante cadena 120 ml</t>
  </si>
  <si>
    <t>Squirt</t>
  </si>
  <si>
    <t>Sram 900 6B Front 15x110 mm 28h</t>
  </si>
  <si>
    <t>Sram Abrazadera Infinite para shifter AXS Pod - 11.3018.018.000 - izquierda y derecha</t>
  </si>
  <si>
    <t>Sram Cable Stainless Shift Single Silver 1.1 x 2200 mm</t>
  </si>
  <si>
    <t>Sram Cadena GX T-Type Eagle, Solid Pin con PowerLock 126 links</t>
  </si>
  <si>
    <t>Sram Cadena PC-1110 11s</t>
  </si>
  <si>
    <t>Sram Cadena PC-X1 11s</t>
  </si>
  <si>
    <t>Sram Cadena XX1 126 Links 12s Gold</t>
  </si>
  <si>
    <t>Sram Code RSC frontal freno de disco</t>
  </si>
  <si>
    <t>Sram Descarrilador NX Black 12s / Max 50t</t>
  </si>
  <si>
    <t>Sram Grasa Butter 29 ml</t>
  </si>
  <si>
    <t>Sram Missing link Power Lock Eagle 12V gris</t>
  </si>
  <si>
    <t>Sram Pastillas de Freno Trail | Guide | G2 - Metálicas con Placa Acero - Powerful  (1 set) - PCK</t>
  </si>
  <si>
    <t>Sram patilla de cambio universal UDH - 00.7918.093.000</t>
  </si>
  <si>
    <t>Sram Plato NX X-Sync 2 Direct Mount acero 12v, 3mm (boost), 34T</t>
  </si>
  <si>
    <t>Sram Protector de bielas Guard Arm XX/XXSL T-Type</t>
  </si>
  <si>
    <t>Sram Shifter GX Single Click Trigger Rear Discrete Clamp Lunar 12s</t>
  </si>
  <si>
    <t>Sram Shifter NX Trigger Black 12s</t>
  </si>
  <si>
    <t>Supacaz MotoX DH Star Ringz Grips</t>
  </si>
  <si>
    <t>Syncros Guardabarros delantero Trail Fender Fox 34 y 36 Boost</t>
  </si>
  <si>
    <t>Syncros</t>
  </si>
  <si>
    <t>Tharsis PRO 35 Carbon 10 Riser 780mm</t>
  </si>
  <si>
    <t>Tharsis</t>
  </si>
  <si>
    <t>Töls</t>
  </si>
  <si>
    <t>Topeak Ninja Master+ Cage SK Portabidón</t>
  </si>
  <si>
    <t>Topeak Ninja QuickClick Mount</t>
  </si>
  <si>
    <t>Topeak Ninja ToolBox T16</t>
  </si>
  <si>
    <t>TranzX dropper post cableado interior 27.2x405 110mm</t>
  </si>
  <si>
    <t>TranzX</t>
  </si>
  <si>
    <t>TranzX dropper post cableado interior 34.9x456 150mm + mando remoto</t>
  </si>
  <si>
    <t>Troy Lee Designs</t>
  </si>
  <si>
    <t>Vittoria Rubino Pro Control G2.0 - negro</t>
  </si>
  <si>
    <t>TSG Waft Talla M</t>
  </si>
  <si>
    <t>TSG</t>
  </si>
  <si>
    <t>Vittoria Air-Liner Protección para cubiertas Talla L</t>
  </si>
  <si>
    <t>Ciclismo &gt; Ruedas &gt; Protección de Aro</t>
  </si>
  <si>
    <t>Vittoria Corsa G2.0 700x28</t>
  </si>
  <si>
    <t>Vittoria Corsa G2.0 700x30</t>
  </si>
  <si>
    <t>Vittoria Saguaro XC-Tubeless TR 29 x 2.25</t>
  </si>
  <si>
    <t>Vittoria Terreno Dry Black / Anthracite 700 x 38C</t>
  </si>
  <si>
    <t>Vittoria Terreno TLR 29x2.1 beige</t>
  </si>
  <si>
    <t>Vittoria Tubeless Rim Tape 66 Meters Black 25 mm</t>
  </si>
  <si>
    <t>Vittoria Tubeless Rim Tape 9 Meters Black 25 mm</t>
  </si>
  <si>
    <t>Wind Xtreme</t>
  </si>
  <si>
    <t>Wolf Tooth</t>
  </si>
  <si>
    <t>WTB TCS Brass Válvula Presta Tubeless, 1 Par, 34mm</t>
  </si>
  <si>
    <t>XLC Chainstay Protection Neopren CP N03</t>
  </si>
  <si>
    <t>XLC</t>
  </si>
  <si>
    <t>XON UST redondeada 45mm</t>
  </si>
  <si>
    <t>XON</t>
  </si>
  <si>
    <t>Zefal Portabotella Pulse L2 Carbon, Negro</t>
  </si>
  <si>
    <t>Ciclismo &gt; Accesorios &gt; Bidones &amp; portabidones, Próximamente en llegar</t>
  </si>
  <si>
    <t>Zefal</t>
  </si>
  <si>
    <t>ZTTO MT1 Straightpull Frontal - 6-Agujeros - Boost 15x110mm - 28h</t>
  </si>
  <si>
    <t>ZTTO</t>
  </si>
  <si>
    <t>ZTTO MT1 Straightpull Posterior - 6-Agujeros - Boost 12x148mm - XD - 28h - Trinquete</t>
  </si>
  <si>
    <t>ZTTO MT1 Straightpull Posterior - Centerlock - Boost 12x148mm - XD - 28h - Ratchet</t>
  </si>
  <si>
    <t>Extralite potencia Hyperstem Full Black 31.8mm</t>
  </si>
  <si>
    <t>Extralite Juego de ruedas Cyberclimb E25T Berd 24h</t>
  </si>
  <si>
    <t>Extralite Maza delantera y posterior Cyber SL-2 Negro, 16h, 20h, 24h, 9x100 quick release, 12x100 thru release</t>
  </si>
  <si>
    <t>RockShox Token Bottomless Solo Air/Debon Air 32 mm - 1 und</t>
  </si>
  <si>
    <t>Magura Anillo para calipers de 2 pistones, Amarillo neon (1 unid) - PCK</t>
  </si>
  <si>
    <t>Magura Anillo para calipers de 2 pistones, Azul (1 unid) - PCK</t>
  </si>
  <si>
    <t>Magura Anillo para calipers de 2 pistones, Blanco (1 unid) - PCK</t>
  </si>
  <si>
    <t>Magura Anillo para calipers de 2 pistones, Oro (1 unid) - PCK</t>
  </si>
  <si>
    <t>Magura Anillo para calipers de 2 pistones, Plata (1 unid) - PCK</t>
  </si>
  <si>
    <t>Magura Anillo para calipers de 4 pistones, Oro (1 unid) - PCK</t>
  </si>
  <si>
    <t>Magura Anillo para calipers de 4 pistones, Plata (1 unid) - PCK</t>
  </si>
  <si>
    <t>Magura Anillo para calipers de 4 pistones, Rojo neon (1 unid) - PCK</t>
  </si>
  <si>
    <t>Magura Anillo para calipers de 4 pistones, Verde neon (1 unid) - PCK</t>
  </si>
  <si>
    <t>Magura Anillo para calipers de 4 pistones, Azul (1 unid) - PCK</t>
  </si>
  <si>
    <t>Sram Pastillas para Code R / RSC desde MY 2011 / Guide RE - Metálicas con Placa Acero - 11.5015.069.170 (1 set) PCK</t>
  </si>
  <si>
    <t>MKPT01BIE01SR0002</t>
  </si>
  <si>
    <t>MKP0000000001</t>
  </si>
  <si>
    <t>MKP0000000002</t>
  </si>
  <si>
    <t>MKP0000000004</t>
  </si>
  <si>
    <t>MKP0000000005</t>
  </si>
  <si>
    <t>MKP0000000009</t>
  </si>
  <si>
    <t>MKP0000000012</t>
  </si>
  <si>
    <t>MKP0000000017</t>
  </si>
  <si>
    <t>MKP0000000018</t>
  </si>
  <si>
    <t>MKP0000000021</t>
  </si>
  <si>
    <t>MKP0000000023</t>
  </si>
  <si>
    <t>MKP0000000024</t>
  </si>
  <si>
    <t>MKP0000000025</t>
  </si>
  <si>
    <t>MKP0000000027</t>
  </si>
  <si>
    <t>MKP0000000033</t>
  </si>
  <si>
    <t>MKP0000000036</t>
  </si>
  <si>
    <t>MKP0000000040</t>
  </si>
  <si>
    <t>MKP0000000051</t>
  </si>
  <si>
    <t>PRD-000009</t>
  </si>
  <si>
    <t>&lt;div id="wcapf-active-filters-1" class="woocommerce wcapf-ajax-term-filter widget cf widget_wcapf-active-filters"&gt;&lt;strong&gt;&lt;a data-key="attra-disponibilidad" data-value="352" data-multiple-filter=""&gt;&lt;span class="name"&gt;&lt;font color="#E84E0E"&gt;¡Resérvalo ya! PRONTO EN STOCK.                              &lt;/font&gt;&lt;/span&gt;&lt;/a&gt;&lt;/strong&gt;&lt;/div&gt;
&lt;div id="wcapf-attribute-filter-6" class="woocommerce wcapf-ajax-term-filter widget cf widget_wcapf-attribute-filter"&gt;
&lt;div class="wcapf-layered-nav et-list-wcapf ps ps--theme_default" data-ps-id="7946ef68-653f-c20b-c5f3-9a8737d12d7d"&gt;
&lt;strong&gt;&lt;span class="name"&gt;Este producto está en camino. El tiempo de espera es de 3 a 15 días. Consultar &lt;a href="http://wa.me/51963358335" target="_blank" rel="noopener"&gt;&lt;u&gt;AQUÍ&lt;/u&gt;&lt;/a&gt; para información más detallada.&lt;/span&gt;&lt;/strong&gt;
&lt;/div&gt;
&lt;/div&gt;</t>
  </si>
  <si>
    <t>&lt;div id="wcapf-active-filters-1" class="woocommerce wcapf-ajax-term-filter widget cf widget_wcapf-active-filters"&gt;&lt;strong&gt;&lt;a data-key="attra-disponibilidad" data-value="352" data-multiple-filter=""&gt;&lt;span class="name"&gt;&lt;font color="#E84E0E"&gt;Disponible A PEDIDO.                                        &lt;/font&gt;&lt;/span&gt;&lt;/a&gt;&lt;/strong&gt;&lt;/div&gt;
&lt;div id="wcapf-attribute-filter-6" class="woocommerce wcapf-ajax-term-filter widget cf widget_wcapf-attribute-filter"&gt;
&lt;div class="wcapf-layered-nav et-list-wcapf ps ps--theme_default" data-ps-id="7946ef68-653f-c20b-c5f3-9a8737d12d7d"&gt;
&lt;strong&gt;&lt;span class="name"&gt;El tiempo de espera es de 2 a 3 semanas. Consultar &lt;a href="http://wa.me/51963358335" target="_blank" rel="noopener"&gt;&lt;u&gt;AQUÍ&lt;/u&gt;&lt;/a&gt; para confirmar y/o información más detallada.&lt;/span&gt;&lt;/strong&gt;
&lt;strong&gt;&lt;span class="name"&gt;Usar código APEDIDO para obtener el descuento de 50% de adelanto y el 50% restante se realiza en la entrega.&lt;/span&gt;&lt;/strong&gt;
&lt;strong&gt;&lt;span class="name"&gt;Para compras A pedido &lt;u&gt;SOLO&lt;/u&gt; se aceptan &lt;u&gt;pagos con transferencia&lt;/u&gt;.&lt;/span&gt;&lt;/strong&gt;
&amp;nbsp;
&lt;/div&gt;
&lt;/div&gt;</t>
  </si>
  <si>
    <t>&lt;div id="wcapf-attribute-filter-6" class="woocommerce wcapf-ajax-term-filter widget cf widget_wcapf-attribute-filter"&gt;
&lt;div class="wcapf-layered-nav et-list-wcapf ps ps--theme_default" data-ps-id="7946ef68-653f-c20b-c5f3-9a8737d12d7d"&gt;
&lt;div id="wcapf-active-filters-1" class="woocommerce wcapf-ajax-term-filter widget cf widget_wcapf-active-filters"&gt;&lt;strong&gt;&lt;a data-key="attra-disponibilidad" data-value="352" data-multiple-filter=""&gt;&lt;span class="name"&gt;-                            &lt;/span&gt;&lt;/a&gt;&lt;a data-key="attra-disponibilidad" data-value="352" data-multiple-filter=""&gt;                &lt;/a&gt;&lt;/strong&gt;&lt;/div&gt;
&lt;div id="wcapf-attribute-filter-6" class="woocommerce wcapf-ajax-term-filter widget cf widget_wcapf-attribute-filter"&gt;
&lt;div class="wcapf-layered-nav et-list-wcapf ps ps--theme_default" data-ps-id="7946ef68-653f-c20b-c5f3-9a8737d12d7d"&gt;
&lt;strong&gt;&lt;span class="name"&gt;Si uno o más variantes de este producto no está en stock puedes reservarlo porque está &lt;font color="#E84E0E"&gt;PRONTO EN STOCK&lt;/font&gt;. El tiempo de espera es de 3 a 15 días. Consultar &lt;a href="http://wa.me/51963358335" target="_blank" rel="noopener"&gt;&lt;u&gt;AQUÍ&lt;/u&gt;&lt;/a&gt; para información más detallada.&lt;/span&gt;&lt;/strong&gt;
&lt;/div&gt;
&lt;/div&gt;
&lt;/div&gt;
&lt;/div&gt;</t>
  </si>
  <si>
    <t>&lt;div id="wcapf-active-filters-1" class="woocommerce wcapf-ajax-term-filter widget cf widget_wcapf-active-filters"&gt;&lt;strong&gt;&lt;a data-key="attra-disponibilidad" data-value="352" data-multiple-filter=""&gt;&lt;span class="name"&gt;-                            &lt;/span&gt;&lt;/a&gt;&lt;a data-key="attra-disponibilidad" data-value="352" data-multiple-filter=""&gt;                &lt;/a&gt;&lt;/strong&gt;&lt;/div&gt;
&lt;div id="wcapf-attribute-filter-6" class="woocommerce wcapf-ajax-term-filter widget cf widget_wcapf-attribute-filter"&gt;
&lt;div class="wcapf-layered-nav et-list-wcapf ps ps--theme_default" data-ps-id="7946ef68-653f-c20b-c5f3-9a8737d12d7d"&gt;
&lt;strong&gt;&lt;span class="name"&gt;Si uno o más variantes de este producto no está en stock puedes solicitarlo &lt;font color="#E84E0E"&gt;A PEDIDO&lt;/font&gt;. El tiempo de espera es de 2 a 3 semanas. Consultar &lt;a href="http://wa.me/51963358335" target="_blank" rel="noopener"&gt;&lt;u&gt;AQUÍ&lt;/u&gt;&lt;/a&gt; para confirmar y/o información más detallada.&lt;/span&gt;&lt;/strong&gt;
&lt;strong&gt;&lt;span class="name"&gt;Usar código APEDIDO para obtener el descuento de 50% de adelanto y el 50% restante se realiza en la entrega.&lt;/span&gt;&lt;/strong&gt;
&lt;strong&gt;&lt;span class="name"&gt;Para compras &lt;font color="#E84E0E"&gt;A PEDIDO&lt;/font&gt; &lt;u&gt;solo&lt;/u&gt; se aceptan &lt;u&gt;pagos con transferencia&lt;/u&gt;.&lt;/span&gt;&lt;/strong&gt;
&amp;nbsp;
&lt;/div&gt;
&lt;/div&gt;</t>
  </si>
  <si>
    <t>notify</t>
  </si>
  <si>
    <t>Estándar</t>
  </si>
  <si>
    <t>100percent Accuri 2 Chicago Red mirror lenses</t>
  </si>
  <si>
    <t>100percent Armega LensRed Hiper Silver Mirror One Size</t>
  </si>
  <si>
    <t>100percent RCore Olive</t>
  </si>
  <si>
    <t>100percent Ridecamp Color Negro</t>
  </si>
  <si>
    <t>100percent Trajecta Helmet - Essential Black Talla XL</t>
  </si>
  <si>
    <t>100percent Trajecta Helmet - Red</t>
  </si>
  <si>
    <t>77designz Abrazadera de sillín V2</t>
  </si>
  <si>
    <t>77designz Abrazadera de sillín V2, 34.9mm, azul</t>
  </si>
  <si>
    <t>77designz Abrazadera de sillín V2, 34.9mm, gris</t>
  </si>
  <si>
    <t>77designz Abrazadera de sillín V2, 34.9mm, naranja</t>
  </si>
  <si>
    <t>77designz Abrazadera de sillín V2, 34.9mm, natural</t>
  </si>
  <si>
    <t>77designz Abrazadera de sillín V2, 34.9mm, negro</t>
  </si>
  <si>
    <t>77designz Abrazadera de sillín V2, 34.9mm, oro</t>
  </si>
  <si>
    <t>77designz Abrazadera de sillín V2, 34.9mm, purpura</t>
  </si>
  <si>
    <t>77designz Abrazadera de sillín V2, 34.9mm, rojo</t>
  </si>
  <si>
    <t>77designz Abrazadera de sillín V2, 36.4mm, azul</t>
  </si>
  <si>
    <t>77designz Abrazadera de sillín V2, 36.4mm, gris</t>
  </si>
  <si>
    <t>77designz Abrazadera de sillín V2, 36.4mm, naranja</t>
  </si>
  <si>
    <t>77designz Abrazadera de sillín V2, 36.4mm, natural</t>
  </si>
  <si>
    <t>77designz Abrazadera de sillín V2, 36.4mm, negro</t>
  </si>
  <si>
    <t>77designz Abrazadera de sillín V2, 36.4mm, oro</t>
  </si>
  <si>
    <t>77designz Abrazadera de sillín V2, 36.4mm, purpura</t>
  </si>
  <si>
    <t>77designz Abrazadera de sillín V2, 36.4mm, rojo</t>
  </si>
  <si>
    <t>77designz Abrazadera de sillín V2, 38.6mm, azul</t>
  </si>
  <si>
    <t>77designz Abrazadera de sillín V2, 38.6mm, gris</t>
  </si>
  <si>
    <t>77designz Abrazadera de sillín V2, 38.6mm, naranja</t>
  </si>
  <si>
    <t>77designz Abrazadera de sillín V2, 38.6mm, natural</t>
  </si>
  <si>
    <t>77designz Abrazadera de sillín V2, 38.6mm, negro</t>
  </si>
  <si>
    <t>77designz Abrazadera de sillín V2, 38.6mm, oro</t>
  </si>
  <si>
    <t>77designz Abrazadera de sillín V2, 38.6mm, purpura</t>
  </si>
  <si>
    <t>77designz Abrazadera de sillín V2, 38.6mm, rojo</t>
  </si>
  <si>
    <t>77designz Adaptador para manillar de 31.8mm a 35mm, negro</t>
  </si>
  <si>
    <t>77designz Arandela M6 x 2.5mm</t>
  </si>
  <si>
    <t>77designz Cintillos (4 unidades)</t>
  </si>
  <si>
    <t>77designz Conector V2 para Crash plate V2, repuesto</t>
  </si>
  <si>
    <t>77designz Deslizador superior de guía cadenas para Freesolo (plato redondo), repuesto</t>
  </si>
  <si>
    <t>77designz Deslizador superior de guía cadenas para Plato Ovalado, repuesto</t>
  </si>
  <si>
    <t>77designz Espaciador de aluminio</t>
  </si>
  <si>
    <t>77designz Espaciador de aluminio, 10 mm, azul</t>
  </si>
  <si>
    <t>77designz Espaciador de aluminio, 10 mm, gris</t>
  </si>
  <si>
    <t>77designz Espaciador de aluminio, 10 mm, naranja</t>
  </si>
  <si>
    <t>77designz Espaciador de aluminio, 10 mm, natural</t>
  </si>
  <si>
    <t>77designz Espaciador de aluminio, 10 mm, negro</t>
  </si>
  <si>
    <t>77designz Espaciador de aluminio, 10 mm, oro</t>
  </si>
  <si>
    <t>77designz Espaciador de aluminio, 10 mm, purpura</t>
  </si>
  <si>
    <t>77designz Espaciador de aluminio, 10 mm, rojo</t>
  </si>
  <si>
    <t>77designz Espaciador de aluminio, 15 mm, azul</t>
  </si>
  <si>
    <t>77designz Espaciador de aluminio, 15 mm, gris</t>
  </si>
  <si>
    <t>77designz Espaciador de aluminio, 15 mm, naranja</t>
  </si>
  <si>
    <t>77designz Espaciador de aluminio, 15 mm, natural</t>
  </si>
  <si>
    <t>77designz Espaciador de aluminio, 15 mm, negro</t>
  </si>
  <si>
    <t>77designz Espaciador de aluminio, 15 mm, oro</t>
  </si>
  <si>
    <t>77designz Espaciador de aluminio, 15 mm, purpura</t>
  </si>
  <si>
    <t>77designz Espaciador de aluminio, 15 mm, rojo</t>
  </si>
  <si>
    <t>77designz Espaciador de aluminio, 20 mm, azul</t>
  </si>
  <si>
    <t>77designz Espaciador de aluminio, 20 mm, gris</t>
  </si>
  <si>
    <t>77designz Espaciador de aluminio, 20 mm, naranja</t>
  </si>
  <si>
    <t>77designz Espaciador de aluminio, 20 mm, natural</t>
  </si>
  <si>
    <t>77designz Espaciador de aluminio, 20 mm, negro</t>
  </si>
  <si>
    <t>77designz Espaciador de aluminio, 20 mm, oro</t>
  </si>
  <si>
    <t>77designz Espaciador de aluminio, 20 mm, purpura</t>
  </si>
  <si>
    <t>77designz Espaciador de aluminio, 20 mm, rojo</t>
  </si>
  <si>
    <t>77designz Espaciador de aluminio, 3 mm, azul</t>
  </si>
  <si>
    <t>77designz Espaciador de aluminio, 3 mm, gris</t>
  </si>
  <si>
    <t>77designz Espaciador de aluminio, 3 mm, naranja</t>
  </si>
  <si>
    <t>77designz Espaciador de aluminio, 3 mm, natural</t>
  </si>
  <si>
    <t>77designz Espaciador de aluminio, 3 mm, negro</t>
  </si>
  <si>
    <t>77designz Espaciador de aluminio, 3 mm, oro</t>
  </si>
  <si>
    <t>77designz Espaciador de aluminio, 3 mm, purpura</t>
  </si>
  <si>
    <t>77designz Espaciador de aluminio, 3 mm, rojo</t>
  </si>
  <si>
    <t>77designz Espaciador de aluminio, 5 mm, azul</t>
  </si>
  <si>
    <t>77designz Espaciador de aluminio, 5 mm, gris</t>
  </si>
  <si>
    <t>77designz Espaciador de aluminio, 5 mm, naranja</t>
  </si>
  <si>
    <t>77designz Espaciador de aluminio, 5 mm, natural</t>
  </si>
  <si>
    <t>77designz Espaciador de aluminio, 5 mm, negro</t>
  </si>
  <si>
    <t>77designz Espaciador de aluminio, 5 mm, oro</t>
  </si>
  <si>
    <t>77designz Espaciador de aluminio, 5 mm, purpura</t>
  </si>
  <si>
    <t>77designz Espaciador de aluminio, 5 mm, rojo</t>
  </si>
  <si>
    <t>77designz Espaciador de carbono</t>
  </si>
  <si>
    <t>77designz Espaciador de carbono 10mm</t>
  </si>
  <si>
    <t>77designz Espaciador de carbono 15mm</t>
  </si>
  <si>
    <t>77designz Espaciador de carbono 20mm</t>
  </si>
  <si>
    <t>77designz Espaciador de carbono 3mm</t>
  </si>
  <si>
    <t>77designz Espaciador de carbono 5mm</t>
  </si>
  <si>
    <t>77designz Funda antiruido para cableado interno</t>
  </si>
  <si>
    <t>77designz Grips con seguro 135x22, negro</t>
  </si>
  <si>
    <t>77designz Guía cadenas para Freesolo (plato redondo) BB - 38</t>
  </si>
  <si>
    <t>77designz Guía cadenas para Freesolo (plato redondo) ISCG05-38</t>
  </si>
  <si>
    <t>77designz Guía cadenas para plato ovalado BB-38</t>
  </si>
  <si>
    <t>77designz Guía cadenas para plato ovalado ISCG05-38</t>
  </si>
  <si>
    <t>77designz Guía para Freesolo V2 (plato redondo) - Unidad de deslizamiento superior de guía cadenas</t>
  </si>
  <si>
    <t>77designz Guía para Plato ovalado - Unidad de deslizamiento superior de guía cadenas</t>
  </si>
  <si>
    <t>77designz Juego de espaciadores para guía cadenas</t>
  </si>
  <si>
    <t>77designz Placa trasera de guía cadenas BB-38, negro, repuesto</t>
  </si>
  <si>
    <t>77designz Placa trasera de guía cadenas ISCG05-38, negro, repuesto</t>
  </si>
  <si>
    <t>77designz Potencia de una sola pieza</t>
  </si>
  <si>
    <t>77designz Potencia de una sola pieza, 35mm, azul</t>
  </si>
  <si>
    <t>77designz Potencia de una sola pieza, 35mm, gris</t>
  </si>
  <si>
    <t>77designz Potencia de una sola pieza, 35mm, naranja</t>
  </si>
  <si>
    <t>77designz Potencia de una sola pieza, 35mm, natural</t>
  </si>
  <si>
    <t>77designz Potencia de una sola pieza, 35mm, negro</t>
  </si>
  <si>
    <t>77designz Potencia de una sola pieza, 35mm, oro</t>
  </si>
  <si>
    <t>77designz Potencia de una sola pieza, 35mm, purpura</t>
  </si>
  <si>
    <t>77designz Potencia de una sola pieza, 35mm, rojo</t>
  </si>
  <si>
    <t>77designz Potencia de una sola pieza, 45mm, azul</t>
  </si>
  <si>
    <t>77designz Potencia de una sola pieza, 45mm, gris</t>
  </si>
  <si>
    <t>77designz Potencia de una sola pieza, 45mm, naranja</t>
  </si>
  <si>
    <t>77designz Potencia de una sola pieza, 45mm, natural</t>
  </si>
  <si>
    <t>77designz Potencia de una sola pieza, 45mm, negro</t>
  </si>
  <si>
    <t>77designz Potencia de una sola pieza, 45mm, oro</t>
  </si>
  <si>
    <t>77designz Potencia de una sola pieza, 45mm, purpura</t>
  </si>
  <si>
    <t>77designz Potencia de una sola pieza, 45mm, rojo</t>
  </si>
  <si>
    <t>77designz Protector de cuadro</t>
  </si>
  <si>
    <t>77designz Protector de cuadro, largo 100 cm, 3.8 cm de ancho</t>
  </si>
  <si>
    <t>77designz Protector de cuadro, largo 100 cm, 5.1 cm de ancho</t>
  </si>
  <si>
    <t>77designz Protector de cuadro, largo 300 cm, 3.8 cm de ancho</t>
  </si>
  <si>
    <t>77designz Protector de cuadro, largo 300 cm, 5.1 cm de ancho</t>
  </si>
  <si>
    <t>77designz Protector de cuadro, largo 50 cm, 3.8 cm de ancho</t>
  </si>
  <si>
    <t>77designz Protector de cuadro, largo 50 cm, 5.1 cm de ancho</t>
  </si>
  <si>
    <t>77designz Protector de plato (Crash plate) ISCG 05 V2</t>
  </si>
  <si>
    <t>77designz Protector de plato (Crash plate) ISCG 05 V2, 30t, azul</t>
  </si>
  <si>
    <t>77designz Protector de plato (Crash plate) ISCG 05 V2, 30t, gris</t>
  </si>
  <si>
    <t>77designz Protector de plato (Crash plate) ISCG 05 V2, 30t, naranja</t>
  </si>
  <si>
    <t>77designz Protector de plato (Crash plate) ISCG 05 V2, 30t, natural</t>
  </si>
  <si>
    <t>77designz Protector de plato (Crash plate) ISCG 05 V2, 30t, negro</t>
  </si>
  <si>
    <t>77designz Protector de plato (Crash plate) ISCG 05 V2, 30t, oro</t>
  </si>
  <si>
    <t>77designz Protector de plato (Crash plate) ISCG 05 V2, 30t, purpura</t>
  </si>
  <si>
    <t>77designz Protector de plato (Crash plate) ISCG 05 V2, 30t, rojo</t>
  </si>
  <si>
    <t>77designz Protector de plato (Crash plate) ISCG 05 V2, 32t, azul</t>
  </si>
  <si>
    <t>77designz Protector de plato (Crash plate) ISCG 05 V2, 32t, gris</t>
  </si>
  <si>
    <t>77designz Protector de plato (Crash plate) ISCG 05 V2, 32t, naranja</t>
  </si>
  <si>
    <t>77designz Protector de plato (Crash plate) ISCG 05 V2, 32t, natural</t>
  </si>
  <si>
    <t>77designz Protector de plato (Crash plate) ISCG 05 V2, 32t, negro</t>
  </si>
  <si>
    <t>77designz Protector de plato (Crash plate) ISCG 05 V2, 32t, oro</t>
  </si>
  <si>
    <t>77designz Protector de plato (Crash plate) ISCG 05 V2, 32t, purpura</t>
  </si>
  <si>
    <t>77designz Protector de plato (Crash plate) ISCG 05 V2, 32t, rojo</t>
  </si>
  <si>
    <t>77designz Protector de plato (Crash plate) ISCG 05 V2, 34t, azul</t>
  </si>
  <si>
    <t>77designz Protector de plato (Crash plate) ISCG 05 V2, 34t, gris</t>
  </si>
  <si>
    <t>77designz Protector de plato (Crash plate) ISCG 05 V2, 34t, naranja</t>
  </si>
  <si>
    <t>77designz Protector de plato (Crash plate) ISCG 05 V2, 34t, natural</t>
  </si>
  <si>
    <t>77designz Protector de plato (Crash plate) ISCG 05 V2, 34t, negro</t>
  </si>
  <si>
    <t>77designz Protector de plato (Crash plate) ISCG 05 V2, 34t, oro</t>
  </si>
  <si>
    <t>77designz Protector de plato (Crash plate) ISCG 05 V2, 34t, purpura</t>
  </si>
  <si>
    <t>77designz Protector de plato (Crash plate) ISCG 05 V2, 34t, rojo</t>
  </si>
  <si>
    <t>77designz Protector de plato (Crash plate) ISCG 05 V2, 36t, azul</t>
  </si>
  <si>
    <t>77designz Protector de plato (Crash plate) ISCG 05 V2, 36t, gris</t>
  </si>
  <si>
    <t>77designz Protector de plato (Crash plate) ISCG 05 V2, 36t, naranja</t>
  </si>
  <si>
    <t>77designz Protector de plato (Crash plate) ISCG 05 V2, 36t, natural</t>
  </si>
  <si>
    <t>77designz Protector de plato (Crash plate) ISCG 05 V2, 36t, negro</t>
  </si>
  <si>
    <t>77designz Protector de plato (Crash plate) ISCG 05 V2, 36t, oro</t>
  </si>
  <si>
    <t>77designz Protector de plato (Crash plate) ISCG 05 V2, 36t, purpura</t>
  </si>
  <si>
    <t>77designz Protector de plato (Crash plate) ISCG 05 V2, 36t, rojo</t>
  </si>
  <si>
    <t>77designz Set de espaciadores de carbono 3mm, 5mm, 10mm, 15mm</t>
  </si>
  <si>
    <t>77designz Tapa de horquilla de aire para tapa de botella</t>
  </si>
  <si>
    <t>77designz Tapa de potencia con perno de titanio</t>
  </si>
  <si>
    <t>77designz Tapa de potencia con perno de titanio, azul</t>
  </si>
  <si>
    <t>77designz Tapa de potencia con perno de titanio, gris</t>
  </si>
  <si>
    <t>77designz Tapa de potencia con perno de titanio, naranja</t>
  </si>
  <si>
    <t>77designz Tapa de potencia con perno de titanio, natural</t>
  </si>
  <si>
    <t>77designz Tapa de potencia con perno de titanio, negro</t>
  </si>
  <si>
    <t>77designz Tapa de potencia con perno de titanio, oro</t>
  </si>
  <si>
    <t>77designz Tapa de potencia con perno de titanio, purpura</t>
  </si>
  <si>
    <t>77designz Tapa de potencia con perno de titanio, rojo</t>
  </si>
  <si>
    <t>77designz Tapa de potencia para tapa de botella</t>
  </si>
  <si>
    <t>77designz Tornillo de titanio M4x12 T25 azul</t>
  </si>
  <si>
    <t>77designz Tornillo de titanio M5, M6</t>
  </si>
  <si>
    <t>77designz Tornillo de titanio M5x10 T25, natural</t>
  </si>
  <si>
    <t>77designz Tornillo de titanio M5x10 T25, negro</t>
  </si>
  <si>
    <t>77designz Tornillo de titanio M5x10 T25, oro</t>
  </si>
  <si>
    <t>77designz Tornillo de titanio M5x10 T25, tornasol</t>
  </si>
  <si>
    <t>77designz Tornillo de titanio M5X14 T25, natural</t>
  </si>
  <si>
    <t>77designz Tornillo de titanio M5X14 T25, negro</t>
  </si>
  <si>
    <t>77designz Tornillo de titanio M5X14 T25, oro</t>
  </si>
  <si>
    <t>77designz Tornillo de titanio M5X14 T25, tornasol</t>
  </si>
  <si>
    <t>77designz Tornillo de titanio M6X11 T25, natural</t>
  </si>
  <si>
    <t>77designz Tornillo de titanio M6X11 T25, negro</t>
  </si>
  <si>
    <t>77designz Tornillo de titanio M6X11 T25, oro</t>
  </si>
  <si>
    <t>77designz Tornillo de titanio M6X11 T25, tornasol</t>
  </si>
  <si>
    <t>77designz Tornillo de titanio M6X15 T25, natural</t>
  </si>
  <si>
    <t>77designz Tornillo de titanio M6X15 T25, negro</t>
  </si>
  <si>
    <t>77designz Tornillo de titanio M6X15 T25, oro</t>
  </si>
  <si>
    <t>77designz Tornillo de titanio M6X15 T25, tornasol</t>
  </si>
  <si>
    <t>77designz Tornillo de titanio para calipers Ti M6x18 T25 con arandela (x1)</t>
  </si>
  <si>
    <t>77designz Tornillo de titanio para calipers Ti M6x18 T25 con arandela (x1), natural</t>
  </si>
  <si>
    <t>77designz Tornillo de titanio para calipers Ti M6x18 T25 con arandela (x1), negro</t>
  </si>
  <si>
    <t>77designz Tornillo de titanio para calipers Ti M6x18 T25 con arandela (x1), oro</t>
  </si>
  <si>
    <t>77designz Tornillo de titanio para calipers Ti M6x18 T25 con arandela (x1), tornasol</t>
  </si>
  <si>
    <t>77designz Tornillos de titanio Hollow M6x11 SS x2</t>
  </si>
  <si>
    <t>77designz Tornillos de titanio para disco de freno (x12 M5x10)</t>
  </si>
  <si>
    <t>77designz Tornillos de titanio para disco de freno (x12 M5x10), natural</t>
  </si>
  <si>
    <t>77designz Tornillos de titanio para disco de freno (x12 M5x10), negro</t>
  </si>
  <si>
    <t>77designz Tornillos de titanio para disco de freno (x12 M5x10), oro</t>
  </si>
  <si>
    <t>77designz Tornillos de titanio para disco de freno (x12 M5x10), tornasol</t>
  </si>
  <si>
    <t>77designz Tuerca en CNC (guía de cadena)</t>
  </si>
  <si>
    <t>77designz Valvulas tubeless 44mm</t>
  </si>
  <si>
    <t>77designz Valvulas tubeless 44mm, bronce</t>
  </si>
  <si>
    <t>77designz Valvulas tubeless 44mm, gris</t>
  </si>
  <si>
    <t>77designz Valvulas tubeless 44mm, naranja</t>
  </si>
  <si>
    <t>77designz Valvulas tubeless 44mm, natural</t>
  </si>
  <si>
    <t>77designz Valvulas tubeless 44mm, negro</t>
  </si>
  <si>
    <t>77designz Valvulas tubeless 44mm, oro</t>
  </si>
  <si>
    <t>77designz Valvulas tubeless 44mm, purpura</t>
  </si>
  <si>
    <t>77designz Valvulas tubeless 44mm, rojo</t>
  </si>
  <si>
    <t>77designz Valvulas tubeless 44mm, tornasol</t>
  </si>
  <si>
    <t>77designz Valvulas tubeless 44mm, Turquesa</t>
  </si>
  <si>
    <t>Ashima Disco ARO-19, gris, 160mm</t>
  </si>
  <si>
    <t>Ashima Disco ARO-19, gris, 180mm</t>
  </si>
  <si>
    <t>Ashima Disco ARO-19, negro, 160mm</t>
  </si>
  <si>
    <t>Ashima Disco ARO-19, negro, 180mm</t>
  </si>
  <si>
    <t>Ashima Disco ARO-19, rojo, 160 mm</t>
  </si>
  <si>
    <t>Ashima Disco ARO-19, rojo, 180 mm</t>
  </si>
  <si>
    <t>BARON Aro de carbono GR32, 24mm interior, 700c, 24h, negro</t>
  </si>
  <si>
    <t>BARON Aro de carbono RR40, 22mm interior, 700c, 24h, negro</t>
  </si>
  <si>
    <t>BARON Aro de carbono RR54, 22mm interior, 700c, 24h, negro</t>
  </si>
  <si>
    <t>BARON Aro de carbono XR28,  28mm interior, 29", 28h, negro</t>
  </si>
  <si>
    <t>BARON Maza frontal straightpull IS SP, 6 pernos, 110x15 boost, negro, 24h</t>
  </si>
  <si>
    <t>BARON Maza frontal straightpull IS SP, 6 pernos, 110x15 boost, negro, 28h</t>
  </si>
  <si>
    <t>BARON Maza posterior IS, 6 pernos, boost 148x12, microspline, 32h, negro</t>
  </si>
  <si>
    <t>BARON Maza posterior IS, 6 pernos, boost 148x12, sram xd, 32h, negro</t>
  </si>
  <si>
    <t>BARON Maza posterior straightpull CL SP, boost 142x12, microspline, 24h, negro</t>
  </si>
  <si>
    <t>BARON Maza posterior straightpull CL SP, boost 142x12, sram xd, 24h, negro</t>
  </si>
  <si>
    <t>BARON Maza posterior straightpull IS SP, 6 pernos, boost 148x12, microspline, 24h, negro</t>
  </si>
  <si>
    <t>BARON Maza posterior straightpull IS SP, 6 pernos, boost 148x12, microspline, 28h, negro</t>
  </si>
  <si>
    <t>BARON Maza posterior straightpull IS SP, 6 pernos, boost 148x12, sram xd, 24h, negro</t>
  </si>
  <si>
    <t>BARON Maza posterior straightpull IS SP, 6 pernos, boost 148x12, sram xd, 28h, negro</t>
  </si>
  <si>
    <t>BEAR Kit de Reparación Tubeless Tire, rojo</t>
  </si>
  <si>
    <t>BikeWorkx Tubeless Valve Set 45mm - negro</t>
  </si>
  <si>
    <t>ChrisKing Peaty´s Tubeless Valves 60 mm</t>
  </si>
  <si>
    <t>ChrisKing Peaty's Set de 2 válvulas Chris King Edition MK2 Tubeless verde</t>
  </si>
  <si>
    <t>ChrisKing Peaty's Set de 2 válvulas MK2 Tubeless 80 fucsia</t>
  </si>
  <si>
    <t>Columbia Casaca polar Basin Butte™ II Dark Stone/Black para hombre, Talla M</t>
  </si>
  <si>
    <t xml:space="preserve">Crankbrothers Calas Premium easy release 0° bronze </t>
  </si>
  <si>
    <t xml:space="preserve">Crankbrothers Calas Premium standard release 6° gold </t>
  </si>
  <si>
    <t xml:space="preserve">Crankbrothers Pedales Candy 1 2018 One Size </t>
  </si>
  <si>
    <t xml:space="preserve">DedaVinci 31,7 DCR Carbono Aero Manillar - 44cm </t>
  </si>
  <si>
    <t>DTSwiss 240 Classic Frontal - 6-Agujeros - Boost 15x110mm - 32h</t>
  </si>
  <si>
    <t>DTSwiss 240 Classic Posterior - 6-Agujeros - Boost 12x148mm - XD - 32h</t>
  </si>
  <si>
    <t>DTSwiss 350  Frontal - 6-Agujeros - Boost 15x110mm - 32h</t>
  </si>
  <si>
    <t>DTSwiss 350 Classic Posterior - 6-Agujeros - Boost 12x148mm - Micro Spline - 28h</t>
  </si>
  <si>
    <t>DTSwiss 350 Classic Posterior - 6-Agujeros - Boost 12x148mm - Micro Spline - 32h</t>
  </si>
  <si>
    <t>DTSwiss 350 Classic Posterior - 6-Agujeros - Boost 12x148mm - Shimano HG - 32h</t>
  </si>
  <si>
    <t>DTSwiss 350 Straightpull Frontal - 6-Agujeros - Boost 15x110mm - 28h</t>
  </si>
  <si>
    <t>DTSwiss 350 Straightpull Frontal - Centerlock - 15x100mm - 28h</t>
  </si>
  <si>
    <t>DTSwiss 350 Straightpull Posterior - 6-Agujeros - Boost 12x142mm - XD - 28h</t>
  </si>
  <si>
    <t>DTSwiss 350 Straightpull Posterior - 6-Agujeros - Boost 12x148mm - Micro Spline - 28h</t>
  </si>
  <si>
    <t>DTSwiss 350 Straightpull Posterior - Centerlock - Boost 12x148mm - Micro Spline - 28h</t>
  </si>
  <si>
    <t>DTSwiss adaptador de disco de freno MTB (centerlock a 6-bolt) HWZXXX00S1232S</t>
  </si>
  <si>
    <t>DTSwiss adaptador de disco de freno ROAD (centerlock a 6-bolt) HWZXXX00S4760S</t>
  </si>
  <si>
    <t>DTSwiss Aluminium Tubeless Valve 18-25 mm profundidad de aro negro</t>
  </si>
  <si>
    <t>DTSwiss Aluminium Tubeless Valve 36-48 mm profundidad de aro negro</t>
  </si>
  <si>
    <t>DTSwiss Aro E 512 27.5'' aro mtb</t>
  </si>
  <si>
    <t>DTSwiss Aro E 512 27.5'' mtb 28h</t>
  </si>
  <si>
    <t>DTSwiss Aro E 512 27.5'' mtb 32h</t>
  </si>
  <si>
    <t>DTSwiss Aro E 532 27.5'' aro mtb</t>
  </si>
  <si>
    <t>DTSwiss Aro E 532 27.5'' mtb 28h</t>
  </si>
  <si>
    <t>DTSwiss Aro E 532 27.5'' mtb 32h</t>
  </si>
  <si>
    <t>DTSwiss Aro E 532 29'' aro mtb</t>
  </si>
  <si>
    <t>DTSwiss Aro E 532 29'' aro mtb 28h</t>
  </si>
  <si>
    <t>DTSwiss Aro E 532 29'' aro mtb 32h</t>
  </si>
  <si>
    <t>DTSwiss Aro EX 511 - 29" Disc MTB Rim - black</t>
  </si>
  <si>
    <t>DTSwiss Aro EX 511 - 29" Disc MTB Rim - black 28h</t>
  </si>
  <si>
    <t>DTSwiss Aro EX 511 - 29" Disc MTB Rim - black 32h</t>
  </si>
  <si>
    <t>DTSwiss Aro FR 541 29''</t>
  </si>
  <si>
    <t>DTSwiss Aro FR 541 29'', 28h</t>
  </si>
  <si>
    <t>DTSwiss Aro FR 541 29'', 32h</t>
  </si>
  <si>
    <t>DTSwiss Aro H 612 27.5" E-MTB 28h</t>
  </si>
  <si>
    <t>DTSwiss Aro HX 531 29" Hybrid Disc Rim 28h</t>
  </si>
  <si>
    <t>DTSwiss Aro HX 581 Hybrid, 35mm interior, 27.5'', 28h, negro</t>
  </si>
  <si>
    <t>DTSwiss Aro M 542 27.5'' Disc mtb rim 28h</t>
  </si>
  <si>
    <t>DTSwiss Aro XR 331 29'' Disc mtb</t>
  </si>
  <si>
    <t>DTSwiss Aro XR 331 29'' Disc mtb rim 28h</t>
  </si>
  <si>
    <t>DTSwiss Aro XR 331 29'' Disc mtb rim 32h</t>
  </si>
  <si>
    <t>DTSwiss Aro XR 361 29" Disc MTB Rim 28h</t>
  </si>
  <si>
    <t>DTSwiss Aro XR 391 29'' Disc mtb rim</t>
  </si>
  <si>
    <t>DTSwiss Aro XR 391 29'' Disc mtb rim 28h</t>
  </si>
  <si>
    <t>DTSwiss Aro XR 391 29'' Disc mtb rim 32h</t>
  </si>
  <si>
    <t>DTSwiss Champion Straightpull Spokes 2.0 - black</t>
  </si>
  <si>
    <t>DTSwiss Cinta Tubeless Ready 10 Metros 19 mm black</t>
  </si>
  <si>
    <t>DTSwiss Competition Spokes 2.0/1.8/2.0</t>
  </si>
  <si>
    <t>DTSwiss Competition Straightpull Spokes 2.0/1.8/2.0 - black</t>
  </si>
  <si>
    <t>DTSwiss Grasa multi-proposito para Ratchet System Hubs 20g - HXTXXX00NMG20S</t>
  </si>
  <si>
    <t>DTSwiss Grasa para ratchet, special grease, 20g</t>
  </si>
  <si>
    <t>DTSwiss nipple Pro Lock Squorx Pro Head Aluminio 2.0mmx15mm silver</t>
  </si>
  <si>
    <t>DTSwiss Ratchet Star 54T kit DT Superlight - HWTXXX00NSK54S</t>
  </si>
  <si>
    <t>DTSwiss Ratchet Star EXP 54T kit DT Superlight - HWYXXX00N9376S</t>
  </si>
  <si>
    <t>DTSwiss Washers para radios/nipples – (1 unid)</t>
  </si>
  <si>
    <t>DUKE Aro CRAZY STAR 6TERS, 26.5mm interior</t>
  </si>
  <si>
    <t>DUKE Aro CRAZY STAR 6TERS, 26.5mm interior, 29'', 28h, negro</t>
  </si>
  <si>
    <t>DUKE Aro CRAZY STAR 6TERS, 26.5mm interior, 29'', 32h, negro</t>
  </si>
  <si>
    <t>DUKE Aro CRAZY STAR 6TERS, 29.5mm interior</t>
  </si>
  <si>
    <t>DUKE Aro CRAZY STAR 6TERS, 29.5mm interior, 29'', 28h, negro</t>
  </si>
  <si>
    <t>DUKE Aro CRAZY STAR 6TERS, 29.5mm interior, 29'', 32h, negro</t>
  </si>
  <si>
    <t>DUKE Aro de carbono BACCARA 25C 3K (Frenado en Aro de carbono), 18mm interior, 700c</t>
  </si>
  <si>
    <t>DUKE Aro de carbono BACCARA 25C 3K (Frenado en Aro de carbono), 18mm interior, 700c, 20h, negro satinado</t>
  </si>
  <si>
    <t>DUKE Aro de carbono BACCARA 25C 3K (Frenado en Aro de carbono), 18mm interior, 700c, 24h, negro satinado</t>
  </si>
  <si>
    <t>DUKE Aro de carbono BACCARA 25C 3K (Frenado en disco), 18mm interior, 700c</t>
  </si>
  <si>
    <t>DUKE Aro de carbono BACCARA 25C 3K (Frenado en disco), 18mm interior, 700c, 24h, negro satinado</t>
  </si>
  <si>
    <t>DUKE Aro de carbono BACCARA 25C 3K (Frenado en disco), 18mm interior, 700c, 28h, negro satinado</t>
  </si>
  <si>
    <t>DUKE Aro de carbono BACCARA 35C 3K (Frenado en Aro de carbono), 18mm interior, 700c</t>
  </si>
  <si>
    <t>DUKE Aro de carbono BACCARA 35C 3K (Frenado en Aro de carbono), 18mm interior, 700c, 20h, negro satinado</t>
  </si>
  <si>
    <t>DUKE Aro de carbono BACCARA 35C 3K (Frenado en Aro de carbono), 18mm interior, 700c, 24h, negro satinado</t>
  </si>
  <si>
    <t>DUKE Aro de carbono BACCARA 35C 3K (Frenado en disco), 18mm interior, 700c</t>
  </si>
  <si>
    <t>DUKE Aro de carbono BACCARA 35C 3K (Frenado en disco), 18mm interior, 700c, 24h, negro satinado</t>
  </si>
  <si>
    <t>DUKE Aro de carbono BACCARA 35C 3K (Frenado en disco), 18mm interior, 700c, 28h, negro satinado</t>
  </si>
  <si>
    <t>DUKE Aro de carbono BACCARA 35C 3K (Frenado en disco), 18mm interior, 700c, 32h, negro satinado</t>
  </si>
  <si>
    <t>DUKE Aro de carbono BACCARA 45C 3K (Frenado en Aro de carbono), 18mm interior, 700c</t>
  </si>
  <si>
    <t>DUKE Aro de carbono BACCARA 45C 3K (Frenado en Aro de carbono), 18mm interior, 700c, 20h, negro satinado</t>
  </si>
  <si>
    <t>DUKE Aro de carbono BACCARA 45C 3K (Frenado en Aro de carbono), 18mm interior, 700c, 24h, negro satinado</t>
  </si>
  <si>
    <t>DUKE Aro de carbono BACCARA 45C 3K (Frenado en disco), 18mm interior, 700c</t>
  </si>
  <si>
    <t>DUKE Aro de carbono BACCARA 45C 3K (Frenado en disco), 18mm interior, 700c, 24h, negro satinado</t>
  </si>
  <si>
    <t>DUKE Aro de carbono BACCARA 45C 3K (Frenado en disco), 18mm interior, 700c, 28h, negro satinado</t>
  </si>
  <si>
    <t>DUKE Aro de carbono BACCARA 45C 3K (Frenado en disco), 18mm interior, 700c, 32h, negro satinado</t>
  </si>
  <si>
    <t>DUKE Aro de carbono BACCARA 55C 3K (Frenado en Aro de carbono), 18mm interior, 700c</t>
  </si>
  <si>
    <t>DUKE Aro de carbono BACCARA 55C 3K (Frenado en Aro de carbono), 18mm interior, 700c, 20h, negro satinado</t>
  </si>
  <si>
    <t>DUKE Aro de carbono BACCARA 55C 3K (Frenado en Aro de carbono), 18mm interior, 700c, 24h, negro satinado</t>
  </si>
  <si>
    <t>DUKE Aro de carbono BACCARA 65C 3K (Frenado en Aro de carbono), 18mm interior, 700c</t>
  </si>
  <si>
    <t>DUKE Aro de carbono BACCARA 65C 3K (Frenado en Aro de carbono), 18mm interior, 700c, 20h, negro satinado</t>
  </si>
  <si>
    <t>DUKE Aro de carbono BACCARA 65C 3K (Frenado en Aro de carbono), 18mm interior, 700c, 24h, negro satinado</t>
  </si>
  <si>
    <t>DUKE Aro de carbono BACCARA 88C 3K (Frenado en Aro de carbono), 18mm interior, 700c</t>
  </si>
  <si>
    <t>DUKE Aro de carbono BACCARA 88C 3K (Frenado en Aro de carbono), 18mm interior, 700c, 20h, negro satinado</t>
  </si>
  <si>
    <t>DUKE Aro de carbono BACCARA 88C 3K (Frenado en Aro de carbono), 18mm interior, 700c, 24h, negro satinado</t>
  </si>
  <si>
    <t>DUKE Aro de carbono CRAZY JACK 3K RF, 28.5mm interior</t>
  </si>
  <si>
    <t>DUKE Aro de carbono CRAZY JACK 3K RF, 28.5mm interior, 27.5'', 32h, negro</t>
  </si>
  <si>
    <t>DUKE Aro de carbono CRAZY JACK 3K RF, 28.5mm interior, 29'', 32h, negro</t>
  </si>
  <si>
    <t>DUKE Aro de carbono CRAZY JACK 3K, 28.5mm interior</t>
  </si>
  <si>
    <t>DUKE Aro de carbono CRAZY JACK 3K, 28.5mm interior, 27.5'', 28h, negro</t>
  </si>
  <si>
    <t>DUKE Aro de carbono CRAZY JACK 3K, 28.5mm interior, 27.5'', 32h, negro</t>
  </si>
  <si>
    <t>DUKE Aro de carbono CRAZY JACK 3K, 28.5mm interior, 29'', 28h, negro</t>
  </si>
  <si>
    <t>DUKE Aro de carbono CRAZY JACK 3K, 28.5mm interior, 29'', 32h, negro</t>
  </si>
  <si>
    <t>DUKE Aro de carbono CRAZY JACK SLS2 6TERS RR RF, 27mm interior</t>
  </si>
  <si>
    <t>DUKE Aro de carbono CRAZY JACK SLS2 6TERS RR RF, 27mm interior, 29'', 28h, negro</t>
  </si>
  <si>
    <t>DUKE Aro de carbono CRAZY JACK SLS2 6TERS RR RF, 27mm interior, 29'', 32h, negro</t>
  </si>
  <si>
    <t>DUKE Aro de carbono CRAZY JACK SLS2 6TERS RR, 27mm interior</t>
  </si>
  <si>
    <t>DUKE Aro de carbono CRAZY JACK SLS2 6TERS RR, 27mm interior, 29'', 28h, negro</t>
  </si>
  <si>
    <t>DUKE Aro de carbono CRAZY JACK SLS2 6TERS RR, 27mm interior, 29'', 32h, negro</t>
  </si>
  <si>
    <t>DUKE Aro de carbono CRAZY JACK SLS3 6TERS RR, 27mm interior</t>
  </si>
  <si>
    <t>DUKE Aro de carbono CRAZY JACK SLS3 6TERS RR, 27mm interior, 29'', 28h, negro</t>
  </si>
  <si>
    <t>DUKE Aro de carbono CRAZY JACK SLS3 6TERS RR, 27mm interior, 29'', 32h, negro</t>
  </si>
  <si>
    <t>DUKE Aro de carbono CRAZY JACK SLS4, 30mm interior</t>
  </si>
  <si>
    <t>DUKE Aro de carbono CRAZY JACK SLS4, 30mm interior, 29'', 28h, negro</t>
  </si>
  <si>
    <t>DUKE Aro de carbono CRAZY JACK SLS4, 30mm interior, 29'', 32h, negro</t>
  </si>
  <si>
    <t>DUKE Aro de carbono CRAZY JACK SLS4, 32.5mm interior</t>
  </si>
  <si>
    <t>DUKE Aro de carbono CRAZY JACK SLS4, 32.5mm interior, 29'', 28h, negro</t>
  </si>
  <si>
    <t>DUKE Aro de carbono CRAZY JACK SLS4, 32.5mm interior, 29'', 32h, negro</t>
  </si>
  <si>
    <t>DUKE Aro de carbono FURY JACK 3K RF, 32mm interior</t>
  </si>
  <si>
    <t>DUKE Aro de carbono FURY JACK 3K RF, 32mm interior, 27.5'', 32h, negro</t>
  </si>
  <si>
    <t>DUKE Aro de carbono FURY JACK 3K RF, 32mm interior, 29'', 32h, negro</t>
  </si>
  <si>
    <t>DUKE Aro de carbono FURY JACK 3K, 32mm interior</t>
  </si>
  <si>
    <t>DUKE Aro de carbono FURY JACK 3K, 32mm interior, 27.5'', 32h, negro</t>
  </si>
  <si>
    <t>DUKE Aro de carbono FURY JACK 3K, 32mm interior, 29'', 32h, negro</t>
  </si>
  <si>
    <t>DUKE Aro de carbono FURY JACK SLS2 6TERS RR, 29mm interior</t>
  </si>
  <si>
    <t>DUKE Aro de carbono FURY JACK SLS2 6TERS RR, 29mm interior, 29'', 28h, negro</t>
  </si>
  <si>
    <t>DUKE Aro de carbono FURY JACK SLS3 6TERS FR, 32.5mm interior, 29'', 32h, negro</t>
  </si>
  <si>
    <t>DUKE Aro de carbono FURY JACK SLS3 6TERS RR, 29mm interior</t>
  </si>
  <si>
    <t>DUKE Aro de carbono FURY JACK SLS3 6TERS RR, 29mm interior, 29'', 28h, negro</t>
  </si>
  <si>
    <t>DUKE Aro de carbono FURY JACK SLS3 6TERS RR, 29mm interior, 29'', 32h, negro</t>
  </si>
  <si>
    <t>DUKE Aro de carbono FURY JACK UD MAT RF, 32mm interior</t>
  </si>
  <si>
    <t>DUKE Aro de carbono FURY JACK UD MAT RF, 32mm interior, 27.5'', 32h, negro</t>
  </si>
  <si>
    <t>DUKE Aro de carbono FURY JACK UD MAT RF, 32mm interior, 29'', 28h, negro</t>
  </si>
  <si>
    <t>DUKE Aro de carbono FURY JACK UD MAT RF, 32mm interior, 29'', 32h, negro</t>
  </si>
  <si>
    <t>DUKE Aro de carbono FURY JACK UD MAT, 32mm interior</t>
  </si>
  <si>
    <t>DUKE Aro de carbono FURY JACK UD MAT, 32mm interior, 27.5'', 32h, negro</t>
  </si>
  <si>
    <t>DUKE Aro de carbono FURY JACK UD MAT, 32mm interior, 29'', 32h, negro</t>
  </si>
  <si>
    <t>DUKE Aro de carbono LUCKY JACK 3K RF, 25.6mm interior</t>
  </si>
  <si>
    <t>DUKE Aro de carbono LUCKY JACK 3K RF, 25.6mm interior, 27.5", 28h, negro</t>
  </si>
  <si>
    <t>DUKE Aro de carbono LUCKY JACK 3K RF, 25.6mm interior, 27.5", 32h, negro</t>
  </si>
  <si>
    <t>DUKE Aro de carbono LUCKY JACK 3K RF, 25.6mm interior, 29", 28h, negro</t>
  </si>
  <si>
    <t>DUKE Aro de carbono LUCKY JACK 3K RF, 25.6mm interior, 29", 32h, negro</t>
  </si>
  <si>
    <t>DUKE Aro de carbono LUCKY JACK 3K, 25.6mm interior</t>
  </si>
  <si>
    <t>DUKE Aro de carbono LUCKY JACK 3K, 25.6mm interior, 27.5", 24h, Negro</t>
  </si>
  <si>
    <t>DUKE Aro de carbono LUCKY JACK 3K, 25.6mm interior, 27.5", 28h, Negro</t>
  </si>
  <si>
    <t>DUKE Aro de carbono LUCKY JACK 3K, 25.6mm interior, 27.5", 32h, Negro</t>
  </si>
  <si>
    <t>DUKE Aro de carbono LUCKY JACK 3K, 25.6mm interior, 29", 24h, Negro</t>
  </si>
  <si>
    <t>DUKE Aro de carbono LUCKY JACK 3K, 25.6mm interior, 29", 28h, Negro</t>
  </si>
  <si>
    <t>DUKE Aro de carbono LUCKY JACK 3K, 25.6mm interior, 29", 32h, Negro</t>
  </si>
  <si>
    <t>DUKE Aro de carbono LUCKY JACK HD SLS4, 28mm interior</t>
  </si>
  <si>
    <t>DUKE Aro de carbono LUCKY JACK HD SLS4, 28mm interior, 29", 28h, negro</t>
  </si>
  <si>
    <t>DUKE Aro de carbono LUCKY JACK HD SLS4, 28mm interior, 29", 32h, negro</t>
  </si>
  <si>
    <t>DUKE Aro de carbono LUCKY JACK HD SLS4, 30.5mm interior</t>
  </si>
  <si>
    <t>DUKE Aro de carbono LUCKY JACK HD SLS4, 30.5mm interior, 29", 28h, negro</t>
  </si>
  <si>
    <t>DUKE Aro de carbono LUCKY JACK HD SLS4, 30.5mm interior, 29", 32h, negro</t>
  </si>
  <si>
    <t>DUKE Aro de carbono LUCKY JACK SLS3 6TERS, 26mm interior, 29", 32h, UD, negro</t>
  </si>
  <si>
    <t>DUKE Aro de carbono LUCKY JACK SLS3 6TERS, 28mm interior, 29", 24h, UD, negro</t>
  </si>
  <si>
    <t>DUKE Aro de carbono LUCKY JACK SLS3 6TERS, 30.5mm interior</t>
  </si>
  <si>
    <t>DUKE Aro de carbono LUCKY JACK SLS3 6TERS, 30.5mm interior, 29", 24h, UD, negro</t>
  </si>
  <si>
    <t>DUKE Aro de carbono LUCKY JACK SLS3 6TERS, 30.5mm interior, 29", 32h, UD, negro</t>
  </si>
  <si>
    <t>DUKE Aro de carbono LUCKY JACK SLS3 ULTRA, 24.5mm interior, 29",32h, negro</t>
  </si>
  <si>
    <t>DUKE Aro de carbono LUCKY JACK SLS3 ULTRA, 30.5mm interior, 29",32h, negro</t>
  </si>
  <si>
    <t>DUKE Aro de carbono LUCKY JACK SLS4, 26mm interior</t>
  </si>
  <si>
    <t>DUKE Aro de carbono LUCKY JACK SLS4, 26mm interior, 29", 24h, negro</t>
  </si>
  <si>
    <t>DUKE Aro de carbono LUCKY JACK SLS4, 26mm interior, 29", 28h, negro</t>
  </si>
  <si>
    <t>DUKE Aro de carbono LUCKY JACK SLS4, 26mm interior, 29", 32h, negro</t>
  </si>
  <si>
    <t>DUKE Aro de carbono LUCKY JACK SLS4, 28mm interior</t>
  </si>
  <si>
    <t>DUKE Aro de carbono LUCKY JACK SLS4, 28mm interior, 29", 24h, negro</t>
  </si>
  <si>
    <t>DUKE Aro de carbono LUCKY JACK SLS4, 28mm interior, 29", 28h, negro</t>
  </si>
  <si>
    <t>DUKE Aro de carbono LUCKY JACK SLS4, 28mm interior, 29", 32h, negro</t>
  </si>
  <si>
    <t>DUKE Aro de carbono LUCKY JACK SLS4, 30.5mm interior</t>
  </si>
  <si>
    <t>DUKE Aro de carbono LUCKY JACK SLS4, 30.5mm interior, 29", 24h, negro</t>
  </si>
  <si>
    <t>DUKE Aro de carbono LUCKY JACK SLS4, 30.5mm interior, 29", 28h, negro</t>
  </si>
  <si>
    <t>DUKE Aro de carbono LUCKY JACK SLS4, 30.5mm interior, 29", 32h, negro</t>
  </si>
  <si>
    <t>DUKE Aro de carbono LUCKY JACK UD MAT, 25.6mm interior</t>
  </si>
  <si>
    <t>DUKE Aro de carbono LUCKY JACK UD MAT, 25.6mm interior, 27.5", 28h, negro</t>
  </si>
  <si>
    <t>DUKE Aro de carbono LUCKY JACK UD MAT, 25.6mm interior, 27.5", 32h, negro</t>
  </si>
  <si>
    <t>DUKE Aro de carbono LUCKY JACK UD MAT, 25.6mm interior, 29", 28h, negro</t>
  </si>
  <si>
    <t>DUKE Aro de carbono LUCKY JACK UD MAT, 25.6mm interior, 29", 32h, negro</t>
  </si>
  <si>
    <t>DUKE Aro de carbono LUCKY JACK ULTRA SLS4, 24.5mm interior</t>
  </si>
  <si>
    <t>DUKE Aro de carbono LUCKY JACK ULTRA SLS4, 24.5mm interior, 29", 24h, negro</t>
  </si>
  <si>
    <t>DUKE Aro de carbono LUCKY JACK ULTRA SLS4, 24.5mm interior, 29", 28h, negro</t>
  </si>
  <si>
    <t>DUKE Aro de carbono LUCKY JACK ULTRA SLS4, 24.5mm interior, 29", 32h, negro</t>
  </si>
  <si>
    <t>DUKE Aro de carbono LUCKY JACK ULTRA SLS4, 28mm interior</t>
  </si>
  <si>
    <t>DUKE Aro de carbono LUCKY JACK ULTRA SLS4, 28mm interior, 29", 24h, negro</t>
  </si>
  <si>
    <t>DUKE Aro de carbono LUCKY JACK ULTRA SLS4, 28mm interior, 29", 28h, negro</t>
  </si>
  <si>
    <t>DUKE Aro de carbono LUCKY JACK ULTRA SLS4, 28mm interior, 29", 32h, negro</t>
  </si>
  <si>
    <t>DUKE Aro de carbono LUCKY JACK ULTRA SLS4, 30.5mm interior</t>
  </si>
  <si>
    <t>DUKE Aro de carbono LUCKY JACK ULTRA SLS4, 30.5mm interior, 29", 24h, negro</t>
  </si>
  <si>
    <t>DUKE Aro de carbono LUCKY JACK ULTRA SLS4, 30.5mm interior, 29", 28h, negro</t>
  </si>
  <si>
    <t>DUKE Aro de carbono LUCKY JACK ULTRA SLS4, 30.5mm interior, 29", 32h, negro</t>
  </si>
  <si>
    <t>DUKE Aro de carbono MARY JACK 3K RF, 40mm interior, 27.5", 32h, negro</t>
  </si>
  <si>
    <t>DUKE Aro de carbono MARY JACK 3K RF, 40mm interior, 27.5'', 32h, negro</t>
  </si>
  <si>
    <t>DUKE Aro de carbono MARY JACK 3K, 40mm interior, 27.5", 32h, negro</t>
  </si>
  <si>
    <t>DUKE Aro FURY STAR 6TERS, 28.5mm interior</t>
  </si>
  <si>
    <t>DUKE Aro FURY STAR 6TERS, 28.5mm interior, 29'', 28h, negro</t>
  </si>
  <si>
    <t>DUKE Aro FURY STAR 6TERS, 28.5mm interior, 29'', 32h, negro</t>
  </si>
  <si>
    <t>DUKE Aro FURY STAR 6TERS, 31.8mm interior</t>
  </si>
  <si>
    <t>DUKE Aro FURY STAR 6TERS, 31.8mm interior, 29'', 28h, negro</t>
  </si>
  <si>
    <t>DUKE Aro FURY STAR 6TERS, 31.8mm interior, 29'', 32h, negro</t>
  </si>
  <si>
    <t>DUKE Aro FURY STAR HD, 28.5mm interior</t>
  </si>
  <si>
    <t>DUKE Aro FURY STAR HD, 28.5mm interior, 27.5'', 28h, negro</t>
  </si>
  <si>
    <t>DUKE Aro FURY STAR HD, 28.5mm interior, 27.5'', 32h, negro</t>
  </si>
  <si>
    <t>DUKE Aro FURY STAR HD, 28.5mm interior, 29'', 28h, negro</t>
  </si>
  <si>
    <t>DUKE Aro FURY STAR HD, 28.5mm interior, 29'', 32h, negro</t>
  </si>
  <si>
    <t>DUKE Aro LUCKY STAR HD 6TERS, 26mm interior</t>
  </si>
  <si>
    <t>DUKE Aro LUCKY STAR HD 6TERS, 26mm interior, 29", 28h, Negro</t>
  </si>
  <si>
    <t>DUKE Aro LUCKY STAR HD 6TERS, 26mm interior, 29", 32h, Negro</t>
  </si>
  <si>
    <t>DUKE Aro LUCKY STAR HD 6TERS, 28mm interior</t>
  </si>
  <si>
    <t>DUKE Aro LUCKY STAR HD 6TERS, 28mm interior, 29", 28h, Negro</t>
  </si>
  <si>
    <t>DUKE Aro LUCKY STAR HD 6TERS, 28mm interior, 29", 32h, Negro</t>
  </si>
  <si>
    <t>DUKE Aro LUCKY STAR HD 6TERS, 30mm interior</t>
  </si>
  <si>
    <t>DUKE Aro LUCKY STAR HD 6TERS, 30mm interior, 29", 28h, Negro</t>
  </si>
  <si>
    <t>DUKE Aro LUCKY STAR HD 6TERS, 30mm interior, 29", 32h, Negro</t>
  </si>
  <si>
    <t>DUKE Aro LUCKY STAR ULTRA 23, 24mm interior</t>
  </si>
  <si>
    <t>DUKE Aro LUCKY STAR ULTRA 23, 24mm interior, 27.5'', 28h, Negro</t>
  </si>
  <si>
    <t>DUKE Aro LUCKY STAR ULTRA 23, 24mm interior, 27.5'', 32h, Negro</t>
  </si>
  <si>
    <t>DUKE Aro LUCKY STAR ULTRA 23, 24mm interior, 29'', 28h, Negro</t>
  </si>
  <si>
    <t>DUKE Aro LUCKY STAR ULTRA 23, 24mm interior, 29'', 32h, Negro</t>
  </si>
  <si>
    <t>DUKE Aro LUCKY STAR ULTRA 28, 28mm interior</t>
  </si>
  <si>
    <t>DUKE Aro LUCKY STAR ULTRA 28, 28mm interior, 29", 28h, Negro</t>
  </si>
  <si>
    <t>DUKE Aro LUCKY STAR ULTRA 28, 28mm interior, 29", 32h, Negro</t>
  </si>
  <si>
    <t>DUKE Aro ROAD RUNNER 23 (Frenado en disco), 19.5mm interior, 700c</t>
  </si>
  <si>
    <t>DUKE Aro ROAD RUNNER 23 (Frenado en disco), 19.5mm interior, 700c, 24h, negro satinado</t>
  </si>
  <si>
    <t>DUKE Aro ROAD RUNNER 23 (Frenado en disco), 19.5mm interior, 700c, 28h, negro satinado</t>
  </si>
  <si>
    <t>DUKE Aro ROAD RUNNER 23 RB (Frenado en aro), 19.5mm interior,700c</t>
  </si>
  <si>
    <t>DUKE Aro ROAD RUNNER 23 RB (Frenado en aro), 19.5mm interior,700c, 20h, negro</t>
  </si>
  <si>
    <t>DUKE Aro ROAD RUNNER 23 RB (Frenado en aro), 19.5mm interior,700c, 24h, negro</t>
  </si>
  <si>
    <t>DUKE Aro ROAD RUNNER 23 RB (Frenado en aro), 19.5mm interior,700c, 28h, negro</t>
  </si>
  <si>
    <t>DUKE Aro ROAD RUNNER 30 (Frenado en aro), 19.5mm interior, 700c</t>
  </si>
  <si>
    <t>DUKE Aro ROAD RUNNER 30 (Frenado en aro), 19.5mm interior, 700c, 20h, negro</t>
  </si>
  <si>
    <t>DUKE Aro ROAD RUNNER 30 (Frenado en aro), 19.5mm interior, 700c, 24h, negro</t>
  </si>
  <si>
    <t>DUKE Aro ROAD RUNNER 30 (Frenado en aro), 19.5mm interior, 700c, 28h, negro</t>
  </si>
  <si>
    <t>DUKE Aro ROAD RUNNER 30 (Frenado en disco), 19.5mm interior, 700c</t>
  </si>
  <si>
    <t>DUKE Aro ROAD RUNNER 30 (Frenado en disco), 19.5mm interior, 700c, 24h, negro satinado</t>
  </si>
  <si>
    <t>DUKE Aro ROAD RUNNER 30 (Frenado en disco), 19.5mm interior, 700c, 28h, negro satinado</t>
  </si>
  <si>
    <t>DUKE Aro ROAD RUNNER 30 (Frenado en disco), 19.5mm interior, 700c, 32h, negro satinado</t>
  </si>
  <si>
    <t>DUKE Aro ROAD RUNNER 35 (Frenado en disco), 20mm interior, 700c,</t>
  </si>
  <si>
    <t>DUKE Aro ROAD RUNNER 35 (Frenado en disco), 20mm interior, 700c, 24h, negro satinado</t>
  </si>
  <si>
    <t>DUKE Aro ROAD RUNNER 35 (Frenado en disco), 20mm interior, 700c, 28h, negro satinado</t>
  </si>
  <si>
    <t>DUKE Aro ROAD RUNNER 35 (Frenado en disco), 20mm interior, 700c, 32h, negro satinado</t>
  </si>
  <si>
    <t>DUKE Aro WORLD RUNNER 25 (Frenado en disco) ALU, 22mm interior, 700</t>
  </si>
  <si>
    <t>DUKE Aro WORLD RUNNER 25 (Frenado en disco) ALU, 22mm interior, 700c, 24h, negro satinado</t>
  </si>
  <si>
    <t>DUKE Aro WORLD RUNNER 25 (Frenado en disco) ALU, 22mm interior, 700c, 28h, negro satinado</t>
  </si>
  <si>
    <t>DUKE Aro WORLD RUNNER 25 (Frenado en disco) ALU, 22mm interior, 700c, 32h, negro satinado</t>
  </si>
  <si>
    <t>DUKE Cinta Tubeless 10M</t>
  </si>
  <si>
    <t>DUKE Cinta Tubeless 10M, 24mm, negro</t>
  </si>
  <si>
    <t>DUKE Cinta Tubeless 10M, 26mm, negro</t>
  </si>
  <si>
    <t>DUKE Cinta Tubeless 10M, 28mm, negro</t>
  </si>
  <si>
    <t>DUKE Cinta Tubeless 10M, 30mm, negro</t>
  </si>
  <si>
    <t>DUKE Cinta Tubeless 33M</t>
  </si>
  <si>
    <t>DUKE Cinta Tubeless 33M, 24mm, negro</t>
  </si>
  <si>
    <t>DUKE Cinta Tubeless 33M, 26mm, negro</t>
  </si>
  <si>
    <t>DUKE Cinta Tubeless 33M, 28mm, negro</t>
  </si>
  <si>
    <t>DUKE Cinta Tubeless 33M, 30mm, negro</t>
  </si>
  <si>
    <t>DUKE Maza frontal BADBOY CL, 110x15 boost</t>
  </si>
  <si>
    <t>DUKE Maza frontal BADBOY CL, 110x15 boost, 28h, negro</t>
  </si>
  <si>
    <t>DUKE Maza frontal BADBOY CL, 110x15 boost, 32h, negro</t>
  </si>
  <si>
    <t>DUKE Maza frontal BADBOY IS, 6 pernos, 110x15 boost, 32h, negro</t>
  </si>
  <si>
    <t>DUKE Maza frontal MADMAX CL SP, 110x15 boost</t>
  </si>
  <si>
    <t>DUKE Maza frontal MADMAX CL SP, 110x15 boost, 24h, negro</t>
  </si>
  <si>
    <t>DUKE Maza frontal MADMAX CL SP, 110x15 boost, 28h, naranja</t>
  </si>
  <si>
    <t>DUKE Maza frontal MADMAX CL SP, 110x15 boost, 28h, negro</t>
  </si>
  <si>
    <t>DUKE Maza frontal MADMAX CL SP, 110x15 boost, 28h, rojo</t>
  </si>
  <si>
    <t>DUKE Maza frontal MADMAX IS SP, 110X15 boost</t>
  </si>
  <si>
    <t>DUKE Maza frontal MADMAX IS SP, 110X15 boost, 28h, naranja</t>
  </si>
  <si>
    <t>DUKE Maza frontal MADMAX IS SP, 110X15 boost, 28h, negro</t>
  </si>
  <si>
    <t>DUKE Maza frontal MADMAX IS SP, 110X15 boost, 28h, rojo</t>
  </si>
  <si>
    <t>DUKE Maza posterior BADBOY CL, boost 148x12</t>
  </si>
  <si>
    <t>DUKE Maza posterior BADBOY CL, boost 148x12, microspline, 28h, negro</t>
  </si>
  <si>
    <t>DUKE Maza posterior BADBOY CL, boost 148x12, microspline, 32h, negro</t>
  </si>
  <si>
    <t>DUKE Maza posterior BADBOY CL, boost 148x12, sram xd, 28h, negro</t>
  </si>
  <si>
    <t>DUKE Maza posterior BADBOY CL, boost 148x12, sram xd, 32h, negro</t>
  </si>
  <si>
    <t>DUKE Maza posterior BADBOY IS, 6 pernos, boost 148x12</t>
  </si>
  <si>
    <t>DUKE Maza posterior BADBOY IS, 6 pernos, boost 148x12, microspline, 32h, negro</t>
  </si>
  <si>
    <t>DUKE Maza posterior BADBOY IS, 6 pernos, boost 148x12, sram xd, 32h, negro</t>
  </si>
  <si>
    <t>DUKE Maza posterior MADMAX CL SP, boost 148x12</t>
  </si>
  <si>
    <t>DUKE Maza posterior MADMAX CL SP, boost 148x12, microspline, 24h, negro</t>
  </si>
  <si>
    <t>DUKE Maza posterior MADMAX CL SP, boost 148x12, microspline, 28h, negro</t>
  </si>
  <si>
    <t>DUKE Maza posterior MADMAX CL SP, boost 148x12, sram xd, 24h, negro</t>
  </si>
  <si>
    <t>DUKE Maza posterior MADMAX CL SP, boost 148x12, sram xd, 28h, negro</t>
  </si>
  <si>
    <t>DUKE Maza posterior MADMAX IS SP, 6 pernos, boost 148x12</t>
  </si>
  <si>
    <t>DUKE Maza posterior MADMAX IS SP, 6 pernos, boost 148x12, microspline, 28h, naranja</t>
  </si>
  <si>
    <t>DUKE Maza posterior MADMAX IS SP, 6 pernos, boost 148x12, microspline, 28h, negro</t>
  </si>
  <si>
    <t>DUKE Maza posterior MADMAX IS SP, 6 pernos, boost 148x12, microspline, 28h, rojo</t>
  </si>
  <si>
    <t>DUKE Maza posterior MADMAX IS SP, 6 pernos, boost 148x12, sram xd, 28h, naranja</t>
  </si>
  <si>
    <t>DUKE Maza posterior MADMAX IS SP, 6 pernos, boost 148x12, sram xd, 28h, negro</t>
  </si>
  <si>
    <t>DUKE Maza posterior MADMAX IS SP, 6 pernos, boost 148x12, sram xd, 28h, rojo</t>
  </si>
  <si>
    <t>DUKE Nucleo de válvula presta</t>
  </si>
  <si>
    <t>DUKE Valvulas 2 PACK</t>
  </si>
  <si>
    <t>DUKE Valvulas 2 PACK 34MM, azul</t>
  </si>
  <si>
    <t>DUKE Valvulas 2 PACK 34MM, fucsia</t>
  </si>
  <si>
    <t>DUKE Valvulas 2 PACK 34MM, naranja</t>
  </si>
  <si>
    <t>DUKE Valvulas 2 PACK 34MM, negro</t>
  </si>
  <si>
    <t>DUKE Valvulas 2 PACK 34MM, oro</t>
  </si>
  <si>
    <t>DUKE Valvulas 2 PACK 34MM, plata</t>
  </si>
  <si>
    <t>DUKE Valvulas 2 PACK 34MM, purpura</t>
  </si>
  <si>
    <t>DUKE Valvulas 2 PACK 34MM, rainbow</t>
  </si>
  <si>
    <t>DUKE Valvulas 2 PACK 34MM, rojo</t>
  </si>
  <si>
    <t>DUKE Valvulas 2 PACK 34MM, verde</t>
  </si>
  <si>
    <t>DUKE Valvulas 2 PACK 44MM, azul</t>
  </si>
  <si>
    <t>DUKE Valvulas 2 PACK 44MM, fucsia</t>
  </si>
  <si>
    <t>DUKE Valvulas 2 PACK 44MM, naranja</t>
  </si>
  <si>
    <t>DUKE Valvulas 2 PACK 44MM, negro</t>
  </si>
  <si>
    <t>DUKE Valvulas 2 PACK 44MM, oro</t>
  </si>
  <si>
    <t>DUKE Valvulas 2 PACK 44MM, plata</t>
  </si>
  <si>
    <t>DUKE Valvulas 2 PACK 44MM, purpura</t>
  </si>
  <si>
    <t>DUKE Valvulas 2 PACK 44MM, rainbow</t>
  </si>
  <si>
    <t>DUKE Valvulas 2 PACK 44MM, rojo</t>
  </si>
  <si>
    <t>DUKE Valvulas 2 PACK 44MM, verde</t>
  </si>
  <si>
    <t>DUKE Valvulas 2 PACK 54MM, azul</t>
  </si>
  <si>
    <t>DUKE Valvulas 2 PACK 54MM, fucsia</t>
  </si>
  <si>
    <t>DUKE Valvulas 2 PACK 54MM, naranja</t>
  </si>
  <si>
    <t>DUKE Valvulas 2 PACK 54MM, negro</t>
  </si>
  <si>
    <t>DUKE Valvulas 2 PACK 54MM, oro</t>
  </si>
  <si>
    <t>DUKE Valvulas 2 PACK 54MM, plata</t>
  </si>
  <si>
    <t>DUKE Valvulas 2 PACK 54MM, purpura</t>
  </si>
  <si>
    <t>DUKE Valvulas 2 PACK 54MM, rainbow</t>
  </si>
  <si>
    <t>DUKE Valvulas 2 PACK 54MM, rojo</t>
  </si>
  <si>
    <t>DUKE Valvulas 2 PACK 54MM, verde</t>
  </si>
  <si>
    <t>EffettoMariposa Caffélatex Válvulas Tubeless - 2 Piezas- 40mm</t>
  </si>
  <si>
    <t>ElGallo 1 Ring White 130 mm</t>
  </si>
  <si>
    <t>ElGallo Seatpost QR Clamp White 31.8 mm</t>
  </si>
  <si>
    <t>ElitaOne Tija de carbono 27.2mm x 400mm, negro</t>
  </si>
  <si>
    <t xml:space="preserve">Ergon GE1 Factory Slim MTB enduro </t>
  </si>
  <si>
    <t>Ethirteen Aro LG1 ENDURO aro 27.5'' 32h</t>
  </si>
  <si>
    <t>Ethirteen Aro LG1 ENDURO PLUS aro 29'' 28h</t>
  </si>
  <si>
    <t>Ethirteen Aro LG1 ENDURO, 29''</t>
  </si>
  <si>
    <t>Ethirteen Aro LG1 ENDURO, 29'' 28h</t>
  </si>
  <si>
    <t>Ethirteen Aro LG1 ENDURO, 29'' 32h</t>
  </si>
  <si>
    <t>Ethirteen Válvula Tubeless - 2 piezas 17-27 mm azul</t>
  </si>
  <si>
    <t>Ethirteen Válvula Tubeless - 2 piezas 17-27 mm rojo</t>
  </si>
  <si>
    <t>Ethirteen Válvula Tubeless - 2 piezas 27-37 mm azul</t>
  </si>
  <si>
    <t>Ethirteen Válvula Tubeless - 2 piezas 27-37 mm negro</t>
  </si>
  <si>
    <t>Ethirteen Válvula Tubeless - 2 piezas 27-37 mm rojo</t>
  </si>
  <si>
    <t>Extralite  Aros completos CarboCamber 327 / 950gr,Hyperboost 3, HG</t>
  </si>
  <si>
    <t>Extralite  Aros completos CarboCamber 327 / 950gr,Hyperboost 3, shimano MS</t>
  </si>
  <si>
    <t>Extralite  Aros completos CarboCamber 327 / 950gr,Hyperboost 3, sram XD</t>
  </si>
  <si>
    <t>Extralite  Aros completos CarboCamber 330 / 950gr,Hyperboost 3, HG</t>
  </si>
  <si>
    <t>Extralite  Aros completos CarboCamber 330 / 950gr,Hyperboost 3, shimano MS 36t</t>
  </si>
  <si>
    <t>Extralite  Aros completos CarboCamber 330 / 950gr,Hyperboost 3, shimano MS 48t</t>
  </si>
  <si>
    <t>Extralite  Aros completos CarboCamber 330+ Berd 910gr,Hyperboost 3, HG</t>
  </si>
  <si>
    <t>Extralite  Aros completos CarboCamber 330+ Berd 910gr,Hyperboost 3, shimano MS</t>
  </si>
  <si>
    <t xml:space="preserve">Extralite  Extrabolt 3.6 </t>
  </si>
  <si>
    <t>Extralite  Extrabolt 3.6 , azul</t>
  </si>
  <si>
    <t>Extralite  Extrabolt 3.6 , naranja</t>
  </si>
  <si>
    <t>Extralite  Extrabolt 3.6 , negro</t>
  </si>
  <si>
    <t>Extralite  Extrabolt 3.6 , oro</t>
  </si>
  <si>
    <t>Extralite  Extrabolt 3.6 , plata</t>
  </si>
  <si>
    <t>Extralite  Extrabolt 3.6 , purpura</t>
  </si>
  <si>
    <t>Extralite  Extrabolt 3.6 , rojo</t>
  </si>
  <si>
    <t>Extralite  Extrabolt 3.6 , verde</t>
  </si>
  <si>
    <t>Extralite  Extrabolt 3.6 , verde bosque</t>
  </si>
  <si>
    <t>Extralite Aros completos CarboCamber 330 / 950gr,Hyperboost 3, sram XD 36t</t>
  </si>
  <si>
    <t>Extralite Aros completos CarboCamber 330 / 950gr,Hyperboost 3, sram XD 48t</t>
  </si>
  <si>
    <t>Extralite Aros completos CarboCamber 330+ Berd 910gr,Hyperboost 3, sram XD</t>
  </si>
  <si>
    <t>Extralite Bielas QRC-3, negro brillante, BB Right 42</t>
  </si>
  <si>
    <t>Extralite Bielas QRC-3, negro brillante, BB30</t>
  </si>
  <si>
    <t>Extralite Bielas QRC-3, negro brillante, BB386 evo</t>
  </si>
  <si>
    <t>Extralite Bielas QRC-3, negro brillante, BB91-41B / BB86</t>
  </si>
  <si>
    <t>Extralite Bielas QRC-3, negro brillante, BB91-42</t>
  </si>
  <si>
    <t>Extralite Bielas QRC-3, negro brillante, BSA 68</t>
  </si>
  <si>
    <t>Extralite Bielas QRC-3, negro brillante, T47</t>
  </si>
  <si>
    <t>Extralite Bielas QRC-3S naranja - morado, BB Right 42</t>
  </si>
  <si>
    <t>Extralite Bielas QRC-3S naranja - morado, BB30</t>
  </si>
  <si>
    <t>Extralite Bielas QRC-3S naranja - morado, BB386 evo</t>
  </si>
  <si>
    <t>Extralite Bielas QRC-3S naranja - morado, BB91-41B / BB86</t>
  </si>
  <si>
    <t>Extralite Bielas QRC-3S naranja - morado, BB91-42</t>
  </si>
  <si>
    <t>Extralite Bielas QRC-3S naranja - morado, BSA 68</t>
  </si>
  <si>
    <t>Extralite Bielas QRC-3S naranja - morado, T47</t>
  </si>
  <si>
    <t>Extralite Bielas QRC-3S negro brillante, BB Right 42</t>
  </si>
  <si>
    <t>Extralite Bielas QRC-3S negro brillante, BB30</t>
  </si>
  <si>
    <t>Extralite Bielas QRC-3S negro brillante, BB386 evo</t>
  </si>
  <si>
    <t>Extralite Bielas QRC-3S negro brillante, BB91-41B / BB86</t>
  </si>
  <si>
    <t>Extralite Bielas QRC-3S negro brillante, BB91-42</t>
  </si>
  <si>
    <t>Extralite Bielas QRC-3S negro brillante, BSA 68</t>
  </si>
  <si>
    <t>Extralite Bielas QRC-3S negro brillante, T47</t>
  </si>
  <si>
    <t>Extralite Bielas QRC-3S oro - azul, BB Right 42</t>
  </si>
  <si>
    <t>Extralite Bielas QRC-3S oro - azul, BB30</t>
  </si>
  <si>
    <t>Extralite Bielas QRC-3S oro - azul, BB386 evo</t>
  </si>
  <si>
    <t>Extralite Bielas QRC-3S oro - azul, BB91-41B / BB86</t>
  </si>
  <si>
    <t>Extralite Bielas QRC-3S oro - azul, BB91-42</t>
  </si>
  <si>
    <t>Extralite Bielas QRC-3S oro - azul, BSA 68</t>
  </si>
  <si>
    <t>Extralite Bielas QRC-3S oro - azul, T47</t>
  </si>
  <si>
    <t>Extralite Bielas QRC-3S oro - rojo, BB Right 42</t>
  </si>
  <si>
    <t>Extralite Bielas QRC-3S oro - rojo, BB30</t>
  </si>
  <si>
    <t>Extralite Bielas QRC-3S oro - rojo, BB386 evo</t>
  </si>
  <si>
    <t>Extralite Bielas QRC-3S oro - rojo, BB91-41B / BB86</t>
  </si>
  <si>
    <t>Extralite Bielas QRC-3S oro - rojo, BB91-42</t>
  </si>
  <si>
    <t>Extralite Bielas QRC-3S oro - rojo, BSA 68</t>
  </si>
  <si>
    <t>Extralite Bielas QRC-3S oro - rojo, T47</t>
  </si>
  <si>
    <t>Extralite Bielas QRC-3S Plata antracita, BB Right 42</t>
  </si>
  <si>
    <t>Extralite Bielas QRC-3S Plata antracita, BB30</t>
  </si>
  <si>
    <t>Extralite Bielas QRC-3S Plata antracita, BB386 evo</t>
  </si>
  <si>
    <t>Extralite Bielas QRC-3S Plata antracita, BB91-41B / BB86</t>
  </si>
  <si>
    <t>Extralite Bielas QRC-3S Plata antracita, BB91-42</t>
  </si>
  <si>
    <t>Extralite Bielas QRC-3S Plata antracita, BSA 68</t>
  </si>
  <si>
    <t>Extralite Bielas QRC-3S Plata antracita, T47</t>
  </si>
  <si>
    <t>Extralite Eje delantero BlackLock, 12.5 -E Trek Emonda (122mm- paso M1.75)</t>
  </si>
  <si>
    <t>Extralite Eje delantero BlackLock, 15.3 FOX</t>
  </si>
  <si>
    <t>Extralite Eje delantero BlackLock, 15.3B FOX BOOST</t>
  </si>
  <si>
    <t>Extralite Eje delantero BlackLock, dt swiss XMM</t>
  </si>
  <si>
    <t>Extralite Eje delantero BlackLock, horquillas de carretera 12.5</t>
  </si>
  <si>
    <t>Extralite Eje delantero BlackLock, horquillas de carretera 12.5-b</t>
  </si>
  <si>
    <t>Extralite Eje delantero BlackLock, horquillas de carretera 12.5-f</t>
  </si>
  <si>
    <t>Extralite Eje delantero BlackLock, horquillas de carretera especializadas (cónicas 120mm ,paso m1.0)</t>
  </si>
  <si>
    <t>Extralite Eje delantero BlackLock, Rockshox SID ultimate 2021/modelos rs1 y qr15</t>
  </si>
  <si>
    <t>Extralite Eje delantero BlackLock. Rockxhos SID boost (ultimate 2021)</t>
  </si>
  <si>
    <t>Extralite Eje Plumilla Aliens 3, azul</t>
  </si>
  <si>
    <t>Extralite Eje Plumilla Aliens 3, morado</t>
  </si>
  <si>
    <t>Extralite Eje Plumilla Aliens 3, naranja</t>
  </si>
  <si>
    <t>Extralite Eje Plumilla Aliens 3, negro</t>
  </si>
  <si>
    <t>Extralite Eje Plumilla Aliens 3, oro</t>
  </si>
  <si>
    <t>Extralite Eje Plumilla Aliens 3, plata</t>
  </si>
  <si>
    <t>Extralite Eje Plumilla Aliens 3, rojo</t>
  </si>
  <si>
    <t>Extralite Eje Plumilla Aliens 3, verde</t>
  </si>
  <si>
    <t>Extralite Eje Plumilla Aliens 4, azul</t>
  </si>
  <si>
    <t>Extralite Eje Plumilla Aliens 4, negro</t>
  </si>
  <si>
    <t>Extralite Eje Plumilla Aliens 4, oro</t>
  </si>
  <si>
    <t>Extralite Eje Plumilla Aliens 4, plata</t>
  </si>
  <si>
    <t>Extralite Eje Plumilla Aliens 4, rojo</t>
  </si>
  <si>
    <t>Extralite Eje Plumilla Aliens 4, verde</t>
  </si>
  <si>
    <t>Extralite Eje posterior BlackLock. Giant Road</t>
  </si>
  <si>
    <t>Extralite Eje posterior BlackLock. Maxle</t>
  </si>
  <si>
    <t>Extralite Eje posterior BlackLock. Maxle boost 182</t>
  </si>
  <si>
    <t>Extralite Eje posterior BlackLock. Scott Boost</t>
  </si>
  <si>
    <t>Extralite Eje posterior BlackLock. Scott Road</t>
  </si>
  <si>
    <t>Extralite Eje posterior BlackLock. Scott Road 2020</t>
  </si>
  <si>
    <t>Extralite Eje posterior BlackLock. Scott Spark from 2022</t>
  </si>
  <si>
    <t>Extralite Eje posterior BlackLock. Shimano E-Thru</t>
  </si>
  <si>
    <t>Extralite Eje posterior BlackLock. Shimano E-Thru Boost</t>
  </si>
  <si>
    <t>Extralite Eje posterior BlackLock. Specialized X12</t>
  </si>
  <si>
    <t>Extralite Eje posterior BlackLock. Specialized X12 Boost</t>
  </si>
  <si>
    <t>Extralite Eje posterior BlackLock. Sram UDH</t>
  </si>
  <si>
    <t xml:space="preserve">Extralite Eje posterior y delantero </t>
  </si>
  <si>
    <t>Extralite Extensores de manillar Cyberends, negro</t>
  </si>
  <si>
    <t>Extralite Extensores de manillar Cyberends, plata</t>
  </si>
  <si>
    <t xml:space="preserve">Extralite Grasa Alug Super1 </t>
  </si>
  <si>
    <t>Extralite Grasa Alug Super1 , 30 gr</t>
  </si>
  <si>
    <t>Extralite Grasa Alug Super1 , 50 gr</t>
  </si>
  <si>
    <t>Extralite Grasa Alug Super1 , 5gr</t>
  </si>
  <si>
    <t>Extralite Grips Hypergrips, Blanco</t>
  </si>
  <si>
    <t>Extralite Grips Hypergrips, Rojo</t>
  </si>
  <si>
    <t>Extralite Grips Hypergrips. Negro</t>
  </si>
  <si>
    <t xml:space="preserve">Extralite HyperDisc MMX3 </t>
  </si>
  <si>
    <t>Extralite Juego de ruedas Cyberclimb E25T Berd 24h, 12x142mm, quick release 135mm, Campagnolo 11/12s</t>
  </si>
  <si>
    <t>Extralite Juego de ruedas Cyberclimb E25T Berd 24h, 12x142mm, quick release 135mm, Shimano R11/12s</t>
  </si>
  <si>
    <t>Extralite Juego de ruedas Cyberclimb E25T Berd 24h, 12x142mm, quick release 135mm, Sram XDR</t>
  </si>
  <si>
    <t>Extralite Juego de ruedas Cyberclimb E25T Berd 24h, eje pasante 12, quick release 9x100mm</t>
  </si>
  <si>
    <t>Extralite Juego de ruedas Cyberdisc 327c 24h, 12x142mm, quick release 135mm, Campagnolo 11/12s</t>
  </si>
  <si>
    <t>Extralite Juego de ruedas Cyberdisc 327c 24h, 12x142mm, quick release 135mm, Campagnolo N3W</t>
  </si>
  <si>
    <t>Extralite Juego de ruedas Cyberdisc 327c 24h, 12x142mm, quick release 135mm, Shimano R11/12s</t>
  </si>
  <si>
    <t>Extralite Juego de ruedas Cyberdisc 327c 24h, 12x142mm, quick release 135mm, Sram XDR</t>
  </si>
  <si>
    <t>Extralite Juego de ruedas Cyberdisc 327c 24h, eje pasante 12, quick release 9x100mm</t>
  </si>
  <si>
    <t>Extralite Juego de ruedas Cyberdisc 338T 24h, 12x142mm, quick release 135mm, Campagnolo 11/12s</t>
  </si>
  <si>
    <t>Extralite Juego de ruedas Cyberdisc 338T 24h, 12x142mm, quick release 135mm, Shimano R11/12s</t>
  </si>
  <si>
    <t>Extralite Juego de ruedas Cyberdisc 338T 24h, 12x142mm, quick release 135mm, Sram XDR</t>
  </si>
  <si>
    <t>Extralite Juego de ruedas Cyberdisc 339c 24h, 12x142mm, quick release 135mm, Campagnolo 11/12s</t>
  </si>
  <si>
    <t>Extralite Juego de ruedas Cyberdisc 339c 24h, 12x142mm, quick release 135mm, Campagnolo N3W</t>
  </si>
  <si>
    <t>Extralite Juego de ruedas Cyberdisc 339c 24h, 12x142mm, quick release 135mm, Shimano R11/12s</t>
  </si>
  <si>
    <t>Extralite Juego de ruedas Cyberdisc 339c 24h, 12x142mm, quick release 135mm, Sram XDR</t>
  </si>
  <si>
    <t>Extralite Juego de ruedas Cyberdisc 339c 24h, eje pasante 12, quick release 9x100mm</t>
  </si>
  <si>
    <t>Extralite Juego de ruedas Cyberdisc 339t 24h, 12x142mm, quick release 135mm, Campagnolo 11/12s</t>
  </si>
  <si>
    <t>Extralite Juego de ruedas Cyberdisc 339t 24h, 12x142mm, quick release 135mm, Campagnolo N3W</t>
  </si>
  <si>
    <t>Extralite Juego de ruedas Cyberdisc 339t 24h, 12x142mm, quick release 135mm, Shimano R11/12s</t>
  </si>
  <si>
    <t>Extralite Juego de ruedas Cyberdisc 339t 24h, 12x142mm, quick release 135mm, Sram XDR</t>
  </si>
  <si>
    <t>Extralite Juego de ruedas Cyberdisc 340c 24h, 12x142mm, quick release 135mm, Campagnolo 11/12s</t>
  </si>
  <si>
    <t>Extralite Juego de ruedas Cyberdisc 340c 24h, 12x142mm, quick release 135mm, Campagnolo N3W</t>
  </si>
  <si>
    <t>Extralite Juego de ruedas Cyberdisc 340c 24h, 12x142mm, quick release 135mm, Shimano R11/12s</t>
  </si>
  <si>
    <t>Extralite Juego de ruedas Cyberdisc 340c 24h, 12x142mm, quick release 135mm, Sram XDR</t>
  </si>
  <si>
    <t>Extralite Juego de ruedas Cyberdisc 340c 24h, eje pasante 12, quick release 9x100mm</t>
  </si>
  <si>
    <t>Extralite Juego de ruedas Cyberdisc E25T 24h, 12x142mm, quick release 135mm, Campagnolo 11/12s</t>
  </si>
  <si>
    <t>Extralite Juego de ruedas Cyberdisc E25T 24h, 12x142mm, quick release 135mm, Shimano R11/12s</t>
  </si>
  <si>
    <t>Extralite Juego de ruedas Cyberdisc E25T 24h, 12x142mm, quick release 135mm, Sram XDR</t>
  </si>
  <si>
    <t>Extralite Juego de ruedas Cyberdisc E25T 24h, eje pasante 12, quick release 9x100mm</t>
  </si>
  <si>
    <t>Extralite Juego de ruedas HyperGravel HC  24h, 12x142mm, quick release 135mm</t>
  </si>
  <si>
    <t>Extralite Juego de ruedas HyperGravel HC  24h, 12x142mm, quick release 135mm, shimano MS 36t</t>
  </si>
  <si>
    <t>Extralite Juego de ruedas HyperGravel HC  24h, 12x142mm, quick release 135mm, Shimano MS 48t</t>
  </si>
  <si>
    <t>Extralite Juego de ruedas HyperGravel HC  24h, 12x142mm, quick release 135mm, sram xd 36t, sram xd 48t, shimano 11s, sram xdr ruta 48t, shimano hg 11s 48t</t>
  </si>
  <si>
    <t>Extralite Juego de ruedas HyperGravel HC  24h, eje pasante 12, eje pasante 15, quick release 9x100mm</t>
  </si>
  <si>
    <t>Extralite Juego de ruedas HyperGravel HC Berd 24h, 12x142mm, quick release 135mm</t>
  </si>
  <si>
    <t>Extralite Juego de ruedas HyperGravel HC Berd 24h, 12x142mm, quick release 135mm, shimano MS 36t</t>
  </si>
  <si>
    <t>Extralite Juego de ruedas HyperGravel HC Berd 24h, 12x142mm, quick release 135mm, Shimano MS 48t</t>
  </si>
  <si>
    <t>Extralite Juego de ruedas HyperGravel HC Berd 24h, 12x142mm, quick release 135mm, sram xd 36t, sram xd 48t, shimano 11s, sram xdr ruta 48t, shimano hg 11s 48t</t>
  </si>
  <si>
    <t>Extralite Juego de ruedas HyperGravel HC Berd 24h, eje pasante 12, eje pasante 15, quick release 9x100mm</t>
  </si>
  <si>
    <t>Extralite Juego de ruedas HyperGravel SL 24h, 12x142mm, quick release 135mm</t>
  </si>
  <si>
    <t>Extralite Juego de ruedas HyperGravel SL 24h, 12x142mm, quick release 135mm, shimano MS 36t</t>
  </si>
  <si>
    <t>Extralite Juego de ruedas HyperGravel SL 24h, 12x142mm, quick release 135mm, Shimano MS 48t</t>
  </si>
  <si>
    <t>Extralite Juego de ruedas HyperGravel SL 24h, 12x142mm, quick release 135mm, sram xd 36t, sram xd 48t, shimano 11s, sram xdr ruta 48t, shimano hg 11s 48t</t>
  </si>
  <si>
    <t>Extralite Juego de ruedas HyperGravel SL 24h, eje pasante 12, eje pasante 15, quick release 9x100mm</t>
  </si>
  <si>
    <t>Extralite Juego de ruedas HyperGravel SL Berd 24h, 12x142mm, quick release 135mm</t>
  </si>
  <si>
    <t>Extralite Juego de ruedas HyperGravel SL Berd 24h, 12x142mm, quick release 135mm, shimano MS 36t</t>
  </si>
  <si>
    <t>Extralite Juego de ruedas HyperGravel SL Berd 24h, 12x142mm, quick release 135mm, Shimano MS 48t</t>
  </si>
  <si>
    <t>Extralite Juego de ruedas HyperGravel SL Berd 24h, 12x142mm, quick release 135mm, sram xd 36t, sram xd 48t, shimano 11s, sram xdr ruta 48t, shimano hg 11s 48t</t>
  </si>
  <si>
    <t>Extralite Juego de ruedas HyperGravel SL Berd 24h, eje pasante 12, eje pasante 15, quick release 9x100mm</t>
  </si>
  <si>
    <t>Extralite Manillar Hyperbar 31.8mm rise + -5 curvatura 6°, 600mm</t>
  </si>
  <si>
    <t>Extralite Manillar Hyperbar 31.8mm rise + -5 curvatura 6°, 650mm</t>
  </si>
  <si>
    <t>Extralite Manillar Hyperbar 31.8mm rise + -5 curvatura 6°, 700mm</t>
  </si>
  <si>
    <t>Extralite Manillar Hyperbar 31.8mm rise + -5 curvatura 6°, 750mm</t>
  </si>
  <si>
    <t>Extralite Maza delantera CyberFront HD 9x100mm, 20h (orificios 2.8mm)</t>
  </si>
  <si>
    <t>Extralite Maza delantera CyberFront HD 9x100mm, 24h (orificios 2.8mm)</t>
  </si>
  <si>
    <t>Extralite Maza delantera CyberFront SL 9x100mm, 16h (orificios 2.8mm)</t>
  </si>
  <si>
    <t>Extralite Maza delantera CyberFront SL 9x100mm, 20h (orificios 2.8mm)</t>
  </si>
  <si>
    <t>Extralite Maza delantera CyberFront SL 9x100mm, 24h (orificios 2.5mm)</t>
  </si>
  <si>
    <t>Extralite Maza delantera CyberFront SL 9x100mm, 24h (orificios 2.8mm)</t>
  </si>
  <si>
    <t>Extralite Maza delantera CyberFront SP 9x100mm, 16h</t>
  </si>
  <si>
    <t>Extralite Maza delantera CyberFront SP 9x100mm, 18h</t>
  </si>
  <si>
    <t>Extralite Maza delantera CyberFront SP 9x100mm, 20h</t>
  </si>
  <si>
    <t>Extralite Maza delantera CyberFront SP 9x100mm, 24h</t>
  </si>
  <si>
    <t>Extralite Maza delantera CyberFront SPD 3+ 24h, Eje pasante 12mm x 100</t>
  </si>
  <si>
    <t>Extralite Maza delantera CyberFront SPD 3+ 24h, Plumilla 9x100mm</t>
  </si>
  <si>
    <t>Extralite Maza delantera CyberFront SP-X 9x100mm, 16h</t>
  </si>
  <si>
    <t>Extralite Maza delantera CyberFront SP-X 9x100mm, 20h</t>
  </si>
  <si>
    <t>Extralite Maza delantera Hyper Eje pasante 142mm, 24h</t>
  </si>
  <si>
    <t>Extralite Maza delantera Hyper Eje pasante 142mm, 28h</t>
  </si>
  <si>
    <t>Extralite Maza delantera Hyper Eje pasante 142mm, 32h</t>
  </si>
  <si>
    <t>Extralite Maza delantera Hyper QR15-15mm eje pasante, 24h</t>
  </si>
  <si>
    <t>Extralite Maza delantera Hyper QR15-15mm eje pasante, 28h</t>
  </si>
  <si>
    <t>Extralite Maza delantera Hyper QR15-15mm eje pasante, 32h</t>
  </si>
  <si>
    <t>Extralite Maza delantera Hyper Smart 3+ 24h, Eje pasante 12mm</t>
  </si>
  <si>
    <t>Extralite Maza delantera Hyper Smart 3+ 24h, Eje pasante QR15</t>
  </si>
  <si>
    <t>Extralite Maza delantera Hyper Smart 3+ 24h, Plumilla 9x100mm</t>
  </si>
  <si>
    <t>Extralite Maza delantera Hyper Smart 3+ 28h, Eje pasante 12mm</t>
  </si>
  <si>
    <t>Extralite Maza delantera Hyper Smart 3+ 28h, Eje pasante QR15</t>
  </si>
  <si>
    <t>Extralite Maza delantera Hyper Smart 3+ 28h, Plumilla 9x100mm</t>
  </si>
  <si>
    <t>Extralite Maza delantera Hyper Smart3 24h, Eje pasante 12mm</t>
  </si>
  <si>
    <t>Extralite Maza delantera Hyper Smart3 24h, Eje pasante QR15</t>
  </si>
  <si>
    <t>Extralite Maza delantera Hyper Smart3 24h, Plumilla 9x100mm</t>
  </si>
  <si>
    <t>Extralite Maza delantera Hyper Smart3 28h, Eje pasante 12mm</t>
  </si>
  <si>
    <t>Extralite Maza delantera Hyper Smart3 28h, Eje pasante QR15</t>
  </si>
  <si>
    <t>Extralite Maza delantera Hyper Smart3 28h, Plumilla 9x100mm</t>
  </si>
  <si>
    <t>Extralite Maza delantera Hyperboost3 Boost 15x110, 24h, standard</t>
  </si>
  <si>
    <t>Extralite Maza delantera Hyperboost3 Boost 15x110, 24h, Torque cup</t>
  </si>
  <si>
    <t>Extralite Maza delantera Hyperboost3 Boost 15x110, 28h, Standard</t>
  </si>
  <si>
    <t>Extralite Maza delantera Hyperboost3 Boost 15x110, 28h, Torque cup</t>
  </si>
  <si>
    <t>Extralite Maza delantera HyperLefty 2 Boost, 24h</t>
  </si>
  <si>
    <t>Extralite Maza delantera HyperLefty 2 Boost, 32h</t>
  </si>
  <si>
    <t>Extralite Maza delantera HyperLefty 3 Boost, 24h</t>
  </si>
  <si>
    <t>Extralite Maza delantera HyperLefty 3 Boost, 28h</t>
  </si>
  <si>
    <t>Extralite Maza delantera HyperLefty Boost, 24h</t>
  </si>
  <si>
    <t>Extralite Maza delantera HyperLefty Boost, 28h</t>
  </si>
  <si>
    <t>Extralite Maza delantera HyperLefty Boost, 32h</t>
  </si>
  <si>
    <t>Extralite Maza delantera HyperSmart 3 9x100mm, 24h</t>
  </si>
  <si>
    <t>Extralite Maza delantera HyperSmart 3 9x100mm, 28h</t>
  </si>
  <si>
    <t>Extralite Maza delantera HyperSmart 3 Eje pasante 12mm,24h</t>
  </si>
  <si>
    <t>Extralite Maza delantera HyperSmart 3 Eje pasante 12mm,28h</t>
  </si>
  <si>
    <t>Extralite Maza delantera HyperSmart 3 Plumilla qr14, 28h</t>
  </si>
  <si>
    <t>Extralite Maza delantera HyperSmart 3 Plumilla qr15, 24h</t>
  </si>
  <si>
    <t>Extralite Maza delantera HyperSmart 3+, 24h, thru axle 12mm, qr15, 9x100mm</t>
  </si>
  <si>
    <t>Extralite Maza delantera HyperSmart 3+, 28h, thru axle 12mm, qr15, 9x100mm</t>
  </si>
  <si>
    <t>Extralite Maza delantera HyperWiz Boost, negro, 28h</t>
  </si>
  <si>
    <t>Extralite Maza delantera HyperWiz Boost, negro, 32h</t>
  </si>
  <si>
    <t>Extralite Maza delantera HyperWiz Boost, plata, 24h</t>
  </si>
  <si>
    <t>Extralite Maza delantera HyperWiz Boost, plata, 32h</t>
  </si>
  <si>
    <t>Extralite Maza delantera HyperWiz Boost, rojo, 32h</t>
  </si>
  <si>
    <t>Extralite Maza delantera HyperWiz Boost, verde, 32h</t>
  </si>
  <si>
    <t>Extralite Maza delantera y posterior Cyber SL-2 Negro, 20h, 24h, 28h, 10x135mm quick release, 12x142mm thru release, Campagnolo 11/12s</t>
  </si>
  <si>
    <t>Extralite Maza delantera y posterior Cyber SL-2 Negro, 20h, 24h, 28h, 10x135mm quick release, 12x142mm thru release, Shimano R11/s</t>
  </si>
  <si>
    <t>Extralite Maza delantera y posterior Cyber SL-2 Negro, 20h, 24h, 28h, 10x135mm quick release, 12x142mm thru release, Sram XDR (ruta)</t>
  </si>
  <si>
    <t>Extralite Maza delantera y posterior Cyber SPD 3+ 24h Negro, 10x135mm quick release, 12x142mm thru release, Campagnolo 11/12s</t>
  </si>
  <si>
    <t>Extralite Maza delantera y posterior Cyber SPD 3+ 24h Negro, 10x135mm quick release, 12x142mm thru release, Campagnolo N3W</t>
  </si>
  <si>
    <t>Extralite Maza delantera y posterior Cyber SPD 3+ 24h Negro, 10x135mm quick release, 12x142mm thru release, Shimano R11/s</t>
  </si>
  <si>
    <t>Extralite Maza delantera y posterior Cyber SPD 3+ 24h Negro, 10x135mm quick release, 12x142mm thru release, Sram XDR (ruta)</t>
  </si>
  <si>
    <t>Extralite Maza delantera y posterior Cyber SPD 3+ 24h Negro, 9x100 quick release, 12x100 thru release</t>
  </si>
  <si>
    <t>Extralite Maza delantera y posterior Cyber SPD 3+ 24h Silver, 10x135mm quick release, 12x142mm thru release, Campagnolo 11/12s</t>
  </si>
  <si>
    <t>Extralite Maza delantera y posterior Cyber SPD 3+ 24h Silver, 10x135mm quick release, 12x142mm thru release, Campagnolo N3W</t>
  </si>
  <si>
    <t>Extralite Maza delantera y posterior Cyber SPD 3+ 24h Silver, 10x135mm quick release, 12x142mm thru release, Shimano R11/s</t>
  </si>
  <si>
    <t>Extralite Maza delantera y posterior Cyber SPD 3+ 24h Silver, 10x135mm quick release, 12x142mm thru release, Sram XDR (ruta)</t>
  </si>
  <si>
    <t>Extralite Maza delantera y posterior Cyber SPD 3+ 24h Silver, 9x100 quick release, 12x100 thru release</t>
  </si>
  <si>
    <t>Extralite Maza delantera y posterior Hyper Smart3+ 24h, negro, 10x135mm quick release, 12x142mm thru release, hg 48t</t>
  </si>
  <si>
    <t>Extralite Maza delantera y posterior Hyper Smart3+ 24h, negro, 10x135mm quick release, 12x142mm thru release, Shimano HG 36t</t>
  </si>
  <si>
    <t>Extralite Maza delantera y posterior Hyper Smart3+ 24h, negro, 10x135mm quick release, 12x142mm thru release, Shimano MS 36t</t>
  </si>
  <si>
    <t>Extralite Maza delantera y posterior Hyper Smart3+ 24h, negro, 10x135mm quick release, 12x142mm thru release, Shimano MS 48t</t>
  </si>
  <si>
    <t>Extralite Maza delantera y posterior Hyper Smart3+ 24h, negro, 10x135mm quick release, 12x142mm thru release, Sram xd 36t</t>
  </si>
  <si>
    <t>Extralite Maza delantera y posterior Hyper Smart3+ 24h, negro, 10x135mm quick release, 12x142mm thru release, Sram xd 48t</t>
  </si>
  <si>
    <t>Extralite Maza delantera y posterior Hyper Smart3+ 24h, negro, 10x135mm quick release, 12x142mm thru release, Sram XDR (ruta) 48t</t>
  </si>
  <si>
    <t>Extralite Maza delantera y posterior Hyper Smart3+ 24h, negro, 9x100 quick release, 12x100 thru release, qr15mm thru axle</t>
  </si>
  <si>
    <t>Extralite Maza posterior Hyper JR+ 28h Eje pasante 12x142mm, hg 48t</t>
  </si>
  <si>
    <t>Extralite Maza posterior Hyper JR+ 28h Eje pasante 12x142mm, Shimano HG 36t</t>
  </si>
  <si>
    <t>Extralite Maza posterior Hyper JR+ 28h Eje pasante 12x142mm, Shimano MS 36t</t>
  </si>
  <si>
    <t>Extralite Maza posterior Hyper JR+ 28h Eje pasante 12x142mm, Sram xd 36t</t>
  </si>
  <si>
    <t>Extralite Maza posterior Hyper JR+ 28h Eje pasante 12x142mm, Sram xd 60t</t>
  </si>
  <si>
    <t>Extralite Maza posterior Hyper JR+ 28h Eje pasante 12x142mm, Sram XDR (ruta) 48t</t>
  </si>
  <si>
    <t>Extralite Maza posterior Hyper JR+ 28h Plumilla 10x135qr, HG 36t</t>
  </si>
  <si>
    <t>Extralite Maza posterior Hyper JR+ 28h Plumilla 10x135qr, HG 48t</t>
  </si>
  <si>
    <t>Extralite Maza posterior Hyper JR+ 28h Plumilla 10x135qr, Shimano MS 36t</t>
  </si>
  <si>
    <t>Extralite Maza posterior Hyper JR+ 28h Plumilla 10x135qr, Sram xd 36t</t>
  </si>
  <si>
    <t>Extralite Maza posterior Hyper JR+ 28h Plumilla 10x135qr, Sram xd 60t</t>
  </si>
  <si>
    <t>Extralite Maza posterior Hyper JR+ 28h Plumilla 10x135qr, Sram XDR (ruta) 48t</t>
  </si>
  <si>
    <t>Extralite Maza posterior Hyper Smart3+ 24h Eje pasante 12x142mm, HG 11S 36T</t>
  </si>
  <si>
    <t>Extralite Maza posterior Hyper Smart3+ 24h Eje pasante 12x142mm, HG 11S 48T</t>
  </si>
  <si>
    <t>Extralite Maza posterior Hyper Smart3+ 24h Eje pasante 12x142mm, Shimano MS 36T</t>
  </si>
  <si>
    <t>Extralite Maza posterior Hyper Smart3+ 24h Eje pasante 12x142mm, Shimano MS 48T</t>
  </si>
  <si>
    <t>Extralite Maza posterior Hyper Smart3+ 24h Eje pasante 12x142mm, Sram XD 36T</t>
  </si>
  <si>
    <t>Extralite Maza posterior Hyper Smart3+ 24h Eje pasante 12x142mm, Sram XD 48T</t>
  </si>
  <si>
    <t>Extralite Maza posterior Hyper Smart3+ 24h Eje pasante 12x142mm, XDR (Road) 48T</t>
  </si>
  <si>
    <t>Extralite Maza posterior Hyper Smart3+ 24h Plumilla 135mm, HG 11S 36T</t>
  </si>
  <si>
    <t>Extralite Maza posterior Hyper Smart3+ 24h Plumilla 135mm, HG 11S 48T</t>
  </si>
  <si>
    <t>Extralite Maza posterior Hyper Smart3+ 24h Plumilla 135mm, Shimano MS 36T</t>
  </si>
  <si>
    <t>Extralite Maza posterior Hyper Smart3+ 24h Plumilla 135mm, Shimano MS 48T</t>
  </si>
  <si>
    <t>Extralite Maza posterior Hyper Smart3+ 24h Plumilla 135mm, Sram XD 36T</t>
  </si>
  <si>
    <t>Extralite Maza posterior Hyper Smart3+ 24h Plumilla 135mm, Sram XD 48T</t>
  </si>
  <si>
    <t>Extralite Maza posterior Hyper Smart3+ 24h Plumilla 135mm, XDR (Road) 48T</t>
  </si>
  <si>
    <t>Extralite Maza posterior Hyper Smart3+ 28h Eje pasante 12x142mm, HG 11S 36T</t>
  </si>
  <si>
    <t>Extralite Maza posterior Hyper Smart3+ 28h Eje pasante 12x142mm, HG 11S 48T</t>
  </si>
  <si>
    <t>Extralite Maza posterior Hyper Smart3+ 28h Eje pasante 12x142mm, Shimano MS 36T</t>
  </si>
  <si>
    <t>Extralite Maza posterior Hyper Smart3+ 28h Eje pasante 12x142mm, Shimano MS 48T</t>
  </si>
  <si>
    <t>Extralite Maza posterior Hyper Smart3+ 28h Eje pasante 12x142mm, Sram XD 36T</t>
  </si>
  <si>
    <t>Extralite Maza posterior Hyper Smart3+ 28h Eje pasante 12x142mm, Sram XD 48T</t>
  </si>
  <si>
    <t>Extralite Maza posterior Hyper Smart3+ 28h Eje pasante 12x142mm, XDR (Road) 48T</t>
  </si>
  <si>
    <t>Extralite Maza posterior Hyper Smart3+ 28h Plumilla 135mm, HG 11S 36T</t>
  </si>
  <si>
    <t>Extralite Maza posterior Hyper Smart3+ 28h Plumilla 135mm, HG 11S 48T</t>
  </si>
  <si>
    <t>Extralite Maza posterior Hyper Smart3+ 28h Plumilla 135mm, Shimano MS 36T</t>
  </si>
  <si>
    <t>Extralite Maza posterior Hyper Smart3+ 28h Plumilla 135mm, Shimano MS 48T</t>
  </si>
  <si>
    <t>Extralite Maza posterior Hyper Smart3+ 28h Plumilla 135mm, Sram XD 36T</t>
  </si>
  <si>
    <t>Extralite Maza posterior Hyper Smart3+ 28h Plumilla 135mm, Sram XD 48T</t>
  </si>
  <si>
    <t>Extralite Maza posterior Hyper Smart3+ 28h Plumilla 135mm, XDR (Road) 48T</t>
  </si>
  <si>
    <t>Extralite Maza posterior Hyperboost R+  Boost 12x148 24h, Shimano MS</t>
  </si>
  <si>
    <t>Extralite Maza posterior Hyperboost R+  Boost 12x148 24h, Shimano MS, 48t</t>
  </si>
  <si>
    <t>Extralite Maza posterior Hyperboost R+  Boost 12x148 24h, Sram XD</t>
  </si>
  <si>
    <t>Extralite Maza posterior Hyperboost R+  Boost 12x148 24h, Sram XD, 36t</t>
  </si>
  <si>
    <t>Extralite Maza posterior Hyperboost3 Boost 12x148, 28h, HG 11s 36T</t>
  </si>
  <si>
    <t>Extralite Maza posterior Hyperboost3 Boost 12x148, 28h, Shimano MS 36T</t>
  </si>
  <si>
    <t>Extralite Maza posterior Hyperboost3 Boost 12x148, 28h, Shimano MS 48T</t>
  </si>
  <si>
    <t>Extralite Maza posterior Hyperboost3 Boost 12x148, 28h, Sram XD 36T</t>
  </si>
  <si>
    <t>Extralite Maza posterior Hyperboost3 Boost 12x148, 28h, Sram XD 48T</t>
  </si>
  <si>
    <t>Extralite Maza posterior HyperRear2+ 32h Eje pasante 12x142, Shimano MS 36t</t>
  </si>
  <si>
    <t>Extralite Maza posterior HyperRear2+ 32h Eje pasante 12x142, Shimano MS 48t</t>
  </si>
  <si>
    <t>Extralite Maza posterior HyperRear2+ 32h Eje pasante 12x142, Shimano mtb 11s 36t</t>
  </si>
  <si>
    <t>Extralite Maza posterior HyperRear2+ 32h Eje pasante 12x142, shimano Road 11-12s / sram 11s 48T</t>
  </si>
  <si>
    <t>Extralite Maza posterior HyperRear2+ 32h Eje pasante 12x142, Sram XD 36t</t>
  </si>
  <si>
    <t>Extralite Maza posterior HyperRear2+ 32h Eje pasante 12x142, Sram XD 48t</t>
  </si>
  <si>
    <t>Extralite Maza posterior HyperRear2+ 32h Eje pasante 12x142, Sram XD 60t</t>
  </si>
  <si>
    <t>Extralite Maza posterior HyperRear2+ 32h Eje pasante 12x142, Sram XDR (road) 48t</t>
  </si>
  <si>
    <t>Extralite Maza posterior HyperRear2+ 32h Plumilla 10x135qr, Shimano MS 36t</t>
  </si>
  <si>
    <t>Extralite Maza posterior HyperRear2+ 32h Plumilla 10x135qr, Shimano MS 48t</t>
  </si>
  <si>
    <t>Extralite Maza posterior HyperRear2+ 32h Plumilla 10x135qr, Shimano mtb 11s 36t</t>
  </si>
  <si>
    <t>Extralite Maza posterior HyperRear2+ 32h Plumilla 10x135qr, shimano Road 11-12s / sram 11s 48T</t>
  </si>
  <si>
    <t>Extralite Maza posterior HyperRear2+ 32h Plumilla 10x135qr, Sram XD 36t</t>
  </si>
  <si>
    <t>Extralite Maza posterior HyperRear2+ 32h Plumilla 10x135qr, Sram XD 48t</t>
  </si>
  <si>
    <t>Extralite Maza posterior HyperRear2+ 32h Plumilla 10x135qr, Sram XD 60t</t>
  </si>
  <si>
    <t>Extralite Maza posterior HyperRear2+ 32h Plumilla 10x135qr, Sram XDR (road) 48t</t>
  </si>
  <si>
    <t>Extralite Maza posterior HyperSmart 3 eje pasante 142mm, 24h, HG 36T</t>
  </si>
  <si>
    <t>Extralite Maza posterior HyperSmart 3 eje pasante 142mm, 24h, Shimano MS 36t</t>
  </si>
  <si>
    <t>Extralite Maza posterior HyperSmart 3 eje pasante 142mm, 24h, Shimano MS 48t</t>
  </si>
  <si>
    <t>Extralite Maza posterior HyperSmart 3 eje pasante 142mm, 24h, shimano Road 11-12s / sram 11s 48T</t>
  </si>
  <si>
    <t>Extralite Maza posterior HyperSmart 3 eje pasante 142mm, 24h, sram XD 36T</t>
  </si>
  <si>
    <t>Extralite Maza posterior HyperSmart 3 eje pasante 142mm, 24h, sram XD 48T</t>
  </si>
  <si>
    <t>Extralite Maza posterior HyperSmart 3 eje pasante 142mm, 24h, sram XDR road 48T</t>
  </si>
  <si>
    <t>Extralite Maza posterior HyperSmart 3 eje pasante 142mm, 28h, HG 36T</t>
  </si>
  <si>
    <t>Extralite Maza posterior HyperSmart 3 eje pasante 142mm, 28h, Shimano MS 36t</t>
  </si>
  <si>
    <t>Extralite Maza posterior HyperSmart 3 eje pasante 142mm, 28h, Shimano MS 48t</t>
  </si>
  <si>
    <t>Extralite Maza posterior HyperSmart 3 eje pasante 142mm, 28h, shimano Road 11-12s / sram 11s 48T</t>
  </si>
  <si>
    <t>Extralite Maza posterior HyperSmart 3 eje pasante 142mm, 28h, sram XD 36T</t>
  </si>
  <si>
    <t>Extralite Maza posterior HyperSmart 3 eje pasante 142mm, 28h, sram XD 48T</t>
  </si>
  <si>
    <t>Extralite Maza posterior HyperSmart 3 eje pasante 142mm, 28h, sram XDR road 48T</t>
  </si>
  <si>
    <t>Extralite Maza posterior HyperSmart 3 Plumilla qr135mm, 24h, HG 36T</t>
  </si>
  <si>
    <t>Extralite Maza posterior HyperSmart 3 Plumilla qr135mm, 24h, Shimano MS 36t</t>
  </si>
  <si>
    <t>Extralite Maza posterior HyperSmart 3 Plumilla qr135mm, 24h, Shimano MS 48t</t>
  </si>
  <si>
    <t>Extralite Maza posterior HyperSmart 3 Plumilla qr135mm, 24h, shimano Road 11-12s / sram 11s 48T</t>
  </si>
  <si>
    <t>Extralite Maza posterior HyperSmart 3 Plumilla qr135mm, 24h, sram XD 36T</t>
  </si>
  <si>
    <t>Extralite Maza posterior HyperSmart 3 Plumilla qr135mm, 24h, sram XD 48T</t>
  </si>
  <si>
    <t>Extralite Maza posterior HyperSmart 3 Plumilla qr135mm, 24h, sram XDR road 48T</t>
  </si>
  <si>
    <t>Extralite Maza posterior HyperSmart 3 Plumilla qr135mm, 28h, HG 36T</t>
  </si>
  <si>
    <t>Extralite Maza posterior HyperSmart 3 Plumilla qr135mm, 28h, Shimano MS 36t</t>
  </si>
  <si>
    <t>Extralite Maza posterior HyperSmart 3 Plumilla qr135mm, 28h, Shimano MS 48t</t>
  </si>
  <si>
    <t>Extralite Maza posterior HyperSmart 3 Plumilla qr135mm, 28h, shimano Road 11-12s / sram 11s 48T</t>
  </si>
  <si>
    <t>Extralite Maza posterior HyperSmart 3 Plumilla qr135mm, 28h, sram XD 36T</t>
  </si>
  <si>
    <t>Extralite Maza posterior HyperSmart 3 Plumilla qr135mm, 28h, sram XD 48T</t>
  </si>
  <si>
    <t>Extralite Maza posterior HyperSmart 3 Plumilla qr135mm, 28h, sram XDR road 48T</t>
  </si>
  <si>
    <t>Extralite Maza posterior HyperSmart 3+ eje pasante 142mm, 24h, HG 36T</t>
  </si>
  <si>
    <t>Extralite Maza posterior HyperSmart 3+ eje pasante 142mm, 24h, Shimano MS 36t</t>
  </si>
  <si>
    <t>Extralite Maza posterior HyperSmart 3+ eje pasante 142mm, 24h, Shimano MS 48t</t>
  </si>
  <si>
    <t>Extralite Maza posterior HyperSmart 3+ eje pasante 142mm, 24h, shimano Road 11-12s / sram 11s 48T</t>
  </si>
  <si>
    <t>Extralite Maza posterior HyperSmart 3+ eje pasante 142mm, 24h, sram XD 36T</t>
  </si>
  <si>
    <t>Extralite Maza posterior HyperSmart 3+ eje pasante 142mm, 24h, sram XD 48T</t>
  </si>
  <si>
    <t>Extralite Maza posterior HyperSmart 3+ eje pasante 142mm, 24h, sram XDR road 48T</t>
  </si>
  <si>
    <t>Extralite Maza posterior HyperSmart 3+ eje pasante 142mm, 28h, HG 36T</t>
  </si>
  <si>
    <t>Extralite Maza posterior HyperSmart 3+ eje pasante 142mm, 28h, Shimano MS 36t</t>
  </si>
  <si>
    <t>Extralite Maza posterior HyperSmart 3+ eje pasante 142mm, 28h, Shimano MS 48t</t>
  </si>
  <si>
    <t>Extralite Maza posterior HyperSmart 3+ eje pasante 142mm, 28h, shimano Road 11-12s / sram 11s 48T</t>
  </si>
  <si>
    <t>Extralite Maza posterior HyperSmart 3+ eje pasante 142mm, 28h, sram XD 36T</t>
  </si>
  <si>
    <t>Extralite Maza posterior HyperSmart 3+ eje pasante 142mm, 28h, sram XD 48T</t>
  </si>
  <si>
    <t>Extralite Maza posterior HyperSmart 3+ eje pasante 142mm, 28h, sram XDR road 48T</t>
  </si>
  <si>
    <t>Extralite Maza posterior HyperSmart 3+ plumilla qr135mm, 24h, HG 36T</t>
  </si>
  <si>
    <t>Extralite Maza posterior HyperSmart 3+ plumilla qr135mm, 24h, Shimano MS 36t</t>
  </si>
  <si>
    <t>Extralite Maza posterior HyperSmart 3+ plumilla qr135mm, 24h, Shimano MS 48t</t>
  </si>
  <si>
    <t>Extralite Maza posterior HyperSmart 3+ plumilla qr135mm, 24h, shimano Road 11-12s / sram 11s 48T</t>
  </si>
  <si>
    <t>Extralite Maza posterior HyperSmart 3+ plumilla qr135mm, 24h, sram XD 36T</t>
  </si>
  <si>
    <t>Extralite Maza posterior HyperSmart 3+ plumilla qr135mm, 24h, sram XD 48T</t>
  </si>
  <si>
    <t>Extralite Maza posterior HyperSmart 3+ plumilla qr135mm, 24h, sram XDR road 48T</t>
  </si>
  <si>
    <t>Extralite Maza posterior HyperSmart 3+ plumilla qr135mm, 28h, HG 36T</t>
  </si>
  <si>
    <t>Extralite Maza posterior HyperSmart 3+ plumilla qr135mm, 28h, Shimano MS 36t</t>
  </si>
  <si>
    <t>Extralite Maza posterior HyperSmart 3+ plumilla qr135mm, 28h, Shimano MS 48t</t>
  </si>
  <si>
    <t>Extralite Maza posterior HyperSmart 3+ plumilla qr135mm, 28h, shimano Road 11-12s / sram 11s 48T</t>
  </si>
  <si>
    <t>Extralite Maza posterior HyperSmart 3+ plumilla qr135mm, 28h, sram XD 36T</t>
  </si>
  <si>
    <t>Extralite Maza posterior HyperSmart 3+ plumilla qr135mm, 28h, sram XD 48T</t>
  </si>
  <si>
    <t>Extralite Maza posterior HyperSmart 3+ plumilla qr135mm, 28h, sram XDR road 48T</t>
  </si>
  <si>
    <t>Extralite Maza posterior y delantera Hyperboost3 Boost 24h, Standard 15x110mm, HG 11s 36T</t>
  </si>
  <si>
    <t>Extralite Maza posterior y delantera Hyperboost3 Boost 24h, Standard 15x110mm, Shimano MS 36T</t>
  </si>
  <si>
    <t>Extralite Maza posterior y delantera Hyperboost3 Boost 24h, Standard 15x110mm, Shimano MS 48T</t>
  </si>
  <si>
    <t>Extralite Maza posterior y delantera Hyperboost3 Boost 24h, Standard 15x110mm, Sram XD 36T</t>
  </si>
  <si>
    <t>Extralite Maza posterior y delantera Hyperboost3 Boost 24h, Standard 15x110mm, Sram XD 48T</t>
  </si>
  <si>
    <t>Extralite Maza posterior y delantera Hyperboost3 Boost 24h, Torque cup, HG 11s 36T</t>
  </si>
  <si>
    <t>Extralite Maza posterior y delantera Hyperboost3 Boost 24h, Torque cup, Shimano MS 36T</t>
  </si>
  <si>
    <t>Extralite Maza posterior y delantera Hyperboost3 Boost 24h, Torque cup, Shimano MS 48T</t>
  </si>
  <si>
    <t>Extralite Maza posterior y delantera Hyperboost3 Boost 24h, Torque cup, Sram XD 36T</t>
  </si>
  <si>
    <t>Extralite Maza posterior y delantera Hyperboost3 Boost 24h, Torque cup, Sram XD 48T</t>
  </si>
  <si>
    <t>Extralite Maza posterior y delantera Hyperboost3 Boost 28h, Standard 15x110mm, HG 11s 36T</t>
  </si>
  <si>
    <t>Extralite Maza posterior y delantera Hyperboost3 Boost 28h, Standard 15x110mm, Shimano MS 36T</t>
  </si>
  <si>
    <t>Extralite Maza posterior y delantera Hyperboost3 Boost 28h, Standard 15x110mm, Shimano MS 48T</t>
  </si>
  <si>
    <t>Extralite Maza posterior y delantera Hyperboost3 Boost 28h, Standard 15x110mm, Sram XD 36T</t>
  </si>
  <si>
    <t>Extralite Maza posterior y delantera Hyperboost3 Boost 28h, Standard 15x110mm, Sram XD 48T</t>
  </si>
  <si>
    <t>Extralite Maza posterior y delantera Hyperboost3 Boost 28h, Torque cup, HG 11s 36T</t>
  </si>
  <si>
    <t>Extralite Maza posterior y delantera Hyperboost3 Boost 28h, Torque cup, Shimano MS 36T</t>
  </si>
  <si>
    <t>Extralite Maza posterior y delantera Hyperboost3 Boost 28h, Torque cup, Shimano MS 48T</t>
  </si>
  <si>
    <t>Extralite Maza posterior y delantera Hyperboost3 Boost 28h, Torque cup, Sram XD 36T</t>
  </si>
  <si>
    <t>Extralite Maza posterior y delantera Hyperboost3 Boost 28h, Torque cup, Sram XD 48T</t>
  </si>
  <si>
    <t>Extralite Maza posterior y delantera Hyperboost3 Silver Boost 24h, Standard 15x110mm, HG 11s 36T</t>
  </si>
  <si>
    <t>Extralite Maza posterior y delantera Hyperboost3 Silver Boost 24h, Standard 15x110mm, Shimano MS 36T</t>
  </si>
  <si>
    <t>Extralite Maza posterior y delantera Hyperboost3 Silver Boost 24h, Standard 15x110mm, Shimano MS 48T</t>
  </si>
  <si>
    <t>Extralite Maza posterior y delantera Hyperboost3 Silver Boost 24h, Standard 15x110mm, Sram XD 36T</t>
  </si>
  <si>
    <t>Extralite Maza posterior y delantera Hyperboost3 Silver Boost 24h, Standard 15x110mm, Sram XD 48T</t>
  </si>
  <si>
    <t>Extralite Maza posterior y delantera Hyperboost3 Silver Boost 24h, Torque cup, HG 11s 36T</t>
  </si>
  <si>
    <t>Extralite Maza posterior y delantera Hyperboost3 Silver Boost 24h, Torque cup, Shimano MS 36T</t>
  </si>
  <si>
    <t>Extralite Maza posterior y delantera Hyperboost3 Silver Boost 24h, Torque cup, Shimano MS 48T</t>
  </si>
  <si>
    <t>Extralite Maza posterior y delantera Hyperboost3 Silver Boost 24h, Torque cup, Sram XD 36T</t>
  </si>
  <si>
    <t>Extralite Maza posterior y delantera Hyperboost3 Silver Boost 24h, Torque cup, Sram XD 48T</t>
  </si>
  <si>
    <t>Extralite Maza posterior y delantera Hyperboost3 Silver Boost 28h, Standard 15x110mm, HG 11s 36T</t>
  </si>
  <si>
    <t>Extralite Maza posterior y delantera Hyperboost3 Silver Boost 28h, Standard 15x110mm, Shimano MS 36T</t>
  </si>
  <si>
    <t>Extralite Maza posterior y delantera Hyperboost3 Silver Boost 28h, Standard 15x110mm, Shimano MS 48T</t>
  </si>
  <si>
    <t>Extralite Maza posterior y delantera Hyperboost3 Silver Boost 28h, Standard 15x110mm, Sram XD 36T</t>
  </si>
  <si>
    <t>Extralite Maza posterior y delantera Hyperboost3 Silver Boost 28h, Standard 15x110mm, Sram XD 48T</t>
  </si>
  <si>
    <t>Extralite Maza posterior y delantera Hyperboost3 Silver Boost 28h, Torque cup, HG 11s 36T</t>
  </si>
  <si>
    <t>Extralite Maza posterior y delantera Hyperboost3 Silver Boost 28h, Torque cup, Shimano MS 36T</t>
  </si>
  <si>
    <t>Extralite Maza posterior y delantera Hyperboost3 Silver Boost 28h, Torque cup, Shimano MS 48T</t>
  </si>
  <si>
    <t>Extralite Maza posterior y delantera Hyperboost3 Silver Boost 28h, Torque cup, Sram XD 36T</t>
  </si>
  <si>
    <t>Extralite Maza posterior y delantera Hyperboost3 Silver Boost 28h, Torque cup, Sram XD 48T</t>
  </si>
  <si>
    <t>Extralite Maza trasera CyberRear SL-2 QR 10x130 20h</t>
  </si>
  <si>
    <t>Extralite Maza trasera CyberRear SL-2 QR 10x130 20h, Campagnolo 11/12s</t>
  </si>
  <si>
    <t>Extralite Maza trasera CyberRear SL-2 QR 10x130 20h, Shimano R11/12s</t>
  </si>
  <si>
    <t>Extralite Maza trasera CyberRear SL-2 QR 10x130 20h, Sram xDR</t>
  </si>
  <si>
    <t>Extralite Maza trasera CyberRear SL-2 QR 10x130 24h, Campagnolo 11/12s</t>
  </si>
  <si>
    <t>Extralite Maza trasera CyberRear SL-2 QR 10x130 24h, Shimano R11/12s</t>
  </si>
  <si>
    <t>Extralite Maza trasera CyberRear SL-2 QR 10x130 24h, Sram xDR</t>
  </si>
  <si>
    <t>Extralite Maza trasera CyberRear SL-2 QR 10x130 28h</t>
  </si>
  <si>
    <t>Extralite Maza trasera CyberRear SL-2 QR 10x130 28h, Campagnolo 11/12s</t>
  </si>
  <si>
    <t>Extralite Maza trasera CyberRear SL-2 QR 10x130 28h, Shimano R11/12s</t>
  </si>
  <si>
    <t>Extralite Maza trasera CyberRear SL-2 QR 10x130 28h, Sram xDR</t>
  </si>
  <si>
    <t>Extralite Maza trasera CyberRear SP 28h QR 10x130mm, Campagnolo 11/12s</t>
  </si>
  <si>
    <t>Extralite Maza trasera CyberRear SP 28h QR 10x130mm, Shimano R11/12s</t>
  </si>
  <si>
    <t>Extralite Maza trasera CyberRear SP 28h QR 10x130mm, Sram XDR</t>
  </si>
  <si>
    <t>Extralite Maza trasera CyberRear SPD 3+ 24h 12x142mm,  Sram XDR</t>
  </si>
  <si>
    <t>Extralite Maza trasera CyberRear SPD 3+ 24h 12x142mm, Campagnolo 11/12s</t>
  </si>
  <si>
    <t>Extralite Maza trasera CyberRear SPD 3+ 24h 12x142mm, Campagnolo N3W</t>
  </si>
  <si>
    <t>Extralite Maza trasera CyberRear SPD 3+ 24h 12x142mm, Shimano R11/12s</t>
  </si>
  <si>
    <t>Extralite Maza trasera CyberRear SPD 3+ 24h quick release 135mm</t>
  </si>
  <si>
    <t>Extralite Maza trasera CyberRear SPD 3+ 24h quick release 135mm, Campagnolo 11/12s</t>
  </si>
  <si>
    <t>Extralite Maza trasera CyberRear SPD 3+ 24h quick release 135mm, Campagnolo N3W</t>
  </si>
  <si>
    <t>Extralite Maza trasera CyberRear SPD 3+ 24h quick release 135mm, Shimano R11/12s</t>
  </si>
  <si>
    <t>Extralite Maza trasera CyberRear SPD 3+ 24h quick release 135mm, Sram XDR</t>
  </si>
  <si>
    <t>Extralite Maza trasera CyberRear SPD-2 24h QR 10 x 130 mm, Campagnolo 11/12s</t>
  </si>
  <si>
    <t>Extralite Maza trasera CyberRear SPD-2 24h QR 10 x 130 mm, Shimano R11/12s</t>
  </si>
  <si>
    <t>Extralite Maza trasera CyberRear SPD-2 24h QR 10 x 130 mm, Sram XDR</t>
  </si>
  <si>
    <t>Extralite Maza trasera CyberRear SPD-T2 24h QR 10x130mm, Campagnolo 11/12s</t>
  </si>
  <si>
    <t>Extralite Maza trasera CyberRear SPD-T2 24h QR 10x130mm, Shimano R11/12s</t>
  </si>
  <si>
    <t>Extralite Maza trasera CyberRear SPD-T2 24h QR 10x130mm, Sram xDR</t>
  </si>
  <si>
    <t>Extralite Perno Extrabolt 3.6, azul</t>
  </si>
  <si>
    <t>Extralite Perno Extrabolt 3.6, morado</t>
  </si>
  <si>
    <t>Extralite Perno Extrabolt 3.6, naranja</t>
  </si>
  <si>
    <t>Extralite Perno Extrabolt 3.6, negro</t>
  </si>
  <si>
    <t>Extralite Perno Extrabolt 3.6, oro</t>
  </si>
  <si>
    <t>Extralite Perno Extrabolt 3.6, plata</t>
  </si>
  <si>
    <t>Extralite Perno Extrabolt 3.6, rojo</t>
  </si>
  <si>
    <t>Extralite Perno Extrabolt 3.6, verde</t>
  </si>
  <si>
    <t>Extralite Perno Extrabolt 3.6, verde oscuro</t>
  </si>
  <si>
    <t>Extralite plato Octaphase BCD 110, 44t (58gr)</t>
  </si>
  <si>
    <t>Extralite plato Octaphase BCD 110, 46t (62gr)</t>
  </si>
  <si>
    <t>Extralite plato Octaphase BCD 110, 48t (65gr)</t>
  </si>
  <si>
    <t>Extralite plato Octaphase BCD 110, 50t (69gr)</t>
  </si>
  <si>
    <t>Extralite plato Octaphase BCD 110, 52t (75gr)</t>
  </si>
  <si>
    <t>Extralite plato Octaphase BCD 110, 54t (79gr)</t>
  </si>
  <si>
    <t>Extralite Potencia HyperStealth 31.8mm, -6°, 100mm</t>
  </si>
  <si>
    <t>Extralite Potencia HyperStealth 31.8mm, -6°, 110mm</t>
  </si>
  <si>
    <t>Extralite Potencia HyperStealth 31.8mm, -6°, 120mm</t>
  </si>
  <si>
    <t>Extralite Potencia HyperStealth 31.8mm, -6°, 80mm</t>
  </si>
  <si>
    <t>Extralite Potencia HyperStealth 31.8mm, -6°, 90mm</t>
  </si>
  <si>
    <t>Extralite potencia Hyperstem 1.25, 31.8mm, + -6°, 100mm</t>
  </si>
  <si>
    <t>Extralite potencia Hyperstem 1.25, 31.8mm, + -6°, 110mm</t>
  </si>
  <si>
    <t>Extralite potencia Hyperstem 1.25, 31.8mm, + -6°, 120mm</t>
  </si>
  <si>
    <t>Extralite potencia Hyperstem 1.25, 31.8mm, + -6°, 80mm</t>
  </si>
  <si>
    <t>Extralite potencia Hyperstem 1.25, 31.8mm, + -6°, 90mm</t>
  </si>
  <si>
    <t xml:space="preserve">Extralite potencia Hyperstem Full Black 31.8mm, + - 12°, 40mm </t>
  </si>
  <si>
    <t xml:space="preserve">Extralite potencia Hyperstem Full Black 31.8mm, + - 18°, 40mm </t>
  </si>
  <si>
    <t>Extralite potencia Hyperstem Full Black 31.8mm, + -12°, 100mm</t>
  </si>
  <si>
    <t>Extralite potencia Hyperstem Full Black 31.8mm, + -12°, 110mm</t>
  </si>
  <si>
    <t>Extralite potencia Hyperstem Full Black 31.8mm, + -12°, 120mm</t>
  </si>
  <si>
    <t>Extralite potencia Hyperstem Full Black 31.8mm, + -12°, 130mm</t>
  </si>
  <si>
    <t>Extralite potencia Hyperstem Full Black 31.8mm, + -12°, 60mm</t>
  </si>
  <si>
    <t>Extralite potencia Hyperstem Full Black 31.8mm, + -12°, 70mm</t>
  </si>
  <si>
    <t>Extralite potencia Hyperstem Full Black 31.8mm, + -12°, 80mm</t>
  </si>
  <si>
    <t>Extralite potencia Hyperstem Full Black 31.8mm, + -12°, 90mm</t>
  </si>
  <si>
    <t>Extralite potencia Hyperstem Full Black 31.8mm, + -18°, 100mm</t>
  </si>
  <si>
    <t>Extralite potencia Hyperstem Full Black 31.8mm, + -18°, 110mm</t>
  </si>
  <si>
    <t>Extralite potencia Hyperstem Full Black 31.8mm, + -18°, 120mm</t>
  </si>
  <si>
    <t>Extralite potencia Hyperstem Full Black 31.8mm, + -18°, 130mm</t>
  </si>
  <si>
    <t>Extralite potencia Hyperstem Full Black 31.8mm, + -18°, 60mm</t>
  </si>
  <si>
    <t>Extralite potencia Hyperstem Full Black 31.8mm, + -18°, 70mm</t>
  </si>
  <si>
    <t>Extralite potencia Hyperstem Full Black 31.8mm, + -18°, 80mm</t>
  </si>
  <si>
    <t>Extralite potencia Hyperstem Full Black 31.8mm, + -18°, 90mm</t>
  </si>
  <si>
    <t>Extralite potencia Hyperstem Full Black 31.8mm, + -6°, 100mm</t>
  </si>
  <si>
    <t>Extralite potencia Hyperstem Full Black 31.8mm, + -6°, 110mm</t>
  </si>
  <si>
    <t>Extralite potencia Hyperstem Full Black 31.8mm, + -6°, 120mm</t>
  </si>
  <si>
    <t>Extralite potencia Hyperstem Full Black 31.8mm, + -6°, 130mm</t>
  </si>
  <si>
    <t xml:space="preserve">Extralite potencia Hyperstem Full Black 31.8mm, + -6°, 40mm </t>
  </si>
  <si>
    <t>Extralite potencia Hyperstem Full Black 31.8mm, + -6°, 60mm</t>
  </si>
  <si>
    <t>Extralite potencia Hyperstem Full Black 31.8mm, + -6°, 70mm</t>
  </si>
  <si>
    <t>Extralite potencia Hyperstem Full Black 31.8mm, + -6°, 80mm</t>
  </si>
  <si>
    <t>Extralite potencia Hyperstem Full Black 31.8mm, + -6°, 90mm</t>
  </si>
  <si>
    <t>Extralite potencia Hyperstem Full Black 31.8mm, 0°,  40mm</t>
  </si>
  <si>
    <t>Extralite potencia Hyperstem Full Black 31.8mm, 0°, 100mm</t>
  </si>
  <si>
    <t>Extralite potencia Hyperstem Full Black 31.8mm, 0°, 110mm</t>
  </si>
  <si>
    <t>Extralite potencia Hyperstem Full Black 31.8mm, 0°, 120mm</t>
  </si>
  <si>
    <t>Extralite potencia Hyperstem Full Black 31.8mm, 0°, 130mm</t>
  </si>
  <si>
    <t>Extralite potencia Hyperstem Full Black 31.8mm, 0°, 60mm</t>
  </si>
  <si>
    <t>Extralite potencia Hyperstem Full Black 31.8mm, 0°, 70mm</t>
  </si>
  <si>
    <t>Extralite potencia Hyperstem Full Black 31.8mm, 0°, 80mm</t>
  </si>
  <si>
    <t>Extralite potencia Hyperstem Full Black 31.8mm, 0°, 90mm</t>
  </si>
  <si>
    <t>Extralite potencia Hyperstem Silver Edición Limitada, 31.8mm, + -12°, 100mm</t>
  </si>
  <si>
    <t>Extralite potencia Hyperstem Silver Edición Limitada, 31.8mm, + -12°, 110mm</t>
  </si>
  <si>
    <t>Extralite potencia Hyperstem Silver Edición Limitada, 31.8mm, + -12°, 120mm</t>
  </si>
  <si>
    <t>Extralite potencia Hyperstem Silver Edición Limitada, 31.8mm, + -12°, 80mm</t>
  </si>
  <si>
    <t>Extralite potencia Hyperstem Silver Edición Limitada, 31.8mm, + -12°, 90mm</t>
  </si>
  <si>
    <t>Extralite potencia Hyperstem Silver Edición Limitada, 31.8mm, + -6°, 100mm</t>
  </si>
  <si>
    <t>Extralite potencia Hyperstem Silver Edición Limitada, 31.8mm, + -6°, 110mm</t>
  </si>
  <si>
    <t>Extralite potencia Hyperstem Silver Edición Limitada, 31.8mm, + -6°, 120mm</t>
  </si>
  <si>
    <t>Extralite potencia Hyperstem Silver Edición Limitada, 31.8mm, + -6°, 130mm</t>
  </si>
  <si>
    <t>Extralite potencia Hyperstem Silver Edición Limitada, 31.8mm, + -6°, 70mm</t>
  </si>
  <si>
    <t>Extralite potencia Hyperstem Silver Edición Limitada, 31.8mm, + -6°, 80mm</t>
  </si>
  <si>
    <t>Extralite potencia Hyperstem Silver Edición Limitada, 31.8mm, + -6°, 90mm</t>
  </si>
  <si>
    <t>Extralite potencia Ultrastem / Roadstem OC +4°, 31.8mm, 100mm</t>
  </si>
  <si>
    <t>Extralite potencia Ultrastem / Roadstem OC +4°, 31.8mm, 110mm</t>
  </si>
  <si>
    <t>Extralite potencia Ultrastem / Roadstem OC +4°, 31.8mm, 120mm</t>
  </si>
  <si>
    <t>Extralite potencia Ultrastem / Roadstem OC +4°, 31.8mm, 90mm</t>
  </si>
  <si>
    <t>Extralite Roldanas Ultrapulley "kit", 11-11T (9.8g/set)</t>
  </si>
  <si>
    <t>Extralite Roldanas Ultrapulley "kit", 12-12PH (12.2g/set)</t>
  </si>
  <si>
    <t>Extralite Roldanas Ultrapulley "kit", 12-12T (12.4g/set)</t>
  </si>
  <si>
    <t>Extralite Roldanas Ultrapulley "kit", 12-14PH (14.0g/set)</t>
  </si>
  <si>
    <t>Extralite Roldanas Ultrapulley "kit", 13-13T (14.6g/set)</t>
  </si>
  <si>
    <t>Extralite Roldanas Ultrapulley "kit", 14-16PH (16.2g/set)</t>
  </si>
  <si>
    <t>Extralite Roldanas Ultrapulley "kit", 14-16PHB (16.2g/set)</t>
  </si>
  <si>
    <t>Extralite Roldanas Ultrapulley "single", Polea Ultra 13T (7.3 g)</t>
  </si>
  <si>
    <t>Extralite Roldanas Ultrapulley "single", Polea UltraPulley 11T (4.9 g)</t>
  </si>
  <si>
    <t>Extralite Roldanas Ultrapulley "single", Polea UltraPulley 12T (6.2 g)</t>
  </si>
  <si>
    <t>Extralite Roldanas Ultrapulley "single", UltraPulley 12PH (6.6 g)</t>
  </si>
  <si>
    <t>Extralite Roldanas Ultrapulley "single", UltraPulley 14PH (7.4 g)</t>
  </si>
  <si>
    <t>Extralite Roldanas Ultrapulley "single", UltraPulley 14PHB (7.4 g)</t>
  </si>
  <si>
    <t>Extralite Roldanas Ultrapulley "single", UltraPulley 16PH (8.8 g)</t>
  </si>
  <si>
    <t>Extralite Roldanas Ultrapulley "single", UltraPulley 16PHB (8.8 g)</t>
  </si>
  <si>
    <t>Extralite Soporte de ciclocomputador CH-02, Garmin</t>
  </si>
  <si>
    <t>Extralite Soporte de ciclocomputador CH-02, Wahoo</t>
  </si>
  <si>
    <t>Extralite Tapa de Hypergrips, MTB</t>
  </si>
  <si>
    <t>Extralite Tapa de Hypergrips, RUTA</t>
  </si>
  <si>
    <t>Extralite Tornillos para platos Extrabolt 1S, azul</t>
  </si>
  <si>
    <t>Extralite Tornillos para platos Extrabolt 1S, morado</t>
  </si>
  <si>
    <t>Extralite Tornillos para platos Extrabolt 1S, naranja</t>
  </si>
  <si>
    <t>Extralite Tornillos para platos Extrabolt 1S, negro</t>
  </si>
  <si>
    <t>Extralite Tornillos para platos Extrabolt 1S, oro</t>
  </si>
  <si>
    <t>Extralite Tornillos para platos Extrabolt 1S, plata</t>
  </si>
  <si>
    <t>Extralite Tornillos para platos Extrabolt 1S, rojo</t>
  </si>
  <si>
    <t>Extralite Tornillos para platos Extrabolt 1S, turquesa</t>
  </si>
  <si>
    <t>Extralite Tornillos para platos Extrabolt 1S, verde</t>
  </si>
  <si>
    <t>Fidlock bandolera HERMETIC, Azul transparente - D-61224A-F0000(BTT)</t>
  </si>
  <si>
    <t>Fidlock bandolera HERMETIC, Gleis D - D-61224A-F0010(BBB)</t>
  </si>
  <si>
    <t>Fidlock bandolera HERMETIC, Negro - D-61224A-F0000(BBB)</t>
  </si>
  <si>
    <t xml:space="preserve">Fidlock Base magnética de manillar VACUUM flex 2.0 para celulares, Negro - VB-0000C(BLK)  </t>
  </si>
  <si>
    <t>Fidlock Base magnética de pared VACCUM para celulares, Blanco - VB-0000I(WHT)</t>
  </si>
  <si>
    <t>Fidlock Base magnética de pared VACCUM para celulares, Negro - VB-0000I(BLK)</t>
  </si>
  <si>
    <t>Fidlock Bolsa de hidratación HERMETIC 1.5L autosellante, Negro - D-11155K-F1501(BMM)</t>
  </si>
  <si>
    <t>Fidlock Bolsa de hidratación HERMETIC 2.5L autosellante, Negro - D-11155K-F2501(BMM)</t>
  </si>
  <si>
    <t>Fidlock Bolsa HERMETIC maxi, Azul transparente - D-11150A-F0000(ATT)</t>
  </si>
  <si>
    <t>Fidlock Bolsa HERMETIC maxi, Negro transparente - D-11150A-F0000(TTB)</t>
  </si>
  <si>
    <t>Fidlock Bolsa HERMETIC maxi, Orange transparente - D-11150A-F0000(OTT)</t>
  </si>
  <si>
    <t>Fidlock Bolsa HERMETIC maxi, Petróleo transparente - D-11150A-F0000(PTTT)</t>
  </si>
  <si>
    <t>Fidlock Bolsa HERMETIC maxi, Transparente - D-11150A-F0000(TTT)</t>
  </si>
  <si>
    <t>Fidlock Bolsa HERMETIC medi, Azul transparente - D-11111A-F0000(ATT)</t>
  </si>
  <si>
    <t>Fidlock Bolsa HERMETIC medi, Naranja transparente - D-11111A-F0000(OTT)</t>
  </si>
  <si>
    <t>Fidlock Bolsa HERMETIC medi, Negro transparente - D-11111A-F0000(TTB)</t>
  </si>
  <si>
    <t>Fidlock Bolsa HERMETIC medi, Petróleo transparente - D-11111A-F0000(PTTT)</t>
  </si>
  <si>
    <t>Fidlock Bolsa HERMETIC medi, Transparente - D-11111A-F0000(TTT)</t>
  </si>
  <si>
    <t>Fidlock Bolsa HERMETIC mega, Negro transparente - D-11224B-F0000(TTB)</t>
  </si>
  <si>
    <t>Fidlock Bolsa HERMETIC mega, Tela gris - D-14224B-F0000(TGG)</t>
  </si>
  <si>
    <t>Fidlock Bolsa HERMETIC mega, Tela negra - D-14224B-F0000(TBB)</t>
  </si>
  <si>
    <t>Fidlock Bolsa HERMETIC multi, Amarillo transparente - D-11224A-F0000(TTY)</t>
  </si>
  <si>
    <t>Fidlock Bolsa HERMETIC multi, Azul - D-11224A-F0000(TAA)</t>
  </si>
  <si>
    <t>Fidlock Bolsa HERMETIC multi, Blanco - D-11224A-F0000(TWW)</t>
  </si>
  <si>
    <t>Fidlock Bolsa HERMETIC multi, Blanco transparente - D-11224A-F0000(TTW)</t>
  </si>
  <si>
    <t>Fidlock Bolsa HERMETIC multi, Negro transparente - D-11224A-F0000(TTB)</t>
  </si>
  <si>
    <t>Fidlock Bolsa HERMETIC multi, Petróleo transparente - D-11224A-F0000(TTPT)</t>
  </si>
  <si>
    <t>Fidlock Bolsa HERMETIC multi, Tela gris - D-14224A-F0000(TGG)</t>
  </si>
  <si>
    <t>Fidlock Bolsa HERMETIC multi, Tela negra - D-14224A-F0000(TBB)</t>
  </si>
  <si>
    <t>Fidlock Bolsa HERMETIC multi, Transparente - D-11224A-F0000(TTT)</t>
  </si>
  <si>
    <t>Fidlock Bolso essential TWIST + Base magnética para bicicleta, L, Azul - 09662(BLU)</t>
  </si>
  <si>
    <t>Fidlock Bolso essential TWIST + Base magnética para bicicleta, L, Negro - 09662(BLK)</t>
  </si>
  <si>
    <t>Fidlock Bolso essential TWIST + Base magnética para bicicleta, L, Verde - 09662(GRE)</t>
  </si>
  <si>
    <t>Fidlock Bolso essential TWIST + Base magnética para bicicleta, M, Azul - 09661(BLU)</t>
  </si>
  <si>
    <t>Fidlock Bolso essential TWIST + Base magnética para bicicleta, M, Negro - 09661(BLK)</t>
  </si>
  <si>
    <t>Fidlock Bolso essential TWIST + Base magnética para bicicleta, M, Verde - 09661(GRE)</t>
  </si>
  <si>
    <t>Fidlock Botella de acero de repuesto TWIST 400</t>
  </si>
  <si>
    <t>Fidlock Botella de acero de repuesto TWIST 400, Amarillo - 10101-P01002(YLW)</t>
  </si>
  <si>
    <t xml:space="preserve">Fidlock Botella de acero de repuesto TWIST 400, Plata - 10101-P01002(RAW) </t>
  </si>
  <si>
    <t>Fidlock Botella de acero de repuesto TWIST 400, Verde - 10101-P01002(GRE)</t>
  </si>
  <si>
    <t>Fidlock Botella de acero de repuesto TWIST 500</t>
  </si>
  <si>
    <t>Fidlock Botella de acero de repuesto TWIST 500, Negro - 10108-P01002(BLK)</t>
  </si>
  <si>
    <t>Fidlock Botella de acero de repuesto TWIST 500, Plata - 10108-P01002(RAW)</t>
  </si>
  <si>
    <t>Fidlock Botella de acero de repuesto TWIST 500, Verde - 10108-P01002(GRE)</t>
  </si>
  <si>
    <t>Fidlock Botella de acero de repuesto TWIST 600</t>
  </si>
  <si>
    <t>Fidlock Botella de acero de repuesto TWIST 600, Negro - 10102-P01002(BLK)</t>
  </si>
  <si>
    <t>Fidlock Botella de acero de repuesto TWIST 600, Plata - 10102-P01002(RAW)</t>
  </si>
  <si>
    <t>Fidlock Botella de acero de repuesto TWIST 600, Verde - 10102-P01002(GRE)</t>
  </si>
  <si>
    <t>Fidlock Botella de acero TWIST 400 + Base magnética para bicicleta</t>
  </si>
  <si>
    <t>Fidlock Botella de acero TWIST 400 + Base magnética para bicicleta, Amarillo - 10105-P01002(YLW)</t>
  </si>
  <si>
    <t>Fidlock Botella de acero TWIST 400 + Base magnética para bicicleta, Plata - 10105-P01002(RAW)</t>
  </si>
  <si>
    <t>Fidlock Botella de acero TWIST 400 + Base magnética para bicicleta, Verde - 10105-P01002(GRE)</t>
  </si>
  <si>
    <t>Fidlock Botella de acero TWIST 500 + Base magnética para bicicleta</t>
  </si>
  <si>
    <t>Fidlock Botella de acero TWIST 500 + Base magnética para bicicleta, Negro - 10110-P01002(BLK)</t>
  </si>
  <si>
    <t>Fidlock Botella de acero TWIST 500 + Base magnética para bicicleta, Plata - 10110-P01002(RAW)</t>
  </si>
  <si>
    <t>Fidlock Botella de acero TWIST 500 + Base magnética para bicicleta, Verde - 10110-P01002(GRE)</t>
  </si>
  <si>
    <t>Fidlock Botella de acero TWIST 600 + Base magnética para bicicleta</t>
  </si>
  <si>
    <t>Fidlock Botella de acero TWIST 600 + Base magnética para bicicleta, Negro - 10107-P01002(BLK)</t>
  </si>
  <si>
    <t>Fidlock Botella de acero TWIST 600 + Base magnética para bicicleta, Plata - 10107-P01002(RAW)</t>
  </si>
  <si>
    <t>Fidlock Botella de acero TWIST 600 + Base magnética para bicicleta, Verde - 10107-P01002(GRE)</t>
  </si>
  <si>
    <t>Fidlock Botella de repuesto TWIST 450, Negro - 09612(BLK)</t>
  </si>
  <si>
    <t>Fidlock Botella de repuesto TWIST 450, Negro transparente - 09612(TBL)</t>
  </si>
  <si>
    <t>Fidlock Botella de repuesto TWIST 590, Amarillo - 09637(YLW)</t>
  </si>
  <si>
    <t>Fidlock Botella de repuesto TWIST 590, Blanco transparente - 09637(CLR)</t>
  </si>
  <si>
    <t>Fidlock Botella de repuesto TWIST 590, Negro - 09637(BLK)</t>
  </si>
  <si>
    <t>Fidlock Botella de repuesto TWIST 590, Negro transparente - 09637(TBL)</t>
  </si>
  <si>
    <t>Fidlock Botella de repuesto TWIST 600, Blanco transparente - 09667(CLR)</t>
  </si>
  <si>
    <t>Fidlock Botella de repuesto TWIST 600, Negro - 09667(BLK)</t>
  </si>
  <si>
    <t>Fidlock Botella de repuesto TWIST 600, Negro transparente - 09667(TBL)</t>
  </si>
  <si>
    <t>Fidlock Botella de repuesto TWIST 700 life, Azul oscuro transparente - 09663(CDB)</t>
  </si>
  <si>
    <t>Fidlock Botella de repuesto TWIST 700 life, Negro claro - 09663(CBL)</t>
  </si>
  <si>
    <t>Fidlock Botella de repuesto TWIST 700 life, Rojo oscuro transparente - 09663(CDR)</t>
  </si>
  <si>
    <t>Fidlock Botella de repuesto TWIST 700 life, Verde transparente - 09663(CGR)</t>
  </si>
  <si>
    <t>Fidlock Botella de repuesto TWIST 750 compact, Blanco transparente - 09674(CLR)</t>
  </si>
  <si>
    <t>Fidlock Botella de repuesto TWIST 750 compact, Negro - 09674(BLK)</t>
  </si>
  <si>
    <t>Fidlock Botella de repuesto TWIST 750 compact, Negro transparente - 09674(TBL)</t>
  </si>
  <si>
    <t>Fidlock Botella de repuesto TWIST 800, Blanco transparente - 09651(CLR)</t>
  </si>
  <si>
    <t>Fidlock Botella de repuesto TWIST 800, Negro - 09651(BLK)</t>
  </si>
  <si>
    <t>Fidlock Botella de repuesto TWIST 800, Negro transparente - 09651(TBL)</t>
  </si>
  <si>
    <t>Fidlock Botella de repuesto TWIST KEEGO 600, Azul - 09664(BLU)</t>
  </si>
  <si>
    <t>Fidlock Botella de repuesto TWIST KEEGO 600, Blanco - 09664(WHT)</t>
  </si>
  <si>
    <t>Fidlock Botella de repuesto TWIST KEEGO 600, Negro - 09664(BLK)</t>
  </si>
  <si>
    <t>Fidlock Botella FIDGUARD 600 antibacterial, Negro transparente+Gris - AB-09701(TBL+GY)</t>
  </si>
  <si>
    <t>Fidlock Botella FIDGUARD 600 antibacterial, Negro transparente+Lila - AB-09701(TBL+LI)</t>
  </si>
  <si>
    <t>Fidlock Botella FIDGUARD 600 antibacterial, Negro transparente+Rojo coral - AB-09701(TBL+CO)</t>
  </si>
  <si>
    <t>Fidlock Botella FIDGUARD 600 antibacterial, Negro transparente+Verde - AB-09701(TBL+GR)</t>
  </si>
  <si>
    <t>Fidlock Botella FIDGUARD 600 antibacterial, Negro+Gris - AB-09701(BLK+GY)</t>
  </si>
  <si>
    <t>Fidlock Botella FIDGUARD 750 antibacterial, Negro transparente+Gris - AB-09702(TBL+GY)</t>
  </si>
  <si>
    <t>Fidlock Botella FIDGUARD 750 antibacterial, Negro transparente+Lila - AB-09702(TBL+LI)</t>
  </si>
  <si>
    <t>Fidlock Botella FIDGUARD 750 antibacterial, Negro transparente+Rojo coral - AB-09702(TBL+CO)</t>
  </si>
  <si>
    <t>Fidlock Botella FIDGUARD 750 antibacterial, Negro transparente+Verde - AB-09702(TBL+GR)</t>
  </si>
  <si>
    <t>Fidlock Botella FIDGUARD 750 antibacterial, Negro+Gris - AB-09702(BLK+GY)</t>
  </si>
  <si>
    <t>Fidlock Botella sola de acero TWIST 400</t>
  </si>
  <si>
    <t>Fidlock Botella sola de acero TWIST 400, Amarillo - 10104-P01002(YLW)</t>
  </si>
  <si>
    <t>Fidlock Botella sola de acero TWIST 400, Plata - 10104-P01002(RAW)</t>
  </si>
  <si>
    <t>Fidlock Botella sola de acero TWIST 400, Verde - 10104-P01002(GRE)</t>
  </si>
  <si>
    <t>Fidlock Botella sola de acero TWIST 500</t>
  </si>
  <si>
    <t>Fidlock Botella sola de acero TWIST 500, Negro - 10109-P01002(BLK)</t>
  </si>
  <si>
    <t>Fidlock Botella sola de acero TWIST 500, Plata - 10109-P01002(RAW)</t>
  </si>
  <si>
    <t>Fidlock Botella sola de acero TWIST 500, Verde - 10109-P01002(GRE)</t>
  </si>
  <si>
    <t>Fidlock Botella sola de acero TWIST 600</t>
  </si>
  <si>
    <t>Fidlock Botella sola de acero TWIST 600,  - 10105-P01002(YLW)</t>
  </si>
  <si>
    <t>Fidlock Botella sola de acero TWIST 600, Negro - 10105-P01002(BLK)</t>
  </si>
  <si>
    <t>Fidlock Botella sola de acero TWIST 600, Plata - 10105-P01002(RAW)</t>
  </si>
  <si>
    <t>Fidlock Botella sola de acero TWIST 600, Verde - 10105-P01002(GRE)</t>
  </si>
  <si>
    <t>Fidlock Botella sola TWIST 450, Negro - 09633(BLK)</t>
  </si>
  <si>
    <t>Fidlock Botella sola TWIST 450, Negro transparente - 09633(TBL)</t>
  </si>
  <si>
    <t>Fidlock Botella sola TWIST 590, Azul - 09642 (MBL)</t>
  </si>
  <si>
    <t>Fidlock Botella sola TWIST 590, Negro - 09642(BLK)</t>
  </si>
  <si>
    <t>Fidlock Botella sola TWIST 590, Negro transparente - 09642(TBL)</t>
  </si>
  <si>
    <t>Fidlock Botella sola TWIST 600, Negro - 09668(BLK)</t>
  </si>
  <si>
    <t>Fidlock Botella sola TWIST 600, Negro transparente - 09668(TBL)</t>
  </si>
  <si>
    <t>Fidlock Botella sola TWIST 700 life, Azul oscuro transparente - 09677(CDB)</t>
  </si>
  <si>
    <t>Fidlock Botella sola TWIST 700 life, Negro claro - 09677(CBL)</t>
  </si>
  <si>
    <t>Fidlock Botella sola TWIST 700 life, Rojo oscuro transparente - 09677(CDR)</t>
  </si>
  <si>
    <t>Fidlock Botella sola TWIST 700 life, Verde transparente - 09677(CGR)</t>
  </si>
  <si>
    <t>Fidlock Botella sola TWIST 750 compact, Blanco transparente - 09675(CLR)</t>
  </si>
  <si>
    <t>Fidlock Botella sola TWIST 750 compact, Negro - 09675(BLK)</t>
  </si>
  <si>
    <t>Fidlock Botella sola TWIST 750 compact, Negro transparente - 09675(TBL)</t>
  </si>
  <si>
    <t>Fidlock Botella sola TWIST 800,  - 09609(CLR)CEE</t>
  </si>
  <si>
    <t>Fidlock Botella sola TWIST 800,  - 09609(TBL)CEE</t>
  </si>
  <si>
    <t>Fidlock Botella sola TWIST 800, Blanco transparente - 09652(CLR)</t>
  </si>
  <si>
    <t>Fidlock Botella sola TWIST 800, Negro - 09652(BLK)</t>
  </si>
  <si>
    <t>Fidlock Botella sola TWIST 800, Negro transparente - 09652(TBL)</t>
  </si>
  <si>
    <t>Fidlock Botella sola TWIST KEEGO 600, Azul - 09665(BLU)</t>
  </si>
  <si>
    <t>Fidlock Botella sola TWIST KEEGO 600, Blanco - 09665(WHT)</t>
  </si>
  <si>
    <t>Fidlock Botella sola TWIST KEEGO 600, Negro - 09665(BLK)</t>
  </si>
  <si>
    <t>Fidlock Botella TWIST 450 + Base magnética para bicicleta, Negro - 09611(BLK)</t>
  </si>
  <si>
    <t>Fidlock Botella TWIST 450 + Base magnética para bicicleta, Negro transparante - 09611(TBL)</t>
  </si>
  <si>
    <t>Fidlock Botella TWIST 590 + Base magnética para bicicleta,  - 09609(CLR)CEE</t>
  </si>
  <si>
    <t>Fidlock Botella TWIST 590 + Base magnética para bicicleta,  - 09609(TBL)CEE</t>
  </si>
  <si>
    <t>Fidlock Botella TWIST 590 + Base magnética para bicicleta,  - 09636(YLW)</t>
  </si>
  <si>
    <t>Fidlock Botella TWIST 590 + Base magnética para bicicleta, Blanco transparante - 09636(CLR)</t>
  </si>
  <si>
    <t>Fidlock Botella TWIST 590 + Base magnética para bicicleta, Negro - 09636(BLK)</t>
  </si>
  <si>
    <t>Fidlock Botella TWIST 590 + Base magnética para bicicleta, Negro transparante - 09636(TBL)</t>
  </si>
  <si>
    <t>Fidlock Botella TWIST 600 + Base magnética para bicicleta,  - 09609(CLR)CEE</t>
  </si>
  <si>
    <t>Fidlock Botella TWIST 600 + Base magnética para bicicleta,  - 09609(TBL)CEE</t>
  </si>
  <si>
    <t>Fidlock Botella TWIST 600 + Base magnética para bicicleta,  - 09609(YLW)CEE</t>
  </si>
  <si>
    <t>Fidlock Botella TWIST 600 + Base magnética para bicicleta, Blanco transparante - 09669(CLR)</t>
  </si>
  <si>
    <t>Fidlock Botella TWIST 600 + Base magnética para bicicleta, Negro - 09669(BLK)</t>
  </si>
  <si>
    <t>Fidlock Botella TWIST 600 + Base magnética para bicicleta, Negro transparante - 09669(TBL)</t>
  </si>
  <si>
    <t>Fidlock Botella TWIST 700 life + Base magnética para bicicleta, Azul oscuro transparente - 09678(CDB)</t>
  </si>
  <si>
    <t>Fidlock Botella TWIST 700 life + Base magnética para bicicleta, Negro claro - 09678(CBL)</t>
  </si>
  <si>
    <t>Fidlock Botella TWIST 700 life + Base magnética para bicicleta, Rojo oscuro transparente - 09678(CDR)</t>
  </si>
  <si>
    <t>Fidlock Botella TWIST 700 life + Base magnética para bicicleta, Verde transparente - 09678(CGR)</t>
  </si>
  <si>
    <t>Fidlock Botella TWIST 750 compact + Base magnética para bicicleta, Blanco transparente - 09676(CLR)</t>
  </si>
  <si>
    <t>Fidlock Botella TWIST 750 compact + Base magnética para bicicleta, Negro - 09676(BLK)</t>
  </si>
  <si>
    <t>Fidlock Botella TWIST 750 compact + Base magnética para bicicleta, Negro transparente - 09676(TBL)</t>
  </si>
  <si>
    <t>Fidlock Botella TWIST 800 + Base magnética para bicicleta,  - 09609(CLR)CEE</t>
  </si>
  <si>
    <t>Fidlock Botella TWIST 800 + Base magnética para bicicleta,  - 09609(TBL)CEE</t>
  </si>
  <si>
    <t>Fidlock Botella TWIST 800 + Base magnética para bicicleta, Blanco transparente - 09653(CLR)</t>
  </si>
  <si>
    <t>Fidlock Botella TWIST 800 + Base magnética para bicicleta, Negro - 09653(BLK)</t>
  </si>
  <si>
    <t>Fidlock Botella TWIST 800 + Base magnética para bicicleta, Negro transparente - 09653(TBL)</t>
  </si>
  <si>
    <t>Fidlock Botella TWIST KEEGO 600 + Base magnética para bicicleta, Azul - 09666(BLU)</t>
  </si>
  <si>
    <t>Fidlock Botella TWIST KEEGO 600 + Base magnética para bicicleta, Blanco - 09666(WHT)</t>
  </si>
  <si>
    <t>Fidlock Botella TWIST KEEGO 600 + Base magnética para bicicleta, Negro - 09666(BLK)</t>
  </si>
  <si>
    <t>Fidlock Case hermético UNI VACCUM, L, Negro - VC-01200(BLK)</t>
  </si>
  <si>
    <t>Fidlock Case hermético UNI VACCUM, M, Negro - VC-01100(BLK)</t>
  </si>
  <si>
    <t>Fidlock Case VACCUM para iPhone 11 Pro Max, Negro - VC-00300(BLK)</t>
  </si>
  <si>
    <t>Fidlock Case VACCUM para iPhone 11 Pro, Negro - VC-00200(BLK)</t>
  </si>
  <si>
    <t>Fidlock Case VACCUM para iPhone 12 / iPhone 12 Pro, Negro - VC-00900(BLK)</t>
  </si>
  <si>
    <t>Fidlock Case VACCUM para iPhone 12 mini, Negro - VC-00800(BLK)</t>
  </si>
  <si>
    <t>Fidlock Case VACCUM para iPhone 12 Pro Max, Negro - VC-01000(BLK)</t>
  </si>
  <si>
    <t>Fidlock Case VACCUM para iPhone 13 mini, Negro - VC-02000(BLK)</t>
  </si>
  <si>
    <t>Fidlock Case VACCUM para iPhone 13 Pro Max, Negro - VC-01900(BLK)</t>
  </si>
  <si>
    <t>Fidlock Case VACCUM para iPhone 13 Pro, Negro - VC-01800(BLK)</t>
  </si>
  <si>
    <t>Fidlock Case VACCUM para iPhone 13, Negro - VC-01700(BLK)</t>
  </si>
  <si>
    <t>Fidlock Case VACCUM para iPhone 14 Plus, Negro - VC-02600(BLK)</t>
  </si>
  <si>
    <t>Fidlock Case VACCUM para iPhone 14 Pro Max, Negro - VC-02700(BLK)</t>
  </si>
  <si>
    <t>Fidlock Case VACCUM para iPhone 14 Pro, Negro - VC-02500(BLK)</t>
  </si>
  <si>
    <t>Fidlock Case VACCUM para iPhone 14, Negro - VC-02400(BLK)</t>
  </si>
  <si>
    <t>Fidlock Case VACCUM para iPhone 15 Plus, Negro - VC-03200(BLK)</t>
  </si>
  <si>
    <t>Fidlock Case VACCUM para iPhone 15 Pro Max, Negro - VC-03300(BLK)</t>
  </si>
  <si>
    <t>Fidlock Case VACCUM para iPhone 15 Pro, Negro - VC-03100(BLK)</t>
  </si>
  <si>
    <t>Fidlock Case VACCUM para iPhone 15, Negro - VC-03000(BLK)</t>
  </si>
  <si>
    <t>Fidlock Case VACCUM para iPhone SE / iPhone 8, Negro - VC-00400(BLK)</t>
  </si>
  <si>
    <t>Fidlock Case VACCUM para Samsung Galaxy S20 Ultra, Negro - VC-00600(BLK)</t>
  </si>
  <si>
    <t>Fidlock Case VACCUM para Samsung Galaxy S20, Negro - VC-00500(BLK)</t>
  </si>
  <si>
    <t>Fidlock Case VACCUM para Samsung Galaxy S20+, Negro - VC-00700(BLK)</t>
  </si>
  <si>
    <t>Fidlock Case VACCUM para Samsung Galaxy S21 Plus, Negro - VC-01400(BLK)</t>
  </si>
  <si>
    <t>Fidlock Case VACCUM para Samsung Galaxy S21 Ultra, Negro - VC-01500(BLK)</t>
  </si>
  <si>
    <t>Fidlock Case VACCUM para Samsung Galaxy S21, Negro - VC-01300(BLK)</t>
  </si>
  <si>
    <t>Fidlock Case VACCUM para Samsung Galaxy S22 Plus, Negro - VC-02200(BLK)</t>
  </si>
  <si>
    <t>Fidlock Case VACCUM para Samsung Galaxy S22 Ultra, Negro - VC-02300(BLK)</t>
  </si>
  <si>
    <t>Fidlock Case VACCUM para Samsung Galaxy S22, Negro - VC-02100(BLK)</t>
  </si>
  <si>
    <t>Fidlock Case VACCUM para Samsung Galaxy S23 Plus, Negro - VC-029001(BLK)</t>
  </si>
  <si>
    <t>Fidlock Case VACCUM para Samsung Galaxy S23, Negro - VC-02800(BLK)</t>
  </si>
  <si>
    <t>Fidlock Cobertor de válvula, Fucsia - ME09630(MAG)</t>
  </si>
  <si>
    <t>Fidlock Cobertor de válvula, Negro transparente - ME09630(BLK)</t>
  </si>
  <si>
    <t>Fidlock Cobertor de válvula, Petróleo - ME09630(PET)</t>
  </si>
  <si>
    <t>Fidlock Cobertor de válvula, Verde claro - ME09630(LGR)</t>
  </si>
  <si>
    <t>Fidlock Parche universal UNI VACUMM para celulares, Negro - VC-01600(BLK)</t>
  </si>
  <si>
    <t>Fidlock Parche universal UNI VACUMM para celulares, Transparente - VC-01600(CLR)</t>
  </si>
  <si>
    <t xml:space="preserve">Fidlock Tapa de botella 700 life, Negro claro - 09710(CBL) </t>
  </si>
  <si>
    <t xml:space="preserve">FinishLine Fiber Grip grasa de carbono 50 gr </t>
  </si>
  <si>
    <t>FinishLine Kit cepillos Easy Pro</t>
  </si>
  <si>
    <t>Five Ten Freerider</t>
  </si>
  <si>
    <t>FiveTen Freerider Pro Core Black / Grey Two / Grey Five</t>
  </si>
  <si>
    <t>FiveTen Freerider Pro Primeblue Color: black/white</t>
  </si>
  <si>
    <t>FiveTen Hellcat Pro Negro/Amarillo Talla 44 2/3</t>
  </si>
  <si>
    <t>FiveTen Sleuth Color: grey five/grey four/footwear white</t>
  </si>
  <si>
    <t>FiveTen TrailCross LT Negro Talla 44 2/3</t>
  </si>
  <si>
    <t>FiveTen Trailcross XT Negro Talla 44 2/3</t>
  </si>
  <si>
    <t xml:space="preserve">Fox Flexair MTB Shorts </t>
  </si>
  <si>
    <t xml:space="preserve">Garmin Soporte manillar alargado </t>
  </si>
  <si>
    <t>Gemini Adaptador del soporte para ciclocomputador, Bryton</t>
  </si>
  <si>
    <t>Gemini Adaptador del soporte para ciclocomputador, Garmin - Wahoo</t>
  </si>
  <si>
    <t>Gemini Adaptador del soporte para ciclocomputador, Polar</t>
  </si>
  <si>
    <t>Gemini Adaptador del soporte para ciclocomputador, Twonav</t>
  </si>
  <si>
    <t>Gemini Manillar KÄSTOR, Brillante 12K, Long. De pot. 10 mm - GE00-000-WG</t>
  </si>
  <si>
    <t>Gemini Manillar KÄSTOR, Brillante 12K, Long. De pot. 20 mm - GE00-001-WG</t>
  </si>
  <si>
    <t>Gemini Manillar KÄSTOR, Brillante 12K, Long. De pot. 30 mm - GE00-002-WG</t>
  </si>
  <si>
    <t>Gemini Manillar KÄSTOR, Brillante 12K, Long. De pot. 40 mm - GE00-003-WG</t>
  </si>
  <si>
    <t>Gemini Manillar KÄSTOR, Brillante 12K, Long. De pot. 50 mm - GE00-004-WG</t>
  </si>
  <si>
    <t>Gemini Manillar KÄSTOR, Brillante UD, Long. De pot. 10 mm - GE00-000-UG</t>
  </si>
  <si>
    <t>Gemini Manillar KÄSTOR, Brillante UD, Long. De pot. 20 mm - GE00-001-UG</t>
  </si>
  <si>
    <t>Gemini Manillar KÄSTOR, Brillante UD, Long. De pot. 30 mm - GE00-002-UG</t>
  </si>
  <si>
    <t>Gemini Manillar KÄSTOR, Brillante UD, Long. De pot. 40 mm - GE00-003-UG</t>
  </si>
  <si>
    <t>Gemini Manillar KÄSTOR, Brillante UD, Long. De pot. 50 mm - GE00-004-UG</t>
  </si>
  <si>
    <t>Gemini Manillar KÄSTOR, Mate 12K, Long. De pot. 10 mm - GE00-000-WM</t>
  </si>
  <si>
    <t>Gemini Manillar KÄSTOR, Mate 12K, Long. De pot. 20 mm - GE00-001-WM</t>
  </si>
  <si>
    <t>Gemini Manillar KÄSTOR, Mate 12K, Long. De pot. 30 mm - GE00-002-WM</t>
  </si>
  <si>
    <t>Gemini Manillar KÄSTOR, Mate 12K, Long. De pot. 40 mm - GE00-003-WM</t>
  </si>
  <si>
    <t>Gemini Manillar KÄSTOR, Mate 12K, Long. De pot. 50 mm - GE00-004-WM</t>
  </si>
  <si>
    <t xml:space="preserve">Gemini Manillar KÄSTOR, Mate UD, Long. De pot. 10 mm - GE00-000-UM </t>
  </si>
  <si>
    <t>Gemini Manillar KÄSTOR, Mate UD, Long. De pot. 20 mm - GE00-001-UM</t>
  </si>
  <si>
    <t>Gemini Manillar KÄSTOR, Mate UD, Long. De pot. 30 mm - GE00-002-UM</t>
  </si>
  <si>
    <t>Gemini Manillar KÄSTOR, Mate UD, Long. De pot. 40 mm - GE00-003-UM</t>
  </si>
  <si>
    <t>Gemini Manillar KÄSTOR, Mate UD, Long. De pot. 50 mm - GE00-004-UM</t>
  </si>
  <si>
    <t>Gemini Manillar POLLUX, Brillante 12K, Long. De pot. 20 mm - GE00-005-WG</t>
  </si>
  <si>
    <t>Gemini Manillar POLLUX, Brillante 12K, Long. De pot. 30 mm - GE00-006-WG</t>
  </si>
  <si>
    <t>Gemini Manillar POLLUX, Brillante 12K, Long. De pot. 40 mm - GE00-007-WG</t>
  </si>
  <si>
    <t>Gemini Manillar POLLUX, Brillante 12K, Long. De pot. 50 mm - GE00-008-WG</t>
  </si>
  <si>
    <t>Gemini Manillar POLLUX, Brillante UD, Long. De pot. 20 mm - GE00-005-UG</t>
  </si>
  <si>
    <t>Gemini Manillar POLLUX, Brillante UD, Long. De pot. 30 mm - GE00-006-UG</t>
  </si>
  <si>
    <t>Gemini Manillar POLLUX, Brillante UD, Long. De pot. 40 mm - GE00-007-UG</t>
  </si>
  <si>
    <t>Gemini Manillar POLLUX, Brillante UD, Long. De pot. 50 mm - GE00-008-UG</t>
  </si>
  <si>
    <t>Gemini Manillar POLLUX, Mate 12K, Long. De pot. 20 mm - GE00-005-WM</t>
  </si>
  <si>
    <t>Gemini Manillar POLLUX, Mate 12K, Long. De pot. 30 mm - GE00-006-WM</t>
  </si>
  <si>
    <t>Gemini Manillar POLLUX, Mate 12K, Long. De pot. 40 mm - GE00-007-WM</t>
  </si>
  <si>
    <t>Gemini Manillar POLLUX, Mate 12K, Long. De pot. 50 mm - GE00-008-WM</t>
  </si>
  <si>
    <t>Gemini Manillar POLLUX, Mate UD, Long. De pot. 20 mm - GE00-005-UM</t>
  </si>
  <si>
    <t>Gemini Manillar POLLUX, Mate UD, Long. De pot. 30 mm - GE00-006-UM</t>
  </si>
  <si>
    <t>Gemini Manillar POLLUX, Mate UD, Long. De pot. 40 mm - GE00-007-UM</t>
  </si>
  <si>
    <t>Gemini Manillar POLLUX, Mate UD, Long. De pot. 50 mm - GE00-008-UM</t>
  </si>
  <si>
    <t>Gemini Manillar PRÖPUS, Brillante 12K, Long. De pot. 100mm, Offset -25mm, Laminado DC performance - GE01-005-WGP</t>
  </si>
  <si>
    <t>Gemini Manillar PRÖPUS, Brillante 12K, Long. De pot. 100mm, Offset -25mm, Laminado XC lightweight - GE01-005-WGL</t>
  </si>
  <si>
    <t>Gemini Manillar PRÖPUS, Brillante 12K, Long. De pot. 50mm, Offset +3mm, Laminado DC performance - GE01-0000-WGP</t>
  </si>
  <si>
    <t>Gemini Manillar PRÖPUS, Brillante 12K, Long. De pot. 50mm, Offset +3mm, Laminado XC lightweight - GE01-0000-WGL</t>
  </si>
  <si>
    <t>Gemini Manillar PRÖPUS, Brillante 12K, Long. De pot. 50mm, Offset -12mm, Laminado DC performance - GE01-000-WG
P</t>
  </si>
  <si>
    <t>Gemini Manillar PRÖPUS, Brillante 12K, Long. De pot. 50mm, Offset -12mm, Laminado XC lightweight - GE01-000-WG
L</t>
  </si>
  <si>
    <t>Gemini Manillar PRÖPUS, Brillante 12K, Long. De pot. 60mm, Offset +3mm, Laminado DC performance - GE01-0001-WGP</t>
  </si>
  <si>
    <t>Gemini Manillar PRÖPUS, Brillante 12K, Long. De pot. 60mm, Offset +3mm, Laminado XC lightweight - GE01-0001-WGL</t>
  </si>
  <si>
    <t>Gemini Manillar PRÖPUS, Brillante 12K, Long. De pot. 60mm, Offset -12mm, Laminado DC performance - GE01-001-WGP</t>
  </si>
  <si>
    <t>Gemini Manillar PRÖPUS, Brillante 12K, Long. De pot. 60mm, Offset -12mm, Laminado XC lightweight - GE01-001-WGL</t>
  </si>
  <si>
    <t>Gemini Manillar PRÖPUS, Brillante 12K, Long. De pot. 70mm, Offset +3mm, Laminado DC performance - GE01-0002-WGP</t>
  </si>
  <si>
    <t>Gemini Manillar PRÖPUS, Brillante 12K, Long. De pot. 70mm, Offset +3mm, Laminado XC lightweight - GE01-0002-WGL</t>
  </si>
  <si>
    <t>Gemini Manillar PRÖPUS, Brillante 12K, Long. De pot. 70mm, Offset -12mm, Laminado DC performance - GE01-002-WGP</t>
  </si>
  <si>
    <t>Gemini Manillar PRÖPUS, Brillante 12K, Long. De pot. 70mm, Offset -12mm, Laminado XC lightweight - GE01-002-WGL</t>
  </si>
  <si>
    <t>Gemini Manillar PRÖPUS, Brillante 12K, Long. De pot. 80mm, Offset +3mm, Laminado DC performance - GE01-0003-WGP</t>
  </si>
  <si>
    <t>Gemini Manillar PRÖPUS, Brillante 12K, Long. De pot. 80mm, Offset +3mm, Laminado XC lightweight - GE01-0003-WGL</t>
  </si>
  <si>
    <t>Gemini Manillar PRÖPUS, Brillante 12K, Long. De pot. 80mm, Offset -12mm, Laminado DC performance - GE01-003-WGP</t>
  </si>
  <si>
    <t>Gemini Manillar PRÖPUS, Brillante 12K, Long. De pot. 80mm, Offset -12mm, Laminado XC lightweight - GE01-003-WGL</t>
  </si>
  <si>
    <t>Gemini Manillar PRÖPUS, Brillante 12K, Long. De pot. 90mm, Offset +3mm, Laminado DC performance - GE01-0004-WGP</t>
  </si>
  <si>
    <t>Gemini Manillar PRÖPUS, Brillante 12K, Long. De pot. 90mm, Offset +3mm, Laminado XC lightweight - GE01-0004-WGL</t>
  </si>
  <si>
    <t>Gemini Manillar PRÖPUS, Brillante 12K, Long. De pot. 90mm, Offset -25mm, Laminado DC performance - GE01-004-WGP</t>
  </si>
  <si>
    <t>Gemini Manillar PRÖPUS, Brillante 12K, Long. De pot. 90mm, Offset -25mm, Laminado XC lightweight - GE01-004-WGL</t>
  </si>
  <si>
    <t>Gemini Manillar PRÖPUS, Brillante UD, Long. De pot. 100mm, Offset -25mm, Laminado DC performance - GE01-005-UGP</t>
  </si>
  <si>
    <t>Gemini Manillar PRÖPUS, Brillante UD, Long. De pot. 100mm, Offset -25mm, Laminado XC lightweight - GE01-005-UGL</t>
  </si>
  <si>
    <t>Gemini Manillar PRÖPUS, Brillante UD, Long. De pot. 50mm, Offset +3mm, Laminado DC performance - GE01-0000-UGP</t>
  </si>
  <si>
    <t>Gemini Manillar PRÖPUS, Brillante UD, Long. De pot. 50mm, Offset +3mm, Laminado XC lightweight - GE01-0000-UGL</t>
  </si>
  <si>
    <t>Gemini Manillar PRÖPUS, Brillante UD, Long. De pot. 50mm, Offset -12mm, Laminado DC performance - GE01-000-UGP</t>
  </si>
  <si>
    <t>Gemini Manillar PRÖPUS, Brillante UD, Long. De pot. 50mm, Offset -12mm, Laminado XC lightweight - GE01-000-UGL</t>
  </si>
  <si>
    <t>Gemini Manillar PRÖPUS, Brillante UD, Long. De pot. 60mm, Offset +3mm, Laminado DC performance - GE01-0001-UGP</t>
  </si>
  <si>
    <t>Gemini Manillar PRÖPUS, Brillante UD, Long. De pot. 60mm, Offset +3mm, Laminado XC lightweight - GE01-0001-UGL</t>
  </si>
  <si>
    <t>Gemini Manillar PRÖPUS, Brillante UD, Long. De pot. 60mm, Offset -12mm, Laminado DC performance - GE01-001-UGP</t>
  </si>
  <si>
    <t>Gemini Manillar PRÖPUS, Brillante UD, Long. De pot. 60mm, Offset -12mm, Laminado XC lightweight - GE01-001-UGL</t>
  </si>
  <si>
    <t>Gemini Manillar PRÖPUS, Brillante UD, Long. De pot. 70mm, Offset +3mm, Laminado DC performance - GE01-0002-UGP</t>
  </si>
  <si>
    <t>Gemini Manillar PRÖPUS, Brillante UD, Long. De pot. 70mm, Offset +3mm, Laminado XC lightweight - GE01-0002-UGL</t>
  </si>
  <si>
    <t>Gemini Manillar PRÖPUS, Brillante UD, Long. De pot. 70mm, Offset -12mm, Laminado DC performance - GE01-002-UGP</t>
  </si>
  <si>
    <t>Gemini Manillar PRÖPUS, Brillante UD, Long. De pot. 70mm, Offset -12mm, Laminado XC lightweight - GE01-002-UGL</t>
  </si>
  <si>
    <t>Gemini Manillar PRÖPUS, Brillante UD, Long. De pot. 80mm, Offset +3mm, Laminado DC performance - GE01-0003-UGP</t>
  </si>
  <si>
    <t>Gemini Manillar PRÖPUS, Brillante UD, Long. De pot. 80mm, Offset +3mm, Laminado XC lightweight - GE01-0003-UGL</t>
  </si>
  <si>
    <t>Gemini Manillar PRÖPUS, Brillante UD, Long. De pot. 80mm, Offset -12mm, Laminado DC performance - GE01-003-UGP</t>
  </si>
  <si>
    <t>Gemini Manillar PRÖPUS, Brillante UD, Long. De pot. 80mm, Offset -12mm, Laminado XC lightweight - GE01-003-UGL</t>
  </si>
  <si>
    <t>Gemini Manillar PRÖPUS, Brillante UD, Long. De pot. 90mm, Offset +3mm, Laminado DC performance - GE01-0004-UGP</t>
  </si>
  <si>
    <t>Gemini Manillar PRÖPUS, Brillante UD, Long. De pot. 90mm, Offset +3mm, Laminado XC lightweight - GE01-0004-UGL</t>
  </si>
  <si>
    <t>Gemini Manillar PRÖPUS, Brillante UD, Long. De pot. 90mm, Offset -25mm, Laminado DC performance - GE01-004-UGP</t>
  </si>
  <si>
    <t>Gemini Manillar PRÖPUS, Brillante UD, Long. De pot. 90mm, Offset -25mm, Laminado XC lightweight - GE01-004-UGL</t>
  </si>
  <si>
    <t>Gemini Manillar PRÖPUS, Mate 12K, Long. De pot. 100mm, Offset -25mm, Laminado DC performance - GE01-005-WMP</t>
  </si>
  <si>
    <t>Gemini Manillar PRÖPUS, Mate 12K, Long. De pot. 100mm, Offset -25mm, Laminado XC lightweight - GE01-005-WML</t>
  </si>
  <si>
    <t>Gemini Manillar PRÖPUS, Mate 12K, Long. De pot. 50mm, Offset +3mm, Laminado DC performance - GE01-0000-WMP</t>
  </si>
  <si>
    <t>Gemini Manillar PRÖPUS, Mate 12K, Long. De pot. 50mm, Offset +3mm, Laminado XC lightweight - GE01-0000-WML</t>
  </si>
  <si>
    <t>Gemini Manillar PRÖPUS, Mate 12K, Long. De pot. 50mm, Offset -12mm, Laminado DC performance - GE01-000-WMP</t>
  </si>
  <si>
    <t>Gemini Manillar PRÖPUS, Mate 12K, Long. De pot. 50mm, Offset -12mm, Laminado XC lightweight - GE01-000-WML</t>
  </si>
  <si>
    <t>Gemini Manillar PRÖPUS, Mate 12K, Long. De pot. 60mm, Offset +3mm, Laminado DC performance - GE01-0001-WMP</t>
  </si>
  <si>
    <t>Gemini Manillar PRÖPUS, Mate 12K, Long. De pot. 60mm, Offset +3mm, Laminado XC lightweight - GE01-0001-WML</t>
  </si>
  <si>
    <t>Gemini Manillar PRÖPUS, Mate 12K, Long. De pot. 60mm, Offset -12mm, Laminado DC performance - GE01-001-WMP</t>
  </si>
  <si>
    <t>Gemini Manillar PRÖPUS, Mate 12K, Long. De pot. 60mm, Offset -12mm, Laminado XC lightweight - GE01-001-WML</t>
  </si>
  <si>
    <t>Gemini Manillar PRÖPUS, Mate 12K, Long. De pot. 70mm, Offset +3mm, Laminado DC performance - GE01-0002-WMP</t>
  </si>
  <si>
    <t>Gemini Manillar PRÖPUS, Mate 12K, Long. De pot. 70mm, Offset +3mm, Laminado XC lightweight - GE01-0002-WML</t>
  </si>
  <si>
    <t>Gemini Manillar PRÖPUS, Mate 12K, Long. De pot. 70mm, Offset -12mm, Laminado DC performance - GE01-002-WM P</t>
  </si>
  <si>
    <t>Gemini Manillar PRÖPUS, Mate 12K, Long. De pot. 70mm, Offset -12mm, Laminado XC lightweight - GE01-002-WML</t>
  </si>
  <si>
    <t>Gemini Manillar PRÖPUS, Mate 12K, Long. De pot. 80mm, Offset +3mm, Laminado DC performance - GE01-0003-WMP</t>
  </si>
  <si>
    <t>Gemini Manillar PRÖPUS, Mate 12K, Long. De pot. 80mm, Offset +3mm, Laminado XC lightweight - GE01-0003-WML</t>
  </si>
  <si>
    <t>Gemini Manillar PRÖPUS, Mate 12K, Long. De pot. 80mm, Offset -12mm, Laminado DC performance - GE01-003-WMP</t>
  </si>
  <si>
    <t>Gemini Manillar PRÖPUS, Mate 12K, Long. De pot. 80mm, Offset -12mm, Laminado XC lightweight - GE01-003-WML</t>
  </si>
  <si>
    <t>Gemini Manillar PRÖPUS, Mate 12K, Long. De pot. 90mm, Offset +3mm, Laminado DC performance - GE01-0004-WMP</t>
  </si>
  <si>
    <t>Gemini Manillar PRÖPUS, Mate 12K, Long. De pot. 90mm, Offset +3mm, Laminado XC lightweight - GE01-0004-WML</t>
  </si>
  <si>
    <t>Gemini Manillar PRÖPUS, Mate 12K, Long. De pot. 90mm, Offset -25mm, Laminado DC performance - GE01-004-WMP</t>
  </si>
  <si>
    <t>Gemini Manillar PRÖPUS, Mate 12K, Long. De pot. 90mm, Offset -25mm, Laminado XC lightweight - GE01-004-WML</t>
  </si>
  <si>
    <t>Gemini Manillar PRÖPUS, Mate UD, Long. De pot. 100mm, Offset -25mm, Laminado DC performance - GE01-005-UMP</t>
  </si>
  <si>
    <t>Gemini Manillar PRÖPUS, Mate UD, Long. De pot. 100mm, Offset -25mm, Laminado XC lightweight - GE01-005-UML</t>
  </si>
  <si>
    <t>Gemini Manillar PRÖPUS, Mate UD, Long. De pot. 50mm, Offset +3mm, Laminado DC performance - GE01-0000-UMP</t>
  </si>
  <si>
    <t>Gemini Manillar PRÖPUS, Mate UD, Long. De pot. 50mm, Offset +3mm, Laminado XC lightweight - GE01-0000-UML</t>
  </si>
  <si>
    <t>Gemini Manillar PRÖPUS, Mate UD, Long. De pot. 50mm, Offset -12mm, Laminado DC performance - GE01-000-UMP</t>
  </si>
  <si>
    <t>Gemini Manillar PRÖPUS, Mate UD, Long. De pot. 50mm, Offset -12mm, Laminado XC lightweight - GE01-000-UML</t>
  </si>
  <si>
    <t>Gemini Manillar PRÖPUS, Mate UD, Long. De pot. 60mm, Offset +3mm, Laminado DC performance - GE01-0001-UMP</t>
  </si>
  <si>
    <t>Gemini Manillar PRÖPUS, Mate UD, Long. De pot. 60mm, Offset +3mm, Laminado XC lightweight - GE01-0001-UML</t>
  </si>
  <si>
    <t>Gemini Manillar PRÖPUS, Mate UD, Long. De pot. 60mm, Offset -12mm, Laminado DC performance - GE01-001-UMP</t>
  </si>
  <si>
    <t>Gemini Manillar PRÖPUS, Mate UD, Long. De pot. 60mm, Offset -12mm, Laminado XC lightweight - GE01-001-UML</t>
  </si>
  <si>
    <t>Gemini Manillar PRÖPUS, Mate UD, Long. De pot. 70mm, Offset +3mm, Laminado DC performance - GE01-0002-UMP</t>
  </si>
  <si>
    <t>Gemini Manillar PRÖPUS, Mate UD, Long. De pot. 70mm, Offset +3mm, Laminado XC lightweight - GE01-0002-UML</t>
  </si>
  <si>
    <t>Gemini Manillar PRÖPUS, Mate UD, Long. De pot. 70mm, Offset -12mm, Laminado DC performance - GE01-002-UMP</t>
  </si>
  <si>
    <t>Gemini Manillar PRÖPUS, Mate UD, Long. De pot. 70mm, Offset -12mm, Laminado XC lightweight - GE01-002-UML</t>
  </si>
  <si>
    <t>Gemini Manillar PRÖPUS, Mate UD, Long. De pot. 80mm, Offset +3mm, Laminado DC performance - GE01-0003-UMP</t>
  </si>
  <si>
    <t>Gemini Manillar PRÖPUS, Mate UD, Long. De pot. 80mm, Offset +3mm, Laminado XC lightweight - GE01-0003-UML</t>
  </si>
  <si>
    <t>Gemini Manillar PRÖPUS, Mate UD, Long. De pot. 80mm, Offset -12mm, Laminado DC performance - GE01-003-UMP</t>
  </si>
  <si>
    <t>Gemini Manillar PRÖPUS, Mate UD, Long. De pot. 80mm, Offset -12mm, Laminado XC lightweight - GE01-003-UML</t>
  </si>
  <si>
    <t>Gemini Manillar PRÖPUS, Mate UD, Long. De pot. 90mm, Offset +3mm, Laminado DC performance - GE01-0004-UMP</t>
  </si>
  <si>
    <t>Gemini Manillar PRÖPUS, Mate UD, Long. De pot. 90mm, Offset +3mm, Laminado XC lightweight - GE01-0004-UML</t>
  </si>
  <si>
    <t>Gemini Manillar PRÖPUS, Mate UD, Long. De pot. 90mm, Offset -25mm, Laminado DC performance - GE01-004-UMP</t>
  </si>
  <si>
    <t>Gemini Manillar PRÖPUS, Mate UD, Long. De pot. 90mm, Offset -25mm, Laminado XC lightweight - GE01-004-UML</t>
  </si>
  <si>
    <t>Gemini Manillar WÄSSAT, Brillante UD, Laminado DC performance - GE03-001-UGP</t>
  </si>
  <si>
    <t>Gemini Manillar WÄSSAT, Brillante UD, Laminado XC lightweight - GE03-001-UGL</t>
  </si>
  <si>
    <t>Gemini Manillar WÄSSAT, Mate UD, Laminado DC performance - GE03-001-UMP</t>
  </si>
  <si>
    <t>Gemini Manillar WÄSSAT, Mate UD, Laminado XC lightweight - GE03-001-UML</t>
  </si>
  <si>
    <t xml:space="preserve">Gemini Plato RIGEL, Cannondale-Hollowgram, 32 Dientes  </t>
  </si>
  <si>
    <t xml:space="preserve">Gemini Plato RIGEL, Cannondale-Hollowgram, 34 Dientes  </t>
  </si>
  <si>
    <t xml:space="preserve">Gemini Plato RIGEL, Cannondale-Hollowgram, 36 Dientes  </t>
  </si>
  <si>
    <t xml:space="preserve">Gemini Plato RIGEL, Raceface-Easton, 32 Dientes  </t>
  </si>
  <si>
    <t xml:space="preserve">Gemini Plato RIGEL, Raceface-Easton, 34 Dientes  </t>
  </si>
  <si>
    <t xml:space="preserve">Gemini Plato RIGEL, Raceface-Easton, 36 Dientes  </t>
  </si>
  <si>
    <t xml:space="preserve">Gemini Plato RIGEL, Shimano, 32 Dientes  </t>
  </si>
  <si>
    <t xml:space="preserve">Gemini Plato RIGEL, Shimano, 34 Dientes  </t>
  </si>
  <si>
    <t xml:space="preserve">Gemini Plato RIGEL, Shimano, 36 Dientes  </t>
  </si>
  <si>
    <t xml:space="preserve">Gemini Plato RIGEL, Sram 3 bolts, 32 Dientes  </t>
  </si>
  <si>
    <t xml:space="preserve">Gemini Plato RIGEL, Sram 3 bolts, 34 Dientes  </t>
  </si>
  <si>
    <t xml:space="preserve">Gemini Plato RIGEL, Sram 3 bolts, 36 Dientes  </t>
  </si>
  <si>
    <t xml:space="preserve">Gemini Plato RIGEL, Sram 8 bolts, 32 Dientes  </t>
  </si>
  <si>
    <t xml:space="preserve">Gemini Plato RIGEL, Sram 8 bolts, 34 Dientes  </t>
  </si>
  <si>
    <t xml:space="preserve">Gemini Plato RIGEL, Sram 8 bolts, 36 Dientes  </t>
  </si>
  <si>
    <t>Gemini Soporte para Ciclocomputador SOYUZ, Bryton, Acabado Brillante</t>
  </si>
  <si>
    <t>Gemini Soporte para Ciclocomputador SOYUZ, Bryton, Acabado Forged</t>
  </si>
  <si>
    <t>Gemini Soporte para Ciclocomputador SOYUZ, Bryton, Acabado Mate</t>
  </si>
  <si>
    <t>Gemini Soporte para Ciclocomputador SOYUZ, Garmin, Acabado Brillante</t>
  </si>
  <si>
    <t>Gemini Soporte para Ciclocomputador SOYUZ, Garmin, Acabado Forged</t>
  </si>
  <si>
    <t>Gemini Soporte para Ciclocomputador SOYUZ, Garmin, Acabado Mate</t>
  </si>
  <si>
    <t>Gemini Soporte para Ciclocomputador SOYUZ, Polar, Acabado Brillante</t>
  </si>
  <si>
    <t>Gemini Soporte para Ciclocomputador SOYUZ, Polar, Acabado Forged</t>
  </si>
  <si>
    <t>Gemini Soporte para Ciclocomputador SOYUZ, Polar, Acabado Mate</t>
  </si>
  <si>
    <t>Gemini Soporte para Ciclocomputador SOYUZ, Twonav, Acabado Brillante</t>
  </si>
  <si>
    <t>Gemini Soporte para Ciclocomputador SOYUZ, Twonav, Acabado Forged</t>
  </si>
  <si>
    <t>Gemini Soporte para Ciclocomputador SOYUZ, Twonav, Acabado Mate</t>
  </si>
  <si>
    <t>Gemini Soporte para Ciclocomputador SOYUZ, Wahoo, Acabado Brillante</t>
  </si>
  <si>
    <t>Gemini Soporte para Ciclocomputador SOYUZ, Wahoo, Acabado Forged</t>
  </si>
  <si>
    <t>Gemini Soporte para Ciclocomputador SOYUZ, Wahoo, Acabado Mate</t>
  </si>
  <si>
    <t>Gemini Soporte para Ciclocomputador VOSTOK, Brillante, Tamaño Corto - GE02-000-G</t>
  </si>
  <si>
    <t>Gemini Soporte para Ciclocomputador VOSTOK, Brillante, Tamaño Largo - GE02-001-G</t>
  </si>
  <si>
    <t>Gemini Soporte para Ciclocomputador VOSTOK, Forged, Tamaño Corto - GE02-000-F</t>
  </si>
  <si>
    <t>Gemini Soporte para Ciclocomputador VOSTOK, Froged, Tamaño Largo - GE02-001-F</t>
  </si>
  <si>
    <t>Gemini Soporte para Ciclocomputador VOSTOK, Mate, Tamaño Corto - GE02-000-M</t>
  </si>
  <si>
    <t>Gemini Soporte para Ciclocomputador VOSTOK, Mate, Tamaño Largo - GE02-001-M</t>
  </si>
  <si>
    <t>Gemini Tija ÄLSAK, Brillante 12K, Diametro 27.2mm, Longitud 250mm, Laminado DC performance - GE06-00-WGP-27.2-250</t>
  </si>
  <si>
    <t>Gemini Tija ÄLSAK, Brillante 12K, Diametro 27.2mm, Longitud 250mm, Laminado XC lightweight - GE06-00-WGL-27.2-250</t>
  </si>
  <si>
    <t>Gemini Tija ÄLSAK, Brillante 12K, Diametro 27.2mm, Longitud 300mm, Laminado DC performance - GE06-00-WGP-27.2-300</t>
  </si>
  <si>
    <t>Gemini Tija ÄLSAK, Brillante 12K, Diametro 27.2mm, Longitud 300mm, Laminado XC lightweight - GE06-00-WGL-27.2-300</t>
  </si>
  <si>
    <t>Gemini Tija ÄLSAK, Brillante 12K, Diametro 27.2mm, Longitud 350mm, Laminado DC performance - GE06-00-WGP-27.2-350</t>
  </si>
  <si>
    <t>Gemini Tija ÄLSAK, Brillante 12K, Diametro 27.2mm, Longitud 350mm, Laminado XC lightweight - GE06-00-WGL-27.2-350</t>
  </si>
  <si>
    <t>Gemini Tija ÄLSAK, Brillante 12K, Diametro 27.2mm, Longitud 400mm, Laminado DC performance - GE06-00-WGP-27.2-400</t>
  </si>
  <si>
    <t>Gemini Tija ÄLSAK, Brillante 12K, Diametro 27.2mm, Longitud 400mm, Laminado XC lightweight - GE06-00-WGL-27.2-400</t>
  </si>
  <si>
    <t>Gemini Tija ÄLSAK, Brillante 12K, Diametro 30.9mm, Longitud 250mm, Laminado DC performance - GE06-00-WGP-30.9-250</t>
  </si>
  <si>
    <t>Gemini Tija ÄLSAK, Brillante 12K, Diametro 30.9mm, Longitud 250mm, Laminado XC lightweight - GE06-00-WGL-30.9-250</t>
  </si>
  <si>
    <t>Gemini Tija ÄLSAK, Brillante 12K, Diametro 30.9mm, Longitud 300mm, Laminado DC performance - GE06-00-WGP-30.9-300</t>
  </si>
  <si>
    <t>Gemini Tija ÄLSAK, Brillante 12K, Diametro 30.9mm, Longitud 300mm, Laminado XC lightweight - GE06-00-WGL-30.9-300</t>
  </si>
  <si>
    <t>Gemini Tija ÄLSAK, Brillante 12K, Diametro 30.9mm, Longitud 350mm, Laminado DC performance - GE06-00-WGP-30.9-350</t>
  </si>
  <si>
    <t>Gemini Tija ÄLSAK, Brillante 12K, Diametro 30.9mm, Longitud 350mm, Laminado XC lightweight - GE06-00-WGL-30.9-350</t>
  </si>
  <si>
    <t>Gemini Tija ÄLSAK, Brillante 12K, Diametro 30.9mm, Longitud 400mm, Laminado DC performance - GE06-00-WGP-30.9-400</t>
  </si>
  <si>
    <t>Gemini Tija ÄLSAK, Brillante 12K, Diametro 30.9mm, Longitud 400mm, Laminado XC lightweight - GE06-00-WGL-30.9-400</t>
  </si>
  <si>
    <t>Gemini Tija ÄLSAK, Brillante 12K, Diametro 31.6mm, Longitud 250mm, Laminado DC performance - GE06-00-WGP-31.6-250</t>
  </si>
  <si>
    <t>Gemini Tija ÄLSAK, Brillante 12K, Diametro 31.6mm, Longitud 250mm, Laminado XC lightweight - GE06-00-WGL-31.6-250</t>
  </si>
  <si>
    <t>Gemini Tija ÄLSAK, Brillante 12K, Diametro 31.6mm, Longitud 300mm, Laminado DC performance - GE06-00-WGP-31.6-300</t>
  </si>
  <si>
    <t>Gemini Tija ÄLSAK, Brillante 12K, Diametro 31.6mm, Longitud 300mm, Laminado XC lightweight - GE06-00-WGL-31.6-300</t>
  </si>
  <si>
    <t>Gemini Tija ÄLSAK, Brillante 12K, Diametro 31.6mm, Longitud 350mm, Laminado DC performance - GE06-00-WGP-31.6-350</t>
  </si>
  <si>
    <t>Gemini Tija ÄLSAK, Brillante 12K, Diametro 31.6mm, Longitud 350mm, Laminado XC lightweight - GE06-00-WGL-31.6-350</t>
  </si>
  <si>
    <t>Gemini Tija ÄLSAK, Brillante 12K, Diametro 31.6mm, Longitud 400mm, Laminado DC performance - GE06-00-WGP-31.6-400</t>
  </si>
  <si>
    <t>Gemini Tija ÄLSAK, Brillante 12K, Diametro 31.6mm, Longitud 400mm, Laminado XC lightweight - GE06-00-WGL-31.6-400</t>
  </si>
  <si>
    <t>Gemini Tija ÄLSAK, Brillante UD, Diametro 27.2mm, Longitud 250mm, Laminado DC performance - GE06-00-UGP-27.2-250</t>
  </si>
  <si>
    <t>Gemini Tija ÄLSAK, Brillante UD, Diametro 27.2mm, Longitud 250mm, Laminado XC lightweight - GE06-00-UGL-27.2-250</t>
  </si>
  <si>
    <t>Gemini Tija ÄLSAK, Brillante UD, Diametro 27.2mm, Longitud 300mm, Laminado DC performance - GE06-00-UGP-27.2-300</t>
  </si>
  <si>
    <t>Gemini Tija ÄLSAK, Brillante UD, Diametro 27.2mm, Longitud 300mm, Laminado XC lightweight - GE06-00-UGL-27.2-300</t>
  </si>
  <si>
    <t>Gemini Tija ÄLSAK, Brillante UD, Diametro 27.2mm, Longitud 350mm, Laminado DC performance - GE06-00-UGP-27.2-350</t>
  </si>
  <si>
    <t>Gemini Tija ÄLSAK, Brillante UD, Diametro 27.2mm, Longitud 350mm, Laminado XC lightweight - GE06-00-UGL-27.2-350</t>
  </si>
  <si>
    <t>Gemini Tija ÄLSAK, Brillante UD, Diametro 27.2mm, Longitud 400mm, Laminado DC performance - GE06-00-UGP-27.2-400</t>
  </si>
  <si>
    <t>Gemini Tija ÄLSAK, Brillante UD, Diametro 27.2mm, Longitud 400mm, Laminado XC lightweight - GE06-00-UGL-27.2-400</t>
  </si>
  <si>
    <t>Gemini Tija ÄLSAK, Brillante UD, Diametro 30.9mm, Longitud 250mm, Laminado DC performance - GE06-00-UGP-30.9-250</t>
  </si>
  <si>
    <t>Gemini Tija ÄLSAK, Brillante UD, Diametro 30.9mm, Longitud 250mm, Laminado XC lightweight - GE06-00-UGL-30.9-250</t>
  </si>
  <si>
    <t>Gemini Tija ÄLSAK, Brillante UD, Diametro 30.9mm, Longitud 300mm, Laminado DC performance - GE06-00-UGP-30.9-300</t>
  </si>
  <si>
    <t>Gemini Tija ÄLSAK, Brillante UD, Diametro 30.9mm, Longitud 300mm, Laminado XC lightweight - GE06-00-UGL-30.9-300</t>
  </si>
  <si>
    <t>Gemini Tija ÄLSAK, Brillante UD, Diametro 30.9mm, Longitud 350mm, Laminado DC performance - GE06-00-UGP-30.9-350</t>
  </si>
  <si>
    <t>Gemini Tija ÄLSAK, Brillante UD, Diametro 30.9mm, Longitud 350mm, Laminado XC lightweight - GE06-00-UGL-30.9-350</t>
  </si>
  <si>
    <t>Gemini Tija ÄLSAK, Brillante UD, Diametro 30.9mm, Longitud 400mm, Laminado DC performance - GE06-00-UGP-30.9-400</t>
  </si>
  <si>
    <t>Gemini Tija ÄLSAK, Brillante UD, Diametro 30.9mm, Longitud 400mm, Laminado XC lightweight - GE06-00-UGL-30.9-400</t>
  </si>
  <si>
    <t>Gemini Tija ÄLSAK, Brillante UD, Diametro 31.6mm, Longitud 250mm, Laminado DC performance - GE06-00-UGP-31.6-250</t>
  </si>
  <si>
    <t>Gemini Tija ÄLSAK, Brillante UD, Diametro 31.6mm, Longitud 250mm, Laminado XC lightweight - GE06-00-UGL-31.6-250</t>
  </si>
  <si>
    <t>Gemini Tija ÄLSAK, Brillante UD, Diametro 31.6mm, Longitud 300mm, Laminado DC performance - GE06-00-UGP-31.6-300</t>
  </si>
  <si>
    <t>Gemini Tija ÄLSAK, Brillante UD, Diametro 31.6mm, Longitud 300mm, Laminado XC lightweight - GE06-00-UGL-31.6-300</t>
  </si>
  <si>
    <t>Gemini Tija ÄLSAK, Brillante UD, Diametro 31.6mm, Longitud 350mm, Laminado DC performance - GE06-00-UGP-31.6-350</t>
  </si>
  <si>
    <t>Gemini Tija ÄLSAK, Brillante UD, Diametro 31.6mm, Longitud 350mm, Laminado XC lightweight - GE06-00-UGL-31.6-350</t>
  </si>
  <si>
    <t>Gemini Tija ÄLSAK, Brillante UD, Diametro 31.6mm, Longitud 400mm, Laminado DC performance - GE06-00-UGP-31.6-400</t>
  </si>
  <si>
    <t>Gemini Tija ÄLSAK, Brillante UD, Diametro 31.6mm, Longitud 400mm, Laminado XC lightweight - GE06-00-UGL-31.6-400</t>
  </si>
  <si>
    <t>Gemini Tija ÄLSAK, Mate 12K, Diametro 27.2mm, Longitud 250mm, Laminado DC performance - GE06-00-WMP-27.2-250</t>
  </si>
  <si>
    <t>Gemini Tija ÄLSAK, Mate 12K, Diametro 27.2mm, Longitud 250mm, Laminado XC lightweight - GE06-00-WML-27.2-250</t>
  </si>
  <si>
    <t>Gemini Tija ÄLSAK, Mate 12K, Diametro 27.2mm, Longitud 300mm, Laminado DC performance - GE06-00-WMP-27.2-300</t>
  </si>
  <si>
    <t>Gemini Tija ÄLSAK, Mate 12K, Diametro 27.2mm, Longitud 300mm, Laminado XC lightweight - GE06-00-WML-27.2-300</t>
  </si>
  <si>
    <t>Gemini Tija ÄLSAK, Mate 12K, Diametro 27.2mm, Longitud 350mm, Laminado DC performance - GE06-00-WMP-27.2-350</t>
  </si>
  <si>
    <t>Gemini Tija ÄLSAK, Mate 12K, Diametro 27.2mm, Longitud 350mm, Laminado XC lightweight - GE06-00-WML-27.2-350</t>
  </si>
  <si>
    <t>Gemini Tija ÄLSAK, Mate 12K, Diametro 27.2mm, Longitud 400mm, Laminado DC performance - GE06-00-WMP-27.2-400</t>
  </si>
  <si>
    <t>Gemini Tija ÄLSAK, Mate 12K, Diametro 27.2mm, Longitud 400mm, Laminado XC lightweight - GE06-00-WML-27.2-400</t>
  </si>
  <si>
    <t>Gemini Tija ÄLSAK, Mate 12K, Diametro 30.9mm, Longitud 250mm, Laminado DC performance - GE06-00-WMP-30.9-250</t>
  </si>
  <si>
    <t>Gemini Tija ÄLSAK, Mate 12K, Diametro 30.9mm, Longitud 250mm, Laminado XC lightweight - GE06-00-WML-30.9-250</t>
  </si>
  <si>
    <t>Gemini Tija ÄLSAK, Mate 12K, Diametro 30.9mm, Longitud 300mm, Laminado DC performance - GE06-00-WMP-30.9-300</t>
  </si>
  <si>
    <t>Gemini Tija ÄLSAK, Mate 12K, Diametro 30.9mm, Longitud 300mm, Laminado XC lightweight - GE06-00-WML-30.9-300</t>
  </si>
  <si>
    <t>Gemini Tija ÄLSAK, Mate 12K, Diametro 30.9mm, Longitud 350mm, Laminado DC performance - GE06-00-WMP-30.9-350</t>
  </si>
  <si>
    <t>Gemini Tija ÄLSAK, Mate 12K, Diametro 30.9mm, Longitud 350mm, Laminado XC lightweight - GE06-00-WML-30.9-350</t>
  </si>
  <si>
    <t>Gemini Tija ÄLSAK, Mate 12K, Diametro 30.9mm, Longitud 400mm, Laminado DC performance - GE06-00-WMP-30.9-400</t>
  </si>
  <si>
    <t>Gemini Tija ÄLSAK, Mate 12K, Diametro 30.9mm, Longitud 400mm, Laminado XC lightweight - GE06-00-WML-30.9-400</t>
  </si>
  <si>
    <t>Gemini Tija ÄLSAK, Mate 12K, Diametro 31.6mm, Longitud 250mm, Laminado DC performance - GE06-00-WMP-31.6-250</t>
  </si>
  <si>
    <t>Gemini Tija ÄLSAK, Mate 12K, Diametro 31.6mm, Longitud 250mm, Laminado XC lightweight - GE06-00-WML-31.6-250</t>
  </si>
  <si>
    <t>Gemini Tija ÄLSAK, Mate 12K, Diametro 31.6mm, Longitud 300mm, Laminado DC performance - GE06-00-WMP-31.6-300</t>
  </si>
  <si>
    <t>Gemini Tija ÄLSAK, Mate 12K, Diametro 31.6mm, Longitud 300mm, Laminado XC lightweight - GE06-00-WML-31.6-300</t>
  </si>
  <si>
    <t>Gemini Tija ÄLSAK, Mate 12K, Diametro 31.6mm, Longitud 350mm, Laminado DC performance - GE06-00-WMP-31.6-350</t>
  </si>
  <si>
    <t>Gemini Tija ÄLSAK, Mate 12K, Diametro 31.6mm, Longitud 350mm, Laminado XC lightweight - GE06-00-WML-31.6-350</t>
  </si>
  <si>
    <t>Gemini Tija ÄLSAK, Mate 12K, Diametro 31.6mm, Longitud 400mm, Laminado DC performance - GE06-00-WMP-31.6-400</t>
  </si>
  <si>
    <t>Gemini Tija ÄLSAK, Mate 12K, Diametro 31.6mm, Longitud 400mm, Laminado XC lightweight - GE06-00-WML-31.6-400</t>
  </si>
  <si>
    <t>Gemini Tija ÄLSAK, Mate UD, Diametro 27.2mm, Longitud 250mm, Laminado DC performance - GE06-00-UMP-27.2-250</t>
  </si>
  <si>
    <t>Gemini Tija ÄLSAK, Mate UD, Diametro 27.2mm, Longitud 250mm, Laminado XC lightweight - GE06-00-UML-27.2-250</t>
  </si>
  <si>
    <t>Gemini Tija ÄLSAK, Mate UD, Diametro 27.2mm, Longitud 300mm, Laminado DC performance - GE06-00-UMP-27.2-300</t>
  </si>
  <si>
    <t>Gemini Tija ÄLSAK, Mate UD, Diametro 27.2mm, Longitud 300mm, Laminado XC lightweight - GE06-00-UML-27.2-300</t>
  </si>
  <si>
    <t>Gemini Tija ÄLSAK, Mate UD, Diametro 27.2mm, Longitud 350mm, Laminado DC performance - GE06-00-UMP-27.2-350</t>
  </si>
  <si>
    <t>Gemini Tija ÄLSAK, Mate UD, Diametro 27.2mm, Longitud 350mm, Laminado XC lightweight - GE06-00-UML-27.2-350</t>
  </si>
  <si>
    <t>Gemini Tija ÄLSAK, Mate UD, Diametro 27.2mm, Longitud 400mm, Laminado DC performance - GE06-00-UMP-27.2-400</t>
  </si>
  <si>
    <t>Gemini Tija ÄLSAK, Mate UD, Diametro 27.2mm, Longitud 400mm, Laminado XC lightweight - GE06-00-UML-27.2-400</t>
  </si>
  <si>
    <t>Gemini Tija ÄLSAK, Mate UD, Diametro 30.9mm, Longitud 250mm, Laminado DC performance - GE06-00-UMP-30.9-250</t>
  </si>
  <si>
    <t>Gemini Tija ÄLSAK, Mate UD, Diametro 30.9mm, Longitud 250mm, Laminado XC lightweight - GE06-00-UML-30.9-250</t>
  </si>
  <si>
    <t>Gemini Tija ÄLSAK, Mate UD, Diametro 30.9mm, Longitud 300mm, Laminado DC performance - GE06-00-UMP-30.9-300</t>
  </si>
  <si>
    <t>Gemini Tija ÄLSAK, Mate UD, Diametro 30.9mm, Longitud 300mm, Laminado XC lightweight - GE06-00-UML-30.9-300</t>
  </si>
  <si>
    <t>Gemini Tija ÄLSAK, Mate UD, Diametro 30.9mm, Longitud 350mm, Laminado DC performance - GE06-00-UMP-30.9-350</t>
  </si>
  <si>
    <t>Gemini Tija ÄLSAK, Mate UD, Diametro 30.9mm, Longitud 350mm, Laminado XC lightweight - GE06-00-UML-30.9-350</t>
  </si>
  <si>
    <t>Gemini Tija ÄLSAK, Mate UD, Diametro 30.9mm, Longitud 400mm, Laminado DC performance - GE06-00-UMP-30.9-400</t>
  </si>
  <si>
    <t>Gemini Tija ÄLSAK, Mate UD, Diametro 30.9mm, Longitud 400mm, Laminado XC lightweight - GE06-00-UML-30.9-400</t>
  </si>
  <si>
    <t>Gemini Tija ÄLSAK, Mate UD, Diametro 31.6mm, Longitud 250mm, Laminado DC performance - GE06-00-UMP-31.6-250</t>
  </si>
  <si>
    <t>Gemini Tija ÄLSAK, Mate UD, Diametro 31.6mm, Longitud 250mm, Laminado XC lightweight - GE06-00-UML-31.6-250</t>
  </si>
  <si>
    <t>Gemini Tija ÄLSAK, Mate UD, Diametro 31.6mm, Longitud 300mm, Laminado DC performance - GE06-00-UMP-31.6-300</t>
  </si>
  <si>
    <t>Gemini Tija ÄLSAK, Mate UD, Diametro 31.6mm, Longitud 300mm, Laminado XC lightweight - GE06-00-UML-31.6-300</t>
  </si>
  <si>
    <t>Gemini Tija ÄLSAK, Mate UD, Diametro 31.6mm, Longitud 350mm, Laminado DC performance - GE06-00-UMP-31.6-350</t>
  </si>
  <si>
    <t>Gemini Tija ÄLSAK, Mate UD, Diametro 31.6mm, Longitud 350mm, Laminado XC lightweight - GE06-00-UML-31.6-350</t>
  </si>
  <si>
    <t>Gemini Tija ÄLSAK, Mate UD, Diametro 31.6mm, Longitud 400mm, Laminado DC performance - GE06-00-UMP-31.6-400</t>
  </si>
  <si>
    <t>Gemini Tija ÄLSAK, Mate UD, Diametro 31.6mm, Longitud 400mm, Laminado XC lightweight - GE06-00-UML-31.6-400</t>
  </si>
  <si>
    <t>GForm E-Line codera - Negro - Talla M</t>
  </si>
  <si>
    <t>GForm E-Line rodillera - Azul - Talla L</t>
  </si>
  <si>
    <t>GForm ProRugged Knee Guards Protector de rodilla - Negro Talla L</t>
  </si>
  <si>
    <t xml:space="preserve">Giro Hcr Team Black / Dark Shadow </t>
  </si>
  <si>
    <t>IndustryNine Maza frontal 1/1 CL, 110X15 boost</t>
  </si>
  <si>
    <t>IndustryNine Maza frontal 1/1 CL, 110X15 boost, 28h, negro</t>
  </si>
  <si>
    <t>IndustryNine Maza frontal 1/1 CL, 110X15 boost, 32h, negro</t>
  </si>
  <si>
    <t>IndustryNine Maza frontal 1/1 IS, 6 pernos, 110X15 boost</t>
  </si>
  <si>
    <t>IndustryNine Maza frontal 1/1 IS, 6 pernos, 110X15 boost, 28h, negro</t>
  </si>
  <si>
    <t>IndustryNine Maza frontal 1/1 IS, 6 pernos, 110X15 boost, 32h, negro</t>
  </si>
  <si>
    <t>IndustryNine Maza frontal HYDRA CL, 110x15 boost</t>
  </si>
  <si>
    <t>IndustryNine Maza frontal HYDRA CL, 110x15 boost, 28h, azul</t>
  </si>
  <si>
    <t>IndustryNine Maza frontal HYDRA CL, 110x15 boost, 28h, fucsia</t>
  </si>
  <si>
    <t>IndustryNine Maza frontal HYDRA CL, 110x15 boost, 28h, naranja</t>
  </si>
  <si>
    <t>IndustryNine Maza frontal HYDRA CL, 110x15 boost, 28h, negro</t>
  </si>
  <si>
    <t>IndustryNine Maza frontal HYDRA CL, 110x15 boost, 28h, oro</t>
  </si>
  <si>
    <t>IndustryNine Maza frontal HYDRA CL, 110x15 boost, 28h, plata</t>
  </si>
  <si>
    <t>IndustryNine Maza frontal HYDRA CL, 110x15 boost, 28h, purpura</t>
  </si>
  <si>
    <t>IndustryNine Maza frontal HYDRA CL, 110x15 boost, 28h, rojo</t>
  </si>
  <si>
    <t>IndustryNine Maza frontal HYDRA CL, 110x15 boost, 28h, turquesa</t>
  </si>
  <si>
    <t>IndustryNine Maza frontal HYDRA CL, 110x15 boost, 28h, verde</t>
  </si>
  <si>
    <t>IndustryNine Maza frontal HYDRA CL, 110x15 boost, 28h, verde lima</t>
  </si>
  <si>
    <t>IndustryNine Maza frontal HYDRA CL, 110x15 boost, 32h, azul</t>
  </si>
  <si>
    <t>IndustryNine Maza frontal HYDRA CL, 110x15 boost, 32h, fucsia</t>
  </si>
  <si>
    <t>IndustryNine Maza frontal HYDRA CL, 110x15 boost, 32h, naranja</t>
  </si>
  <si>
    <t>IndustryNine Maza frontal HYDRA CL, 110x15 boost, 32h, negro</t>
  </si>
  <si>
    <t>IndustryNine Maza frontal HYDRA CL, 110x15 boost, 32h, oro</t>
  </si>
  <si>
    <t>IndustryNine Maza frontal HYDRA CL, 110x15 boost, 32h, plata</t>
  </si>
  <si>
    <t>IndustryNine Maza frontal HYDRA CL, 110x15 boost, 32h, purpura</t>
  </si>
  <si>
    <t>IndustryNine Maza frontal HYDRA CL, 110x15 boost, 32h, rojo</t>
  </si>
  <si>
    <t>IndustryNine Maza frontal HYDRA CL, 110x15 boost, 32h, turquesa</t>
  </si>
  <si>
    <t>IndustryNine Maza frontal HYDRA CL, 110x15 boost, 32h, verde</t>
  </si>
  <si>
    <t>IndustryNine Maza frontal HYDRA CL, 110x15 boost, 32h, verde lima</t>
  </si>
  <si>
    <t>IndustryNine Maza frontal HYDRA IS, 6 pernos, 110x15 boost</t>
  </si>
  <si>
    <t>IndustryNine Maza frontal HYDRA IS, 6 pernos, 110x15 boost, 28h, azul</t>
  </si>
  <si>
    <t>IndustryNine Maza frontal HYDRA IS, 6 pernos, 110x15 boost, 28h, fucsia</t>
  </si>
  <si>
    <t>IndustryNine Maza frontal HYDRA IS, 6 pernos, 110x15 boost, 28h, naranja</t>
  </si>
  <si>
    <t>IndustryNine Maza frontal HYDRA IS, 6 pernos, 110x15 boost, 28h, negro</t>
  </si>
  <si>
    <t>IndustryNine Maza frontal HYDRA IS, 6 pernos, 110x15 boost, 28h, oro</t>
  </si>
  <si>
    <t>IndustryNine Maza frontal HYDRA IS, 6 pernos, 110x15 boost, 28h, plata</t>
  </si>
  <si>
    <t>IndustryNine Maza frontal HYDRA IS, 6 pernos, 110x15 boost, 28h, purpura</t>
  </si>
  <si>
    <t>IndustryNine Maza frontal HYDRA IS, 6 pernos, 110x15 boost, 28h, rojo</t>
  </si>
  <si>
    <t>IndustryNine Maza frontal HYDRA IS, 6 pernos, 110x15 boost, 28h, turquesa</t>
  </si>
  <si>
    <t>IndustryNine Maza frontal HYDRA IS, 6 pernos, 110x15 boost, 28h, verde</t>
  </si>
  <si>
    <t>IndustryNine Maza frontal HYDRA IS, 6 pernos, 110x15 boost, 28h, verde lima</t>
  </si>
  <si>
    <t>IndustryNine Maza frontal HYDRA IS, 6 pernos, 110x15 boost, 32h, azul</t>
  </si>
  <si>
    <t>IndustryNine Maza frontal HYDRA IS, 6 pernos, 110x15 boost, 32h, fucsia</t>
  </si>
  <si>
    <t>IndustryNine Maza frontal HYDRA IS, 6 pernos, 110x15 boost, 32h, naranja</t>
  </si>
  <si>
    <t>IndustryNine Maza frontal HYDRA IS, 6 pernos, 110x15 boost, 32h, negro</t>
  </si>
  <si>
    <t>IndustryNine Maza frontal HYDRA IS, 6 pernos, 110x15 boost, 32h, oro</t>
  </si>
  <si>
    <t>IndustryNine Maza frontal HYDRA IS, 6 pernos, 110x15 boost, 32h, plata</t>
  </si>
  <si>
    <t>IndustryNine Maza frontal HYDRA IS, 6 pernos, 110x15 boost, 32h, purpura</t>
  </si>
  <si>
    <t>IndustryNine Maza frontal HYDRA IS, 6 pernos, 110x15 boost, 32h, rojo</t>
  </si>
  <si>
    <t>IndustryNine Maza frontal HYDRA IS, 6 pernos, 110x15 boost, 32h, turquesa</t>
  </si>
  <si>
    <t>IndustryNine Maza frontal HYDRA IS, 6 pernos, 110x15 boost, 32h, verde</t>
  </si>
  <si>
    <t>IndustryNine Maza frontal HYDRA IS, 6 pernos, 110x15 boost, 32h, verde lima</t>
  </si>
  <si>
    <t>IndustryNine Maza posterior HYDRA CL, 148x12 boost</t>
  </si>
  <si>
    <t>IndustryNine Maza posterior HYDRA CL, 148x12 boost ,microspline, 28h, purpura</t>
  </si>
  <si>
    <t>IndustryNine Maza posterior HYDRA CL, 148x12 boost ,microspline, 32h, negro</t>
  </si>
  <si>
    <t>IndustryNine Maza posterior HYDRA CL, 148x12 boost ,microspline, 32h, purpura</t>
  </si>
  <si>
    <t>IndustryNine Maza posterior HYDRA CL, 148x12 boost, microspline, 28h, azul</t>
  </si>
  <si>
    <t>IndustryNine Maza posterior HYDRA CL, 148x12 boost, microspline, 28h, fucsia</t>
  </si>
  <si>
    <t>IndustryNine Maza posterior HYDRA CL, 148x12 boost, microspline, 28h, naranja</t>
  </si>
  <si>
    <t>IndustryNine Maza posterior HYDRA CL, 148x12 boost, microspline, 28h, negro</t>
  </si>
  <si>
    <t>IndustryNine Maza posterior HYDRA CL, 148x12 boost, microspline, 28h, oro</t>
  </si>
  <si>
    <t>IndustryNine Maza posterior HYDRA CL, 148x12 boost, microspline, 28h, plata</t>
  </si>
  <si>
    <t>IndustryNine Maza posterior HYDRA CL, 148x12 boost, microspline, 28h, rojo</t>
  </si>
  <si>
    <t>IndustryNine Maza posterior HYDRA CL, 148x12 boost, microspline, 28h, turquesa</t>
  </si>
  <si>
    <t>IndustryNine Maza posterior HYDRA CL, 148x12 boost, microspline, 28h, verde</t>
  </si>
  <si>
    <t>IndustryNine Maza posterior HYDRA CL, 148x12 boost, microspline, 28h, verde lima</t>
  </si>
  <si>
    <t>IndustryNine Maza posterior HYDRA CL, 148x12 boost, microspline, 32h, azul</t>
  </si>
  <si>
    <t>IndustryNine Maza posterior HYDRA CL, 148x12 boost, microspline, 32h, fucsia</t>
  </si>
  <si>
    <t>IndustryNine Maza posterior HYDRA CL, 148x12 boost, microspline, 32h, naranja</t>
  </si>
  <si>
    <t>IndustryNine Maza posterior HYDRA CL, 148x12 boost, microspline, 32h, oro</t>
  </si>
  <si>
    <t>IndustryNine Maza posterior HYDRA CL, 148x12 boost, microspline, 32h, plata</t>
  </si>
  <si>
    <t>IndustryNine Maza posterior HYDRA CL, 148x12 boost, microspline, 32h, rojo</t>
  </si>
  <si>
    <t>IndustryNine Maza posterior HYDRA CL, 148x12 boost, microspline, 32h, turquesa</t>
  </si>
  <si>
    <t>IndustryNine Maza posterior HYDRA CL, 148x12 boost, microspline, 32h, verde</t>
  </si>
  <si>
    <t>IndustryNine Maza posterior HYDRA CL, 148x12 boost, microspline, 32h, verde lima</t>
  </si>
  <si>
    <t>IndustryNine Maza posterior HYDRA CL, 148x12 boost, sram xd, 28h, azul</t>
  </si>
  <si>
    <t>IndustryNine Maza posterior HYDRA CL, 148x12 boost, sram xd, 28h, fucsia</t>
  </si>
  <si>
    <t>IndustryNine Maza posterior HYDRA CL, 148x12 boost, sram xd, 28h, naranja</t>
  </si>
  <si>
    <t>IndustryNine Maza posterior HYDRA CL, 148x12 boost, sram xd, 28h, negro</t>
  </si>
  <si>
    <t>IndustryNine Maza posterior HYDRA CL, 148x12 boost, sram xd, 28h, oro</t>
  </si>
  <si>
    <t>IndustryNine Maza posterior HYDRA CL, 148x12 boost, sram xd, 28h, plata</t>
  </si>
  <si>
    <t>IndustryNine Maza posterior HYDRA CL, 148x12 boost, sram xd, 28h, rojo</t>
  </si>
  <si>
    <t>IndustryNine Maza posterior HYDRA CL, 148x12 boost, sram xd, 28h, turquesa</t>
  </si>
  <si>
    <t>IndustryNine Maza posterior HYDRA CL, 148x12 boost, sram xd, 28h, verde</t>
  </si>
  <si>
    <t>IndustryNine Maza posterior HYDRA CL, 148x12 boost, sram xd, 28h, verde lima</t>
  </si>
  <si>
    <t>IndustryNine Maza posterior HYDRA CL, 148x12 boost, sram xd, 28h, verde purpura</t>
  </si>
  <si>
    <t>IndustryNine Maza posterior HYDRA CL, 148x12 boost, sram xd, 32h, azul</t>
  </si>
  <si>
    <t>IndustryNine Maza posterior HYDRA CL, 148x12 boost, sram xd, 32h, centerlock, turquesa</t>
  </si>
  <si>
    <t>IndustryNine Maza posterior HYDRA CL, 148x12 boost, sram xd, 32h, fucsia</t>
  </si>
  <si>
    <t>IndustryNine Maza posterior HYDRA CL, 148x12 boost, sram xd, 32h, naranja</t>
  </si>
  <si>
    <t>IndustryNine Maza posterior HYDRA CL, 148x12 boost, sram xd, 32h, negro</t>
  </si>
  <si>
    <t>IndustryNine Maza posterior HYDRA CL, 148x12 boost, sram xd, 32h, oro</t>
  </si>
  <si>
    <t>IndustryNine Maza posterior HYDRA CL, 148x12 boost, sram xd, 32h, plata</t>
  </si>
  <si>
    <t>IndustryNine Maza posterior HYDRA CL, 148x12 boost, sram xd, 32h, purpura</t>
  </si>
  <si>
    <t>IndustryNine Maza posterior HYDRA CL, 148x12 boost, sram xd, 32h, rojo</t>
  </si>
  <si>
    <t>IndustryNine Maza posterior HYDRA CL, 148x12 boost, sram xd, 32h, verde</t>
  </si>
  <si>
    <t>IndustryNine Maza posterior HYDRA CL, 148x12 boost, sram xd, 32h, verde lima</t>
  </si>
  <si>
    <t>IndustryNine Maza posterior HYDRA IS, 6 pernos, 148x12 boost</t>
  </si>
  <si>
    <t>IndustryNine Maza posterior HYDRA IS, 6 pernos, 148x12 boost, microspline, 28h, azul</t>
  </si>
  <si>
    <t>IndustryNine Maza posterior HYDRA IS, 6 pernos, 148x12 boost, microspline, 28h, fucsia</t>
  </si>
  <si>
    <t>IndustryNine Maza posterior HYDRA IS, 6 pernos, 148x12 boost, microspline, 28h, naranja</t>
  </si>
  <si>
    <t>IndustryNine Maza posterior HYDRA IS, 6 pernos, 148x12 boost, microspline, 28h, negro</t>
  </si>
  <si>
    <t>IndustryNine Maza posterior HYDRA IS, 6 pernos, 148x12 boost, microspline, 28h, oro</t>
  </si>
  <si>
    <t>IndustryNine Maza posterior HYDRA IS, 6 pernos, 148x12 boost, microspline, 28h, plata</t>
  </si>
  <si>
    <t>IndustryNine Maza posterior HYDRA IS, 6 pernos, 148x12 boost, microspline, 28h, purpura</t>
  </si>
  <si>
    <t>IndustryNine Maza posterior HYDRA IS, 6 pernos, 148x12 boost, microspline, 28h, rojo</t>
  </si>
  <si>
    <t>IndustryNine Maza posterior HYDRA IS, 6 pernos, 148x12 boost, microspline, 28h, turquesa</t>
  </si>
  <si>
    <t>IndustryNine Maza posterior HYDRA IS, 6 pernos, 148x12 boost, microspline, 28h, verde</t>
  </si>
  <si>
    <t>IndustryNine Maza posterior HYDRA IS, 6 pernos, 148x12 boost, microspline, 28h, verde lima</t>
  </si>
  <si>
    <t>IndustryNine Maza posterior HYDRA IS, 6 pernos, 148x12 boost, microspline, 32h, azul</t>
  </si>
  <si>
    <t>IndustryNine Maza posterior HYDRA IS, 6 pernos, 148x12 boost, microspline, 32h, fucsia</t>
  </si>
  <si>
    <t>IndustryNine Maza posterior HYDRA IS, 6 pernos, 148x12 boost, microspline, 32h, naranja</t>
  </si>
  <si>
    <t>IndustryNine Maza posterior HYDRA IS, 6 pernos, 148x12 boost, microspline, 32h, negro</t>
  </si>
  <si>
    <t>IndustryNine Maza posterior HYDRA IS, 6 pernos, 148x12 boost, microspline, 32h, oro</t>
  </si>
  <si>
    <t>IndustryNine Maza posterior HYDRA IS, 6 pernos, 148x12 boost, microspline, 32h, plata</t>
  </si>
  <si>
    <t>IndustryNine Maza posterior HYDRA IS, 6 pernos, 148x12 boost, microspline, 32h, purpura</t>
  </si>
  <si>
    <t>IndustryNine Maza posterior HYDRA IS, 6 pernos, 148x12 boost, microspline, 32h, rojo</t>
  </si>
  <si>
    <t>IndustryNine Maza posterior HYDRA IS, 6 pernos, 148x12 boost, microspline, 32h, turquesa</t>
  </si>
  <si>
    <t>IndustryNine Maza posterior HYDRA IS, 6 pernos, 148x12 boost, microspline, 32h, verde</t>
  </si>
  <si>
    <t>IndustryNine Maza posterior HYDRA IS, 6 pernos, 148x12 boost, microspline, 32h, verde lima</t>
  </si>
  <si>
    <t>IndustryNine Maza posterior HYDRA IS, 6 pernos, 148x12 boost, sram xd, 28h, azul</t>
  </si>
  <si>
    <t>IndustryNine Maza posterior HYDRA IS, 6 pernos, 148x12 boost, sram xd, 28h, fucsia</t>
  </si>
  <si>
    <t>IndustryNine Maza posterior HYDRA IS, 6 pernos, 148x12 boost, sram xd, 28h, naranja</t>
  </si>
  <si>
    <t>IndustryNine Maza posterior HYDRA IS, 6 pernos, 148x12 boost, sram xd, 28h, negro</t>
  </si>
  <si>
    <t>IndustryNine Maza posterior HYDRA IS, 6 pernos, 148x12 boost, sram xd, 28h, oro</t>
  </si>
  <si>
    <t>IndustryNine Maza posterior HYDRA IS, 6 pernos, 148x12 boost, sram xd, 28h, plata</t>
  </si>
  <si>
    <t>IndustryNine Maza posterior HYDRA IS, 6 pernos, 148x12 boost, sram xd, 28h, purpura</t>
  </si>
  <si>
    <t>IndustryNine Maza posterior HYDRA IS, 6 pernos, 148x12 boost, sram xd, 28h, rojo</t>
  </si>
  <si>
    <t>IndustryNine Maza posterior HYDRA IS, 6 pernos, 148x12 boost, sram xd, 28h, turquesa</t>
  </si>
  <si>
    <t>IndustryNine Maza posterior HYDRA IS, 6 pernos, 148x12 boost, sram xd, 28h, verde</t>
  </si>
  <si>
    <t>IndustryNine Maza posterior HYDRA IS, 6 pernos, 148x12 boost, sram xd, 28h, verde lima</t>
  </si>
  <si>
    <t>IndustryNine Maza posterior HYDRA IS, 6 pernos, 148x12 boost, sram xd, 32h, azul</t>
  </si>
  <si>
    <t>IndustryNine Maza posterior HYDRA IS, 6 pernos, 148x12 boost, sram xd, 32h, fucsia</t>
  </si>
  <si>
    <t>IndustryNine Maza posterior HYDRA IS, 6 pernos, 148x12 boost, sram xd, 32h, naranja</t>
  </si>
  <si>
    <t>IndustryNine Maza posterior HYDRA IS, 6 pernos, 148x12 boost, sram xd, 32h, negro</t>
  </si>
  <si>
    <t>IndustryNine Maza posterior HYDRA IS, 6 pernos, 148x12 boost, sram xd, 32h, oro</t>
  </si>
  <si>
    <t>IndustryNine Maza posterior HYDRA IS, 6 pernos, 148x12 boost, sram xd, 32h, plata</t>
  </si>
  <si>
    <t>IndustryNine Maza posterior HYDRA IS, 6 pernos, 148x12 boost, sram xd, 32h, purpura</t>
  </si>
  <si>
    <t>IndustryNine Maza posterior HYDRA IS, 6 pernos, 148x12 boost, sram xd, 32h, rojo</t>
  </si>
  <si>
    <t>IndustryNine Maza posterior HYDRA IS, 6 pernos, 148x12 boost, sram xd, 32h, turquesa</t>
  </si>
  <si>
    <t>IndustryNine Maza posterior HYDRA IS, 6 pernos, 148x12 boost, sram xd, 32h, verde</t>
  </si>
  <si>
    <t>IndustryNine Maza posterior HYDRA IS, 6 pernos, 148x12 boost, sram xd, 32h, verde lima</t>
  </si>
  <si>
    <t>ION BD-Socks 2.0 Black Talla: 35-38</t>
  </si>
  <si>
    <t>ION BD-Socks 2.0 Black Talla: 39-42</t>
  </si>
  <si>
    <t xml:space="preserve">ION BD-Socks 2.0 Black Talla: 39-42 v1 </t>
  </si>
  <si>
    <t>ION BD-Socks 2.0 Black Talla: 43-46</t>
  </si>
  <si>
    <t>ION BD-Socks 2.0 Indigo Dawn Talla: 39-42</t>
  </si>
  <si>
    <t>ION BD-Socks 2.0 Indigo Dawn Talla: 43-46</t>
  </si>
  <si>
    <t>ION BD-Socks 2.0 inside blue Talla: 43-46</t>
  </si>
  <si>
    <t>ION BD-Socks 2.0 mud brown Talla: 43-46</t>
  </si>
  <si>
    <t>ION BD-Socks 2.0 multicolor Talla: 43-46</t>
  </si>
  <si>
    <t>ION BD-Socks 2.0 Shallow Green Talla: 39-42</t>
  </si>
  <si>
    <t>ION BD-Socks 2.0 Shallow Green Talla: 43-46</t>
  </si>
  <si>
    <t>ION BD-Socks 2.0 thunder grey Talla: 39-42</t>
  </si>
  <si>
    <t>ION BD-Socks 2.0 thunder grey Talla: 43-46</t>
  </si>
  <si>
    <t>Ion zapatilla Scrub Amp 2022 Negro Talla 44</t>
  </si>
  <si>
    <t>Jsport Alicates corta cables y fundas</t>
  </si>
  <si>
    <t>Jsport Guía de corte del tubo de la horquilla</t>
  </si>
  <si>
    <t>JuiceLubes Bearing Juice Multi-Purpose, Grasa de litio 500 ml</t>
  </si>
  <si>
    <t>KEdge soporte Adjustable para Garmin en potencia - negro</t>
  </si>
  <si>
    <t>KRNKS Luz trasera 5 funciones Waterproff - circular</t>
  </si>
  <si>
    <t>KRNKS Luz trasera 5 funciones Waterproff - corazon</t>
  </si>
  <si>
    <t>Levelnine Pro Team 31.8 Carbon 10 Riser 785mm</t>
  </si>
  <si>
    <t>Levelnine Pro Team 35 Carbon 15 Riser 785mm</t>
  </si>
  <si>
    <t>Levelnine Team AM MTB 31.8mm - 40mm</t>
  </si>
  <si>
    <t>Levelnine Team Carbon Stealth 350 m 31,6 mm / 350 mm / SB 12 mm</t>
  </si>
  <si>
    <t>LooseRiders C/S MTB Grips - Red &amp; Black Diámetro: 29.6 mm</t>
  </si>
  <si>
    <t>LooseRiders C/S MTB Grips - Rosa &amp; Negro Diámetro: 29.6 mm</t>
  </si>
  <si>
    <t>Magura Abrazadera Aluminio, Amarillo neon (1 unid) - 2700751</t>
  </si>
  <si>
    <t>Magura Abrazadera Aluminio, Cian-Azul (1 unid) - 2700753</t>
  </si>
  <si>
    <t>Magura Abrazadera Aluminio, Cromado (1 unid) - 2701244</t>
  </si>
  <si>
    <t>Magura Abrazadera Aluminio, Negro (1 unid) - 2702054</t>
  </si>
  <si>
    <t>Magura Abrazadera Aluminio, Plateado (1 unid) - 2702069</t>
  </si>
  <si>
    <t>Magura Abrazadera Aluminio, Rojo neon (1 unid) - 2700752</t>
  </si>
  <si>
    <t>Magura Abrazadera Carbotecture, Negro mate (1 unid) - 2700136</t>
  </si>
  <si>
    <t>Magura Abrazadera Carbotecture, Plateado (1 unid) - 2700137</t>
  </si>
  <si>
    <t>Magura Abrazadera Shiftmix 1+2 para Shimano I-Spec I+II, Negro, Derecho (1 unid) - 2701954</t>
  </si>
  <si>
    <t>Magura Abrazadera Shiftmix 1+2 para Shimano I-Spec I+II, Negro, Izquierdo (1 unid) - 2701953</t>
  </si>
  <si>
    <t>Magura Abrazadera Shiftmix 1+2 para Shimano I-Spec I+II, Plateado, Derecho (1 unid) - 2702065</t>
  </si>
  <si>
    <t>Magura Abrazadera Shiftmix 1+2 para Shimano I-Spec I+II, Plateado, Izquierdo (1 unid) - 2702064</t>
  </si>
  <si>
    <t>Magura Abrazadera Shiftmix 3 para Sram Matchmaker, Negro, Derecho (1 unid) -2701951</t>
  </si>
  <si>
    <t>Magura Abrazadera Shiftmix 3 para Sram Matchmaker, Negro, Izquierdo (1 unid) - 2701950</t>
  </si>
  <si>
    <t>Magura Abrazadera Shiftmix 3 para Sram Matchmaker, Plateado, Derecho (1 unid) - 2702068</t>
  </si>
  <si>
    <t>Magura Abrazadera Shiftmix 3 para Sram Matchmaker, Plateado, Izquierdo (1 unid) - 2702067</t>
  </si>
  <si>
    <t>Magura Abrazadera Shiftmix 4 para Shimano I-Spec EV, Negro, Derecho (1 unid) - 2702191</t>
  </si>
  <si>
    <t>Magura Abrazadera Shiftmix 4 para Shimano I-Spec EV, Negro, Izquierdo (1 unid) - 2702190</t>
  </si>
  <si>
    <t>Magura Caliper HS33/HS11, M6/M8, negro (1 unid) - 0724477</t>
  </si>
  <si>
    <t>Magura Caliper HS33/HS11, M6/M8, plateado (1 unid) - 0724478</t>
  </si>
  <si>
    <t>Magura Disco 5 pernos MDR-A 160 mm, 5 horificios con 5 pernos (1 unid) - 2702915</t>
  </si>
  <si>
    <t>Magura Disco 5 pernos MDR-A 180 mm, 5 horificios con 5 pernos (1 unid) - 2702916</t>
  </si>
  <si>
    <t>Magura Disco Centerlock MDR-A 160 mm con lockring para eje pasante (1 unid) - 2702913</t>
  </si>
  <si>
    <t>Magura Disco Centerlock MDR-A 180 mm con lockring para eje pasante (1 unid) - 2702914</t>
  </si>
  <si>
    <t xml:space="preserve">Magura Disco Centerlock MDR-C </t>
  </si>
  <si>
    <t>Magura Disco Centerlock MDR-C 160 mm con lockring para eje pasante (1 unid) - 2702235</t>
  </si>
  <si>
    <t>Magura Disco Centerlock MDR-C 160 mm con lockring para eje quick release (1 unid) - 2702234</t>
  </si>
  <si>
    <t>Magura Disco Centerlock MDR-C 180 mm con lockring para eje pasante (1 unid) - 2702237</t>
  </si>
  <si>
    <t>Magura Disco Centerlock MDR-C 180 mm con lockring para eje quick release (1 unid) - 2702236</t>
  </si>
  <si>
    <t>Magura Disco Centerlock MDR-C 203 mm con lockring para eje pasante (1 unid) - 2702239</t>
  </si>
  <si>
    <t>Magura Disco Centerlock MDR-C 203 mm con lockring para eje quick release (1 unid) - 2702238</t>
  </si>
  <si>
    <t xml:space="preserve">Magura Disco Centerlock MDR-P </t>
  </si>
  <si>
    <t>Magura Disco Centerlock MDR-P 180 mm con lockring para eje pasante (1 unid) - 2702228</t>
  </si>
  <si>
    <t>Magura Disco Centerlock MDR-P 203 mm con lockring para eje pasante (1 unid) - 2702230</t>
  </si>
  <si>
    <t>Magura Disco Centerlock Storm 160 mm con lockring para eje pasante (1 unid) - 2701446</t>
  </si>
  <si>
    <t>Magura Disco Centerlock Storm 160 mm con lockring para eje quick release (1 unid) - 2701370</t>
  </si>
  <si>
    <t>Magura Disco Centerlock Storm 180 mm con lockring para eje pasante (1 unid) - 2701447</t>
  </si>
  <si>
    <t>Magura Disco Centerlock Storm 180 mm con lockring para eje quick release (1 unid) - 2701371</t>
  </si>
  <si>
    <t>Magura Disco Centerlock Storm 203 mm con lockring para eje pasante (1 unid) - 2701448</t>
  </si>
  <si>
    <t>Magura Disco Centerlock Storm 203 mm con lockring para eje quick release (1 unid) - 2701372</t>
  </si>
  <si>
    <t>Magura Disco MDR-A 160 mm, 6 horificios con 6 pernos (1 unid) - 2702911</t>
  </si>
  <si>
    <t>Magura Disco MDR-A 180 mm, 6 horificios con 6 pernos (1 unid) - 2702912</t>
  </si>
  <si>
    <t>Magura Disco MDR-C 160 mm, 6 horificios con 6 pernos (1 unid) - 2701917</t>
  </si>
  <si>
    <t>Magura Disco MDR-C 180 mm, 6 horificios con 6 pernos (1 unid) - 2701918</t>
  </si>
  <si>
    <t>Magura Disco MDR-C 203 mm, 6 horificios con 6 pernos (1 unid) - 2701919</t>
  </si>
  <si>
    <t>Magura Disco MDR-C 220 mm, 6 horificios con 6 pernos (1 unid) - 2702935</t>
  </si>
  <si>
    <t>Magura Disco MDR-P 180 mm, 6 horificios con 6 pernos, nunca usar con adaptador Centerlock (1 unid) - 2701937</t>
  </si>
  <si>
    <t>Magura Disco MDR-P 203 mm, 6 horificios con 6 pernos, nunca usar con adaptador Centerlock (1 unid) - 2701938</t>
  </si>
  <si>
    <t>Magura Disco MDR-P 220 mm, 6 horificios con 6 pernos, nunca usar con adaptador Centerlock (1 unid) - 2701939</t>
  </si>
  <si>
    <t>Magura Disco MDR-S 180mm, 2.5mm, GUSTAV, 6 horificios con 6 pernos (1 unid) - 2703069</t>
  </si>
  <si>
    <t>Magura Disco MDR-S 203mm, 2.5mm, GUSTAV, 6 horificios con 6 pernos (1 unid) - 2703070</t>
  </si>
  <si>
    <t xml:space="preserve">Magura Disco Storm HC </t>
  </si>
  <si>
    <t>Magura Disco Storm HC 140 mm, 6 horificios con 6 pernos (1 unid) - 2402115</t>
  </si>
  <si>
    <t>Magura Disco Storm HC 160 mm, 6 horificios con 6 pernos (1 unid) - 2700928</t>
  </si>
  <si>
    <t>Magura Disco Storm HC 180 mm, 6 horificios con 6 pernos (1 unid) - 2700929</t>
  </si>
  <si>
    <t>Magura Disco Storm HC 203 mm, 6 horificios con 6 pernos (1 unid) - 2700930</t>
  </si>
  <si>
    <t>Magura Disco Storm Rohloff-Speedhub 160 mm, 4 horificios (1 unid) - 0724805</t>
  </si>
  <si>
    <t>Magura Disco Storm Rohloff-Speedhub 180 mm, 4 horificios (1 unid) - 0724806</t>
  </si>
  <si>
    <t xml:space="preserve">Magura Disco Storm SL.2 </t>
  </si>
  <si>
    <t>Magura Disco Storm SL.2 160 mm, 6 horificios con 6 pernos (1 unid) - 2701348</t>
  </si>
  <si>
    <t>Magura Disco Storm SL.2 180 mm, 6 horificios con 6 pernos (1 unid) - 2701349</t>
  </si>
  <si>
    <t>Magura Freno MT A2 derecha, palanca de 3 dedos Carbotecture, 2200mm, 2 pistones (1 unid) - 2703224</t>
  </si>
  <si>
    <t>Magura Freno MT A2 izquierda, palanca de 3 dedos Carbotecture, 1200mm, 2 pistones (1 unid) - 2703222</t>
  </si>
  <si>
    <t>MAGURA Herramienta de instalación a presión de pin (PU = 1 pieza) - 2702819</t>
  </si>
  <si>
    <t>MAGURA Herramienta de prensado de oliva (PU = 1 pieza) - 2702824</t>
  </si>
  <si>
    <t>Magura Jersey YellowCamo Freeride Manga Corta, L (1 unid) - 2702102</t>
  </si>
  <si>
    <t>Magura Jersey YellowCamo Freeride Manga Corta, M (1 unid) - 2702101</t>
  </si>
  <si>
    <t>Magura Jersey YellowCamo Freeride Manga Corta, S (1 unid) - 2702100</t>
  </si>
  <si>
    <t>Magura Jersey YellowCamo Freeride Manga Corta, XL (1 unid) - 2702103</t>
  </si>
  <si>
    <t>Magura Jersey YellowCamo Freeride Manga Corta, XXL (1 unid) - 2702104</t>
  </si>
  <si>
    <t>Magura Jersey YellowCamo Freeride Manga Larga, L (1 unid) - 2702108</t>
  </si>
  <si>
    <t>Magura Jersey YellowCamo Freeride Manga Larga, M (1 unid) - 2702107</t>
  </si>
  <si>
    <t>Magura Jersey YellowCamo Freeride Manga Larga, S (1 unid) - 2702106</t>
  </si>
  <si>
    <t>Magura Jersey YellowCamo Freeride Manga Larga, XL (1 unid) - 2702109</t>
  </si>
  <si>
    <t>Magura Jersey YellowCamo Freeride Manga Larga, XXL (1 unid) - 2702110</t>
  </si>
  <si>
    <t xml:space="preserve">Magura Juego de conexiones de purga Gustav Pro </t>
  </si>
  <si>
    <t>Magura kit de anillos para calipers de 2 pistones, Azul, Rojo neon, Amarillo neon (2 unid de cada color) - 2701239</t>
  </si>
  <si>
    <t>Magura kit de anillos para calipers de 2 pistones, Blanco, Oro, Plata (2 unid de cada color) - 2701723</t>
  </si>
  <si>
    <t>Magura kit de anillos para calipers de 2 pistones, Purpura, Rojo, Rosa neon (2 unid de cada color) - 2701722</t>
  </si>
  <si>
    <t>Magura kit de anillos para calipers de 2 pistones, Verde neon, Cian, Verde menta (2 unid de cada color) - 2701724</t>
  </si>
  <si>
    <t>Magura kit de anillos para calipers de 4 pistones, Azul, Rojo neon, Amarillo neon (4 unid de cada color) - 2701240</t>
  </si>
  <si>
    <t>Magura kit de anillos para calipers de 4 pistones, Blanco, Oro, Plata (4 unid de cada color) - 2701720</t>
  </si>
  <si>
    <t>Magura kit de anillos para calipers de 4 pistones, Purpura, Rojo, Rosa neon (4 unid de cada color) - 2701719</t>
  </si>
  <si>
    <t>Magura kit de anillos para calipers de 4 pistones, Verde neon, Cian, Verde menta (4 unid de cada color) - 2701721</t>
  </si>
  <si>
    <t>Magura Maneta MT A2 derecha, palanca de 3 dedos Carbotecture (1 unid) - 2702920</t>
  </si>
  <si>
    <t>Magura Maneta MT A2 izquierda, palanca de 3 dedos Carbotecture (1 unid) - 2702919</t>
  </si>
  <si>
    <t>Magura Pastillas 10.A con clip de retención y pasador dividido, para un caliper MT A2 (1 set) - 2702917</t>
  </si>
  <si>
    <t xml:space="preserve">Maxxis Assegai WT 29x2.50" TR EXO 3C MaxxTerra 60 </t>
  </si>
  <si>
    <t>MolonLabe Chase Strong - MTB Shorts mit Polster verde</t>
  </si>
  <si>
    <t>Mondraker bicicleta Chaser 2025, 29, atomic orange, talla L</t>
  </si>
  <si>
    <t>Mondraker bicicleta Chaser 2025, 29, atomic orange, talla M</t>
  </si>
  <si>
    <t>Mondraker bicicleta Chaser 2025, 29, atomic orange, talla S</t>
  </si>
  <si>
    <t>Mondraker bicicleta Crafty Carbon R 2025, 29, bunker grey, talla M</t>
  </si>
  <si>
    <t>Mondraker bicicleta Crafty Carbon R 2025, 29, bunker grey, talla ML</t>
  </si>
  <si>
    <t>Mondraker bicicleta Sly R 2025, 29, marlin blue, talla ML</t>
  </si>
  <si>
    <t>Mondraker bicicleta Sly R 2025, 29, marlin blue, talla S</t>
  </si>
  <si>
    <t>Mondraker bicicleta Summum RR 2025, Mullet, carrera blue, talla M</t>
  </si>
  <si>
    <t>Mondraker bicicleta Summum RR 2025, Mullet, carrera blue, talla S</t>
  </si>
  <si>
    <t>Mondraker cuadro Podium RR SL 2025, 29, carrera blue, talla M</t>
  </si>
  <si>
    <t>Mondraker cuadro Podium RR SL 2025, 29, carrera blue, talla S</t>
  </si>
  <si>
    <t>Mondraker Polera Company black, L</t>
  </si>
  <si>
    <t>Mondraker Polera Company black, M</t>
  </si>
  <si>
    <t>Mondraker Polera Company black, S</t>
  </si>
  <si>
    <t>Mondraker Polera Company black, XL</t>
  </si>
  <si>
    <t>Mondraker Polera Company black, XS</t>
  </si>
  <si>
    <t>Mondraker Polera Company black, XXL</t>
  </si>
  <si>
    <t>Mondraker Polo Company black, L</t>
  </si>
  <si>
    <t>Mondraker Polo Company black, M</t>
  </si>
  <si>
    <t>Mondraker Polo Company black, S</t>
  </si>
  <si>
    <t>Mondraker Polo Company black, XL</t>
  </si>
  <si>
    <t>Mondraker Polo Company black, XS</t>
  </si>
  <si>
    <t>Mondraker Polo Company black, XXS</t>
  </si>
  <si>
    <t>Mondraker Polo manga larga Company L/S, Teal Green, L</t>
  </si>
  <si>
    <t>Mondraker Polo manga larga Company L/S, Teal Green, M</t>
  </si>
  <si>
    <t>Mondraker Polo manga larga Company L/S, Teal Green, S</t>
  </si>
  <si>
    <t>Mondraker Polo manga larga Company L/S, Teal Green, XL</t>
  </si>
  <si>
    <t>Mondraker Polo manga larga Company L/S, Teal Green, XS</t>
  </si>
  <si>
    <t>Mondraker Polo manga larga Company L/S, Teal Green, XXL</t>
  </si>
  <si>
    <t>Mondraker Polo manga larga Company L/S, Teal Green, XXS</t>
  </si>
  <si>
    <t>Mondraker Polo manga larga Company L/S, Vortex Grey, L</t>
  </si>
  <si>
    <t>Mondraker Polo manga larga Company L/S, Vortex Grey, M</t>
  </si>
  <si>
    <t>Mondraker Polo manga larga Company L/S, Vortex Grey, S</t>
  </si>
  <si>
    <t>Mondraker Polo manga larga Company L/S, Vortex Grey, XL</t>
  </si>
  <si>
    <t>Mondraker Polo manga larga Company L/S, Vortex Grey, XS</t>
  </si>
  <si>
    <t>Mondraker Polo manga larga Company L/S, Vortex Grey, XXL</t>
  </si>
  <si>
    <t>Mondraker Polo manga larga Company L/S, Vortex Grey, XXS</t>
  </si>
  <si>
    <t>MucOff CO2 Inflator Kit para ruta</t>
  </si>
  <si>
    <t>MucOff Kit protecciones para Discos para frenos</t>
  </si>
  <si>
    <t>MucOff Limpiador bio nano tech bike cleaner</t>
  </si>
  <si>
    <t>MucOff Lubricante Seco, Dry lube - 120ml</t>
  </si>
  <si>
    <t xml:space="preserve">MucOff UST Válvula tubeless mtb Fucsia 44mm </t>
  </si>
  <si>
    <t>Northwave Rebel 3 Zapatillas - iridescent 90 - Talla 43.5</t>
  </si>
  <si>
    <t>NSBikes Manillar Lick, 25.4mm, 740mm</t>
  </si>
  <si>
    <t>NSBikes Manillar Lick, 25.4mm, 740mm, Marrón</t>
  </si>
  <si>
    <t>NSBikes Manillar Lick, 25.4mm, 740mm, Negro Rojo</t>
  </si>
  <si>
    <t>OakComponents Abrazadera de Tija Orbit</t>
  </si>
  <si>
    <t>OakComponents Abrazadera de Tija Orbit, 30.0mm, azul</t>
  </si>
  <si>
    <t>OakComponents Abrazadera de Tija Orbit, 30.0mm, cobre</t>
  </si>
  <si>
    <t>OakComponents Abrazadera de Tija Orbit, 30.0mm, gris lunar</t>
  </si>
  <si>
    <t>OakComponents Abrazadera de Tija Orbit, 30.0mm, naranja</t>
  </si>
  <si>
    <t>OakComponents Abrazadera de Tija Orbit, 30.0mm, negro</t>
  </si>
  <si>
    <t>OakComponents Abrazadera de Tija Orbit, 30.0mm, oro</t>
  </si>
  <si>
    <t>OakComponents Abrazadera de Tija Orbit, 30.0mm, plata</t>
  </si>
  <si>
    <t>OakComponents Abrazadera de Tija Orbit, 30.0mm, purpura</t>
  </si>
  <si>
    <t>OakComponents Abrazadera de Tija Orbit, 30.0mm, rojo</t>
  </si>
  <si>
    <t>OakComponents Abrazadera de Tija Orbit, 30.0mm, verde</t>
  </si>
  <si>
    <t>OakComponents Abrazadera de Tija Orbit, 31.8mm, azul</t>
  </si>
  <si>
    <t>OakComponents Abrazadera de Tija Orbit, 31.8mm, cobre</t>
  </si>
  <si>
    <t>OakComponents Abrazadera de Tija Orbit, 31.8mm, gris lunar</t>
  </si>
  <si>
    <t>OakComponents Abrazadera de Tija Orbit, 31.8mm, naranja</t>
  </si>
  <si>
    <t>OakComponents Abrazadera de Tija Orbit, 31.8mm, negro</t>
  </si>
  <si>
    <t>OakComponents Abrazadera de Tija Orbit, 31.8mm, oro</t>
  </si>
  <si>
    <t>OakComponents Abrazadera de Tija Orbit, 31.8mm, plata</t>
  </si>
  <si>
    <t>OakComponents Abrazadera de Tija Orbit, 31.8mm, purpura</t>
  </si>
  <si>
    <t>OakComponents Abrazadera de Tija Orbit, 31.8mm, rojo</t>
  </si>
  <si>
    <t>OakComponents Abrazadera de Tija Orbit, 31.8mm, verde</t>
  </si>
  <si>
    <t>OakComponents Abrazadera de Tija Orbit, 34.9mm, azul</t>
  </si>
  <si>
    <t>OakComponents Abrazadera de Tija Orbit, 34.9mm, cobre</t>
  </si>
  <si>
    <t>OakComponents Abrazadera de Tija Orbit, 34.9mm, gris lunar</t>
  </si>
  <si>
    <t>OakComponents Abrazadera de Tija Orbit, 34.9mm, naranja</t>
  </si>
  <si>
    <t>OakComponents Abrazadera de Tija Orbit, 34.9mm, negro</t>
  </si>
  <si>
    <t>OakComponents Abrazadera de Tija Orbit, 34.9mm, oro</t>
  </si>
  <si>
    <t>OakComponents Abrazadera de Tija Orbit, 34.9mm, plata</t>
  </si>
  <si>
    <t>OakComponents Abrazadera de Tija Orbit, 34.9mm, purpura</t>
  </si>
  <si>
    <t>OakComponents Abrazadera de Tija Orbit, 34.9mm, rojo</t>
  </si>
  <si>
    <t>OakComponents Abrazadera de Tija Orbit, 34.9mm, verde</t>
  </si>
  <si>
    <t>OakComponents Abrazadera de Tija Orbit, 36.4mm, azul</t>
  </si>
  <si>
    <t>OakComponents Abrazadera de Tija Orbit, 36.4mm, cobre</t>
  </si>
  <si>
    <t>OakComponents Abrazadera de Tija Orbit, 36.4mm, gris lunar</t>
  </si>
  <si>
    <t>OakComponents Abrazadera de Tija Orbit, 36.4mm, naranja</t>
  </si>
  <si>
    <t>OakComponents Abrazadera de Tija Orbit, 36.4mm, negro</t>
  </si>
  <si>
    <t>OakComponents Abrazadera de Tija Orbit, 36.4mm, oro</t>
  </si>
  <si>
    <t>OakComponents Abrazadera de Tija Orbit, 36.4mm, plata</t>
  </si>
  <si>
    <t>OakComponents Abrazadera de Tija Orbit, 36.4mm, purpura</t>
  </si>
  <si>
    <t>OakComponents Abrazadera de Tija Orbit, 36.4mm, rojo</t>
  </si>
  <si>
    <t>OakComponents Abrazadera de Tija Orbit, 36.4mm, verde</t>
  </si>
  <si>
    <t>OakComponents Abrazadera de Tija Orbit, 38.5mm, azul</t>
  </si>
  <si>
    <t>OakComponents Abrazadera de Tija Orbit, 38.5mm, cobre</t>
  </si>
  <si>
    <t>OakComponents Abrazadera de Tija Orbit, 38.5mm, gris lunar</t>
  </si>
  <si>
    <t>OakComponents Abrazadera de Tija Orbit, 38.5mm, naranja</t>
  </si>
  <si>
    <t>OakComponents Abrazadera de Tija Orbit, 38.5mm, negro</t>
  </si>
  <si>
    <t>OakComponents Abrazadera de Tija Orbit, 38.5mm, oro</t>
  </si>
  <si>
    <t>OakComponents Abrazadera de Tija Orbit, 38.5mm, plata</t>
  </si>
  <si>
    <t>OakComponents Abrazadera de Tija Orbit, 38.5mm, purpura</t>
  </si>
  <si>
    <t>OakComponents Abrazadera de Tija Orbit, 38.5mm, rojo</t>
  </si>
  <si>
    <t>OakComponents Abrazadera de Tija Orbit, 38.5mm, verde</t>
  </si>
  <si>
    <t>OakComponents adaptador de disco de freno</t>
  </si>
  <si>
    <t>OakComponents adaptador de disco de freno +20mm, azul</t>
  </si>
  <si>
    <t>OakComponents adaptador de disco de freno +20mm, cobre</t>
  </si>
  <si>
    <t>OakComponents adaptador de disco de freno +20mm, fucsia</t>
  </si>
  <si>
    <t>OakComponents adaptador de disco de freno +20mm, gris lunar</t>
  </si>
  <si>
    <t>OakComponents adaptador de disco de freno +20mm, naranja</t>
  </si>
  <si>
    <t>OakComponents adaptador de disco de freno +20mm, negro</t>
  </si>
  <si>
    <t>OakComponents adaptador de disco de freno +20mm, oro</t>
  </si>
  <si>
    <t>OakComponents adaptador de disco de freno +20mm, oro efectivo</t>
  </si>
  <si>
    <t>OakComponents adaptador de disco de freno +20mm, plata</t>
  </si>
  <si>
    <t>OakComponents adaptador de disco de freno +20mm, purpura</t>
  </si>
  <si>
    <t>OakComponents adaptador de disco de freno +20mm, rojo</t>
  </si>
  <si>
    <t>OakComponents adaptador de disco de freno +20mm, verde</t>
  </si>
  <si>
    <t>OakComponents adaptador de disco de freno +23mm, azul</t>
  </si>
  <si>
    <t>OakComponents adaptador de disco de freno +23mm, cobre</t>
  </si>
  <si>
    <t>OakComponents adaptador de disco de freno +23mm, fucsia</t>
  </si>
  <si>
    <t>OakComponents adaptador de disco de freno +23mm, gris lunar</t>
  </si>
  <si>
    <t>OakComponents adaptador de disco de freno +23mm, naranja</t>
  </si>
  <si>
    <t>OakComponents adaptador de disco de freno +23mm, negro</t>
  </si>
  <si>
    <t>OakComponents adaptador de disco de freno +23mm, oro</t>
  </si>
  <si>
    <t>OakComponents adaptador de disco de freno +23mm, oro efectivo</t>
  </si>
  <si>
    <t>OakComponents adaptador de disco de freno +23mm, plata</t>
  </si>
  <si>
    <t>OakComponents adaptador de disco de freno +23mm, purpura</t>
  </si>
  <si>
    <t>OakComponents adaptador de disco de freno +23mm, rojo</t>
  </si>
  <si>
    <t>OakComponents adaptador de disco de freno +23mm, verde</t>
  </si>
  <si>
    <t>OakComponents Adaptador de Disco de Freno +40/43 mm, azul</t>
  </si>
  <si>
    <t>OakComponents Adaptador de Disco de Freno +40/43 mm, cobre</t>
  </si>
  <si>
    <t>OakComponents Adaptador de Disco de Freno +40/43 mm, fucsia</t>
  </si>
  <si>
    <t>OakComponents Adaptador de Disco de Freno +40/43 mm, gris lunar</t>
  </si>
  <si>
    <t>OakComponents Adaptador de Disco de Freno +40/43 mm, naranja</t>
  </si>
  <si>
    <t>OakComponents Adaptador de Disco de Freno +40/43 mm, negro</t>
  </si>
  <si>
    <t>OakComponents Adaptador de Disco de Freno +40/43 mm, oro</t>
  </si>
  <si>
    <t>OakComponents Adaptador de Disco de Freno +40/43 mm, oro efectivo</t>
  </si>
  <si>
    <t>OakComponents Adaptador de Disco de Freno +40/43 mm, plata</t>
  </si>
  <si>
    <t>OakComponents Adaptador de Disco de Freno +40/43 mm, purpura</t>
  </si>
  <si>
    <t>OakComponents Adaptador de Disco de Freno +40/43 mm, rojo</t>
  </si>
  <si>
    <t>OakComponents Adaptador de Disco de Freno +40/43 mm, verde</t>
  </si>
  <si>
    <t>OakComponents juego de palancas Magura</t>
  </si>
  <si>
    <t>OakComponents juego de palancas Magura, gris lunar</t>
  </si>
  <si>
    <t>OakComponents juego de palancas Magura, negro</t>
  </si>
  <si>
    <t>OakComponents juego de palancas Magura, plata</t>
  </si>
  <si>
    <t>OakComponents juego de palancas Shimano</t>
  </si>
  <si>
    <t>OakComponents juego de palancas Shimano, azul</t>
  </si>
  <si>
    <t>OakComponents juego de palancas Shimano, cobre</t>
  </si>
  <si>
    <t>OakComponents juego de palancas Shimano, fucsia</t>
  </si>
  <si>
    <t>OakComponents juego de palancas Shimano, gris lunar</t>
  </si>
  <si>
    <t>OakComponents juego de palancas Shimano, naranja</t>
  </si>
  <si>
    <t>OakComponents juego de palancas Shimano, negro</t>
  </si>
  <si>
    <t>OakComponents juego de palancas Shimano, oro</t>
  </si>
  <si>
    <t>OakComponents juego de palancas Shimano, oro efectivo</t>
  </si>
  <si>
    <t>OakComponents juego de palancas Shimano, plata</t>
  </si>
  <si>
    <t>OakComponents juego de palancas Shimano, purpura</t>
  </si>
  <si>
    <t>OakComponents juego de palancas Shimano, rojo</t>
  </si>
  <si>
    <t>OakComponents juego de palancas Shimano, verde</t>
  </si>
  <si>
    <t>OakComponents juego de palancas Sram</t>
  </si>
  <si>
    <t>OakComponents juego de palancas Sram, azul</t>
  </si>
  <si>
    <t>OakComponents juego de palancas Sram, cobre</t>
  </si>
  <si>
    <t>OakComponents juego de palancas Sram, fucsia</t>
  </si>
  <si>
    <t>OakComponents juego de palancas Sram, gris lunar</t>
  </si>
  <si>
    <t>OakComponents juego de palancas Sram, naranja</t>
  </si>
  <si>
    <t>OakComponents juego de palancas Sram, negro</t>
  </si>
  <si>
    <t>OakComponents juego de palancas Sram, oro</t>
  </si>
  <si>
    <t>OakComponents juego de palancas Sram, oro efectivo</t>
  </si>
  <si>
    <t>OakComponents juego de palancas Sram, plata</t>
  </si>
  <si>
    <t>OakComponents juego de palancas Sram, purpura</t>
  </si>
  <si>
    <t>OakComponents juego de palancas Sram, verde</t>
  </si>
  <si>
    <t>OakComponents juego de palancas Sram. rojo</t>
  </si>
  <si>
    <t>OakComponents juego de palancas TRP</t>
  </si>
  <si>
    <t>OakComponents juego de palancas TRP, cobre</t>
  </si>
  <si>
    <t>OakComponents juego de palancas TRP, gris lunar</t>
  </si>
  <si>
    <t>OakComponents juego de palancas TRP, negro</t>
  </si>
  <si>
    <t>OakComponents juego de palancas TRP, plata</t>
  </si>
  <si>
    <t>OakComponents kit de cubierta para manetas Magura carbotecture SL</t>
  </si>
  <si>
    <t>OakComponents kit de cubierta para manetas Magura carbotecture SL, Anillos anual</t>
  </si>
  <si>
    <t>OakComponents kit de cubierta para manetas Magura carbotecture SL, Logo OAK</t>
  </si>
  <si>
    <t>OakComponents kit de cubierta para manetas Magura carbotecture SL, OAK clasico</t>
  </si>
  <si>
    <t>OakComponents kit de cubierta para manetas Magura carbotecture SL, OAK espacial</t>
  </si>
  <si>
    <t>OakComponents Kit de protección contra flexiones Magura (2 und)</t>
  </si>
  <si>
    <t>OakComponents Kit de protección contra flexiones Magura (2 und), gris lunar</t>
  </si>
  <si>
    <t>OakComponents Kit de protección contra flexiones Magura (2 und), negro</t>
  </si>
  <si>
    <t>OakComponents Kit de protección contra flexiones Magura (2 und), plata</t>
  </si>
  <si>
    <t>OakComponents Kit de tornillos de titanio M5X16 (6 und)</t>
  </si>
  <si>
    <t>OakComponents Kit de tornillos de titanio M5X16 (6 und), azul</t>
  </si>
  <si>
    <t>OakComponents Kit de tornillos de titanio M5X16 (6 und), cobre</t>
  </si>
  <si>
    <t>OakComponents Kit de tornillos de titanio M5X16 (6 und), negro</t>
  </si>
  <si>
    <t>OakComponents Kit de tornillos de titanio M5X16 (6 und), oro</t>
  </si>
  <si>
    <t>OakComponents Kit de tornillos de titanio M5X16 (6 und), plata</t>
  </si>
  <si>
    <t>OakComponents Kit de tornillos de titanio M5X16 (6 und), purpura</t>
  </si>
  <si>
    <t>OakComponents Kit de tornillos de titanio M5X16 (6 und), tornasol</t>
  </si>
  <si>
    <t>OakComponents Kit de tornillos de titanio M5X16 (6 und), verde</t>
  </si>
  <si>
    <t>OakComponents Kit de tornillos de titanio M6X30 M6X35 (2 und)</t>
  </si>
  <si>
    <t>OakComponents Kit de tornillos de titanio M6X30 M6X35 (2 und), azul</t>
  </si>
  <si>
    <t>OakComponents Kit de tornillos de titanio M6X30 M6X35 (2 und), cobre</t>
  </si>
  <si>
    <t>OakComponents Kit de tornillos de titanio M6X30 M6X35 (2 und), negro</t>
  </si>
  <si>
    <t>OakComponents Kit de tornillos de titanio M6X30 M6X35 (2 und), oro</t>
  </si>
  <si>
    <t>OakComponents Kit de tornillos de titanio M6X30 M6X35 (2 und), plata</t>
  </si>
  <si>
    <t>OakComponents Kit de tornillos de titanio M6X30 M6X35 (2 und), purpura</t>
  </si>
  <si>
    <t>OakComponents Kit de tornillos de titanio M6X30 M6X35 (2 und), tornasol</t>
  </si>
  <si>
    <t>OakComponents Kit de tornillos de titanio M6X30 M6X35 (2 und), verde</t>
  </si>
  <si>
    <t>OakComponents Kit de Tornillos RLP Magura (4 piezas)</t>
  </si>
  <si>
    <t>OakComponents Kit de Tornillos RLP Magura (4 piezas), azul</t>
  </si>
  <si>
    <t>OakComponents Kit de Tornillos RLP Magura (4 piezas), cobre</t>
  </si>
  <si>
    <t>OakComponents Kit de Tornillos RLP Magura (4 piezas), gris lunar</t>
  </si>
  <si>
    <t>OakComponents Kit de Tornillos RLP Magura (4 piezas), naranja</t>
  </si>
  <si>
    <t>OakComponents Kit de Tornillos RLP Magura (4 piezas), negro</t>
  </si>
  <si>
    <t>OakComponents Kit de Tornillos RLP Magura (4 piezas), oro</t>
  </si>
  <si>
    <t>OakComponents Kit de Tornillos RLP Magura (4 piezas), oro efectivo</t>
  </si>
  <si>
    <t>OakComponents Kit de Tornillos RLP Magura (4 piezas), plata</t>
  </si>
  <si>
    <t>OakComponents Kit de Tornillos RLP Magura (4 piezas), purpura</t>
  </si>
  <si>
    <t>OakComponents Kit de Tornillos RLP Magura (4 piezas), rojo</t>
  </si>
  <si>
    <t>OakComponents Kit de Tornillos RLP Magura (4 piezas), verde</t>
  </si>
  <si>
    <t>OakComponents Pastillas HyperStop para Caliper Magura MT 4 Pistones (1 set = 4 pastillas)</t>
  </si>
  <si>
    <t>OakComponents Pastillas HyperStop para Caliper Shimano / TRP / Tektro 4 Pistones (1 set = 2 pastillas + resorte)</t>
  </si>
  <si>
    <t>OakComponents Pastillas HyperStop para Caliper SRAM Code / DB8 (1 set = 2 pastillas + resorte)</t>
  </si>
  <si>
    <t>OakComponents Pastillas HyperStop para Caliper SRAM Maven (1 set = 2 pastillas + resorte)</t>
  </si>
  <si>
    <t>OakComponents Plato Amulet</t>
  </si>
  <si>
    <t>OakComponents Plato Amulet, SHIMANO direct mount, offset 3 mm, 30 dientes, negro</t>
  </si>
  <si>
    <t>OakComponents Plato Amulet, SHIMANO direct mount, offset 3 mm, 30 dientes, plata</t>
  </si>
  <si>
    <t>OakComponents Plato Amulet, SHIMANO direct mount, offset 3 mm, 32 dientes, negro</t>
  </si>
  <si>
    <t>OakComponents Plato Amulet, SHIMANO direct mount, offset 3 mm, 32 dientes, plata</t>
  </si>
  <si>
    <t>OakComponents Plato Amulet, SHIMANO direct mount, offset 3 mm, 34 dientes, negro</t>
  </si>
  <si>
    <t>OakComponents Plato Amulet, SHIMANO direct mount, offset 3 mm, 34 dientes, plata</t>
  </si>
  <si>
    <t>OakComponents Plato Amulet, SRAM 3 tornillos, offset 3 mm, 30 dientes, negro</t>
  </si>
  <si>
    <t>OakComponents Plato Amulet, SRAM 3 tornillos, offset 3 mm, 30 dientes, plata</t>
  </si>
  <si>
    <t>OakComponents Plato Amulet, SRAM 3 tornillos, offset 3 mm, 32 dientes, negro</t>
  </si>
  <si>
    <t>OakComponents Plato Amulet, SRAM 3 tornillos, offset 3 mm, 32 dientes, plata</t>
  </si>
  <si>
    <t>OakComponents Plato Amulet, SRAM 3 tornillos, offset 3 mm, 34 dientes, negro</t>
  </si>
  <si>
    <t>OakComponents Plato Amulet, SRAM 3 tornillos, offset 3 mm, 34 dientes, plata</t>
  </si>
  <si>
    <t>OakComponents Plato Amulet, SRAM 8 tornillos, offset 3 mm, 30 dientes, negro</t>
  </si>
  <si>
    <t>OakComponents Plato Amulet, SRAM 8 tornillos, offset 3 mm, 30 dientes, plata</t>
  </si>
  <si>
    <t>OakComponents Plato Amulet, SRAM 8 tornillos, offset 3 mm, 32 dientes, negro</t>
  </si>
  <si>
    <t>OakComponents Plato Amulet, SRAM 8 tornillos, offset 3 mm, 32 dientes, plata</t>
  </si>
  <si>
    <t>OakComponents Plato Amulet, SRAM 8 tornillos, offset 3 mm, 34 dientes, negro</t>
  </si>
  <si>
    <t>OakComponents Plato Amulet, SRAM 8 tornillos, offset 3 mm, 34 dientes, plata</t>
  </si>
  <si>
    <t>OakComponents Polera Ride Hoodie</t>
  </si>
  <si>
    <t>OakComponents Polera Ride Hoodie, L</t>
  </si>
  <si>
    <t>OakComponents Polera Ride Hoodie, M</t>
  </si>
  <si>
    <t>OakComponents Polera Ride Hoodie, S</t>
  </si>
  <si>
    <t>OakComponents Polera Ride Hoodie, XL</t>
  </si>
  <si>
    <t>OakComponents Polera Ride Hoodie, XXL</t>
  </si>
  <si>
    <t>OakComponents Polera Ride Hoodie, XXXL</t>
  </si>
  <si>
    <t>OakComponents Polo Better Brakes</t>
  </si>
  <si>
    <t>OakComponents Polo Better Brakes, L</t>
  </si>
  <si>
    <t>OakComponents Polo Better Brakes, M</t>
  </si>
  <si>
    <t>OakComponents Polo Better Brakes, S</t>
  </si>
  <si>
    <t>OakComponents Polo Better Brakes, XL</t>
  </si>
  <si>
    <t>OakComponents Polo Better Brakes, XXL</t>
  </si>
  <si>
    <t>OakComponents Polo Better Brakes, XXXL</t>
  </si>
  <si>
    <t>OakComponents Polo NightCall</t>
  </si>
  <si>
    <t>OakComponents Polo NightCall, L</t>
  </si>
  <si>
    <t>OakComponents Polo NightCall, M</t>
  </si>
  <si>
    <t>OakComponents Polo NightCall, S</t>
  </si>
  <si>
    <t>OakComponents Polo NightCall, XL</t>
  </si>
  <si>
    <t>OakComponents Polo NightCall, XXL</t>
  </si>
  <si>
    <t>OakComponents Polo NightCall, XXXL</t>
  </si>
  <si>
    <t>OakComponents Polo Universe</t>
  </si>
  <si>
    <t>OakComponents Polo Universe, L</t>
  </si>
  <si>
    <t>OakComponents Polo Universe, M</t>
  </si>
  <si>
    <t>OakComponents Polo Universe, S</t>
  </si>
  <si>
    <t>OakComponents Polo Universe, XL</t>
  </si>
  <si>
    <t>OakComponents Polo Universe, XXL</t>
  </si>
  <si>
    <t>OakComponents Polo Universe, XXXL</t>
  </si>
  <si>
    <t>OakComponents Potencia Eternal</t>
  </si>
  <si>
    <t>OakComponents Potencia Eternal, 35mm, azul mistico</t>
  </si>
  <si>
    <t>OakComponents Potencia Eternal, 35mm, cobre</t>
  </si>
  <si>
    <t>OakComponents Potencia Eternal, 35mm, gris lunar</t>
  </si>
  <si>
    <t>OakComponents Potencia Eternal, 35mm, limitedgold</t>
  </si>
  <si>
    <t>OakComponents Potencia Eternal, 35mm, negro</t>
  </si>
  <si>
    <t>OakComponents Potencia Eternal, 35mm, oro efectivo</t>
  </si>
  <si>
    <t>OakComponents Potencia Eternal, 35mm, plata</t>
  </si>
  <si>
    <t>OakComponents Potencia Eternal, 42mm, azul mistico</t>
  </si>
  <si>
    <t>OakComponents Potencia Eternal, 42mm, cobre</t>
  </si>
  <si>
    <t>OakComponents Potencia Eternal, 42mm, gris lunar</t>
  </si>
  <si>
    <t>OakComponents Potencia Eternal, 42mm, limitedgold</t>
  </si>
  <si>
    <t>OakComponents Potencia Eternal, 42mm, negro</t>
  </si>
  <si>
    <t>OakComponents Potencia Eternal, 42mm, oro efectivo</t>
  </si>
  <si>
    <t>OakComponents Potencia Eternal, 42mm, plata</t>
  </si>
  <si>
    <t>OakComponents Protector de plato (Bashguard) 30T-34T ISCG 05</t>
  </si>
  <si>
    <t>OakComponents Protector de plato (Bashguard) 30T-34T ISCG 05, azul</t>
  </si>
  <si>
    <t>OakComponents Protector de plato (Bashguard) 30T-34T ISCG 05, cobre</t>
  </si>
  <si>
    <t>OakComponents Protector de plato (Bashguard) 30T-34T ISCG 05, gris lunar</t>
  </si>
  <si>
    <t>OakComponents Protector de plato (Bashguard) 30T-34T ISCG 05, naranja</t>
  </si>
  <si>
    <t>OakComponents Protector de plato (Bashguard) 30T-34T ISCG 05, negro</t>
  </si>
  <si>
    <t>OakComponents Protector de plato (Bashguard) 30T-34T ISCG 05, oro</t>
  </si>
  <si>
    <t>OakComponents Protector de plato (Bashguard) 30T-34T ISCG 05, plata</t>
  </si>
  <si>
    <t>OakComponents Protector de plato (Bashguard) 30T-34T ISCG 05, purpura</t>
  </si>
  <si>
    <t>OakComponents Protector de plato (Bashguard) 30T-34T ISCG 05, rojo</t>
  </si>
  <si>
    <t>OakComponents Protector de plato (Bashguard) 30T-34T ISCG 05, verde</t>
  </si>
  <si>
    <t>OakComponents Tapa de Horquilla HSC para Fox 34 / 36 / 38 / 40</t>
  </si>
  <si>
    <t>OakComponents Tapa de Horquilla HSC para Fox 34 / 36 / 38 / 40, cobre</t>
  </si>
  <si>
    <t>OakComponents Tapa de Horquilla HSC para Fox 34 / 36 / 38 / 40, fucsia</t>
  </si>
  <si>
    <t>OakComponents Tapa de Horquilla HSC para Fox 34 / 36 / 38 / 40, gris lunar</t>
  </si>
  <si>
    <t>OakComponents Tapa de Horquilla HSC para Fox 34 / 36 / 38 / 40, naranja</t>
  </si>
  <si>
    <t>OakComponents Tapa de Horquilla HSC para Fox 34 / 36 / 38 / 40, natural</t>
  </si>
  <si>
    <t>OakComponents Tapa de Horquilla HSC para Fox 34 / 36 / 38 / 40, negro</t>
  </si>
  <si>
    <t>OakComponents Tapa de Horquilla HSC para Fox 34 / 36 / 38 / 40, oro</t>
  </si>
  <si>
    <t>OakComponents Tapa de Horquilla HSC para Fox 34 / 36 / 38 / 40, oro efectivo</t>
  </si>
  <si>
    <t>OakComponents Tapa de Horquilla HSC para Fox 34 / 36 / 38 / 40, purpura</t>
  </si>
  <si>
    <t>OakComponents Tapa de Horquilla HSC para Fox 34 / 36 / 38 / 40, rojo</t>
  </si>
  <si>
    <t>OakComponents Tapa de Horquilla HSC para Fox 34 / 36 / 38 / 40, verde</t>
  </si>
  <si>
    <t>OakComponents Tapa de potencia eternal</t>
  </si>
  <si>
    <t>OakComponents Tapa de potencia eternal, azul</t>
  </si>
  <si>
    <t>OakComponents Tapa de potencia eternal, cobre</t>
  </si>
  <si>
    <t>OakComponents Tapa de potencia eternal, gris lunar</t>
  </si>
  <si>
    <t>OakComponents Tapa de potencia eternal, naranja</t>
  </si>
  <si>
    <t>OakComponents Tapa de potencia eternal, negro</t>
  </si>
  <si>
    <t>OakComponents Tapa de potencia eternal, oro</t>
  </si>
  <si>
    <t>OakComponents Tapa de potencia eternal, oro efectivo</t>
  </si>
  <si>
    <t>OakComponents Tapa de potencia eternal, plata</t>
  </si>
  <si>
    <t>OakComponents Tapa de potencia eternal, purpura</t>
  </si>
  <si>
    <t>OakComponents Tapa de potencia eternal, rojo</t>
  </si>
  <si>
    <t>OakComponents Tapa de potencia eternal, verde</t>
  </si>
  <si>
    <t>OakComponents Tapa de Válvula de Aire para Horquillas de Suspensión</t>
  </si>
  <si>
    <t>OakComponents Tapa de Válvula de Aire para Horquillas de Suspensión, cobre</t>
  </si>
  <si>
    <t>OakComponents Tapa de Válvula de Aire para Horquillas de Suspensión, fucsia</t>
  </si>
  <si>
    <t>OakComponents Tapa de Válvula de Aire para Horquillas de Suspensión, gris lunar</t>
  </si>
  <si>
    <t>OakComponents Tapa de Válvula de Aire para Horquillas de Suspensión, naranja</t>
  </si>
  <si>
    <t>OakComponents Tapa de Válvula de Aire para Horquillas de Suspensión, natural</t>
  </si>
  <si>
    <t>OakComponents Tapa de Válvula de Aire para Horquillas de Suspensión, negro</t>
  </si>
  <si>
    <t>OakComponents Tapa de Válvula de Aire para Horquillas de Suspensión, oro</t>
  </si>
  <si>
    <t>OakComponents Tapa de Válvula de Aire para Horquillas de Suspensión, oro efectivo</t>
  </si>
  <si>
    <t>OakComponents Tapa de Válvula de Aire para Horquillas de Suspensión, purpura</t>
  </si>
  <si>
    <t>OakComponents Tapa de Válvula de Aire para Horquillas de Suspensión, rojo</t>
  </si>
  <si>
    <t>OakComponents Tapa de Válvula de Aire para Horquillas de Suspensión, verde</t>
  </si>
  <si>
    <t>OakComponents Tapa Extractora de Bielas para SRAM DUB y OAK, M18 / M30LH</t>
  </si>
  <si>
    <t>OakComponents Tapa Extractora de Bielas para SRAM DUB y OAK, M18 / M30LH, azul</t>
  </si>
  <si>
    <t>OakComponents Tapa Extractora de Bielas para SRAM DUB y OAK, M18 / M30LH, cobre</t>
  </si>
  <si>
    <t>OakComponents Tapa Extractora de Bielas para SRAM DUB y OAK, M18 / M30LH, fucsia</t>
  </si>
  <si>
    <t>OakComponents Tapa Extractora de Bielas para SRAM DUB y OAK, M18 / M30LH, gris lunar</t>
  </si>
  <si>
    <t>OakComponents Tapa Extractora de Bielas para SRAM DUB y OAK, M18 / M30LH, naranja</t>
  </si>
  <si>
    <t>OakComponents Tapa Extractora de Bielas para SRAM DUB y OAK, M18 / M30LH, negro</t>
  </si>
  <si>
    <t>OakComponents Tapa Extractora de Bielas para SRAM DUB y OAK, M18 / M30LH, oro</t>
  </si>
  <si>
    <t>OakComponents Tapa Extractora de Bielas para SRAM DUB y OAK, M18 / M30LH, oro efectivo</t>
  </si>
  <si>
    <t>OakComponents Tapa Extractora de Bielas para SRAM DUB y OAK, M18 / M30LH, plata</t>
  </si>
  <si>
    <t>OakComponents Tapa Extractora de Bielas para SRAM DUB y OAK, M18 / M30LH, purpura</t>
  </si>
  <si>
    <t>OakComponents Tapa Extractora de Bielas para SRAM DUB y OAK, M18 / M30LH, rojo</t>
  </si>
  <si>
    <t>OakComponents Tapa Extractora de Bielas para SRAM DUB y OAK, M18 / M30LH, verde</t>
  </si>
  <si>
    <t>OakComponents Tornillo de titanio M5X16 (1 und)</t>
  </si>
  <si>
    <t>OakComponents Tornillo de titanio M5X16 (1 und), azul</t>
  </si>
  <si>
    <t>OakComponents Tornillo de titanio M5X16 (1 und), cobre</t>
  </si>
  <si>
    <t>OakComponents Tornillo de titanio M5X16 (1 und), negro</t>
  </si>
  <si>
    <t>OakComponents Tornillo de titanio M5X16 (1 und), oro</t>
  </si>
  <si>
    <t>OakComponents Tornillo de titanio M5X16 (1 und), plata</t>
  </si>
  <si>
    <t>OakComponents Tornillo de titanio M5X16 (1 und), purpura</t>
  </si>
  <si>
    <t>OakComponents Tornillo de titanio M5X16 (1 und), tornasol</t>
  </si>
  <si>
    <t>OakComponents Tornillo de titanio M5X16 (1 und), verde</t>
  </si>
  <si>
    <t>OakComponents Tornillos de Ajuste de Titanio para palancas de Frenos SRAM (2 unid)</t>
  </si>
  <si>
    <t>OakComponents Tornillos de Ajuste de Titanio para palancas de Frenos SRAM (2 unid), azul</t>
  </si>
  <si>
    <t>OakComponents Tornillos de Ajuste de Titanio para palancas de Frenos SRAM (2 unid), cobre</t>
  </si>
  <si>
    <t>OakComponents Tornillos de Ajuste de Titanio para palancas de Frenos SRAM (2 unid), natural</t>
  </si>
  <si>
    <t>OakComponents Tornillos de Ajuste de Titanio para palancas de Frenos SRAM (2 unid), negro</t>
  </si>
  <si>
    <t>OakComponents Tornillos de Ajuste de Titanio para palancas de Frenos SRAM (2 unid), oro</t>
  </si>
  <si>
    <t>OakComponents Tornillos de Ajuste de Titanio para palancas de Frenos SRAM (2 unid), purpura</t>
  </si>
  <si>
    <t>OakComponents Tornillos de Ajuste de Titanio para palancas de Frenos SRAM (2 unid), tornasol</t>
  </si>
  <si>
    <t>OakComponents Tornillos de Ajuste de Titanio para palancas de Frenos SRAM (2 unid), verde</t>
  </si>
  <si>
    <t>OakComponents Tornillos de Titanio de Purgado para manetas SRAM Aceite Mineral (4 unid)</t>
  </si>
  <si>
    <t>OakComponents Tornillos de Titanio de Purgado para manetas SRAM Aceite Mineral (4 unid), azul</t>
  </si>
  <si>
    <t>OakComponents Tornillos de Titanio de Purgado para manetas SRAM Aceite Mineral (4 unid), cobre</t>
  </si>
  <si>
    <t>OakComponents Tornillos de Titanio de Purgado para manetas SRAM Aceite Mineral (4 unid), natural</t>
  </si>
  <si>
    <t>OakComponents Tornillos de Titanio de Purgado para manetas SRAM Aceite Mineral (4 unid), negro</t>
  </si>
  <si>
    <t>OakComponents Tornillos de Titanio de Purgado para manetas SRAM Aceite Mineral (4 unid), oro</t>
  </si>
  <si>
    <t>OakComponents Tornillos de Titanio de Purgado para manetas SRAM Aceite Mineral (4 unid), purpura</t>
  </si>
  <si>
    <t>OakComponents Tornillos de Titanio de Purgado para manetas SRAM Aceite Mineral (4 unid), tornasol</t>
  </si>
  <si>
    <t>OakComponents Tornillos de Titanio de Purgado para manetas SRAM Aceite Mineral (4 unid), verde</t>
  </si>
  <si>
    <t>OakComponents Tornillos de Titanio de Purgado para manetas SRAM DOT (4 unid)</t>
  </si>
  <si>
    <t>OakComponents Tornillos de Titanio de Purgado para manetas SRAM DOT (4 unid), azul</t>
  </si>
  <si>
    <t>OakComponents Tornillos de Titanio de Purgado para manetas SRAM DOT (4 unid), cobre</t>
  </si>
  <si>
    <t>OakComponents Tornillos de Titanio de Purgado para manetas SRAM DOT (4 unid), natural</t>
  </si>
  <si>
    <t>OakComponents Tornillos de Titanio de Purgado para manetas SRAM DOT (4 unid), negro</t>
  </si>
  <si>
    <t>OakComponents Tornillos de Titanio de Purgado para manetas SRAM DOT (4 unid), oro</t>
  </si>
  <si>
    <t>OakComponents Tornillos de Titanio de Purgado para manetas SRAM DOT (4 unid), purpura</t>
  </si>
  <si>
    <t>OakComponents Tornillos de Titanio de Purgado para manetas SRAM DOT (4 unid), tornasol</t>
  </si>
  <si>
    <t>OakComponents Tornillos de Titanio de Purgado para manetas SRAM DOT (4 unid), verde</t>
  </si>
  <si>
    <t>OakComponents Tornillos de Titanio M3x9 para rodamiento de maneta SRAM y tapa HOPE (4 unid)</t>
  </si>
  <si>
    <t>OakComponents Tornillos de Titanio M3x9 para rodamiento de maneta SRAM y tapa HOPE (4 unid), azul</t>
  </si>
  <si>
    <t>OakComponents Tornillos de Titanio M3x9 para rodamiento de maneta SRAM y tapa HOPE (4 unid), cobre</t>
  </si>
  <si>
    <t>OakComponents Tornillos de Titanio M3x9 para rodamiento de maneta SRAM y tapa HOPE (4 unid), natural</t>
  </si>
  <si>
    <t>OakComponents Tornillos de Titanio M3x9 para rodamiento de maneta SRAM y tapa HOPE (4 unid), negro</t>
  </si>
  <si>
    <t>OakComponents Tornillos de Titanio M3x9 para rodamiento de maneta SRAM y tapa HOPE (4 unid), oro</t>
  </si>
  <si>
    <t>OakComponents Tornillos de Titanio M3x9 para rodamiento de maneta SRAM y tapa HOPE (4 unid), purpura</t>
  </si>
  <si>
    <t>OakComponents Tornillos de Titanio M3x9 para rodamiento de maneta SRAM y tapa HOPE (4 unid), tornasol</t>
  </si>
  <si>
    <t>OakComponents Tornillos de Titanio M3x9 para rodamiento de maneta SRAM y tapa HOPE (4 unid), verde</t>
  </si>
  <si>
    <t>OakComponents Tornillos de Titanio M4x9 para Platos de 8 Tornillos (8 unid)</t>
  </si>
  <si>
    <t>OakComponents Tornillos de Titanio M4x9 para Platos de 8 Tornillos (8 unid), azul</t>
  </si>
  <si>
    <t>OakComponents Tornillos de Titanio M4x9 para Platos de 8 Tornillos (8 unid), cobre</t>
  </si>
  <si>
    <t>OakComponents Tornillos de Titanio M4x9 para Platos de 8 Tornillos (8 unid), natural</t>
  </si>
  <si>
    <t>OakComponents Tornillos de Titanio M4x9 para Platos de 8 Tornillos (8 unid), negro</t>
  </si>
  <si>
    <t>OakComponents Tornillos de Titanio M4x9 para Platos de 8 Tornillos (8 unid), oro</t>
  </si>
  <si>
    <t>OakComponents Tornillos de Titanio M4x9 para Platos de 8 Tornillos (8 unid), purpura</t>
  </si>
  <si>
    <t>OakComponents Tornillos de Titanio M4x9 para Platos de 8 Tornillos (8 unid), tornasol</t>
  </si>
  <si>
    <t>OakComponents Tornillos de Titanio M4x9 para Platos de 8 Tornillos (8 unid), verde</t>
  </si>
  <si>
    <t>OakComponents Tornillos de Titanio M5x10 para Disco de Freno (6 unid)</t>
  </si>
  <si>
    <t>OakComponents Tornillos de Titanio M5x10 para Disco de Freno (6 unid), azul</t>
  </si>
  <si>
    <t>OakComponents Tornillos de Titanio M5x10 para Disco de Freno (6 unid), cobre</t>
  </si>
  <si>
    <t>OakComponents Tornillos de Titanio M5x10 para Disco de Freno (6 unid), natural</t>
  </si>
  <si>
    <t>OakComponents Tornillos de Titanio M5x10 para Disco de Freno (6 unid), negro</t>
  </si>
  <si>
    <t>OakComponents Tornillos de Titanio M5x10 para Disco de Freno (6 unid), oro</t>
  </si>
  <si>
    <t>OakComponents Tornillos de Titanio M5x10 para Disco de Freno (6 unid), purpura</t>
  </si>
  <si>
    <t>OakComponents Tornillos de Titanio M5x10 para Disco de Freno (6 unid), tornasol</t>
  </si>
  <si>
    <t>OakComponents Tornillos de Titanio M5x10 para Disco de Freno (6 unid), verde</t>
  </si>
  <si>
    <t>OakComponents Tornillos de Titanio M5x15 para Porta Botella (4 unid)</t>
  </si>
  <si>
    <t>OakComponents Tornillos de Titanio M5x15 para Porta Botella (4 unid), azul</t>
  </si>
  <si>
    <t>OakComponents Tornillos de Titanio M5x15 para Porta Botella (4 unid), cobre</t>
  </si>
  <si>
    <t>OakComponents Tornillos de Titanio M5x15 para Porta Botella (4 unid), natural</t>
  </si>
  <si>
    <t>OakComponents Tornillos de Titanio M5x15 para Porta Botella (4 unid), negro</t>
  </si>
  <si>
    <t>OakComponents Tornillos de Titanio M5x15 para Porta Botella (4 unid), oro</t>
  </si>
  <si>
    <t>OakComponents Tornillos de Titanio M5x15 para Porta Botella (4 unid), purpura</t>
  </si>
  <si>
    <t>OakComponents Tornillos de Titanio M5x15 para Porta Botella (4 unid), tornasol</t>
  </si>
  <si>
    <t>OakComponents Tornillos de Titanio M5x15 para Porta Botella (4 unid), verde</t>
  </si>
  <si>
    <t>OakComponents Tornillos de Titanio M5x25 para Abrazadera de Manillar SRAM (2 unid)</t>
  </si>
  <si>
    <t>OakComponents Tornillos de Titanio M5x25 para Abrazadera de Manillar SRAM (2 unid), azul</t>
  </si>
  <si>
    <t>OakComponents Tornillos de Titanio M5x25 para Abrazadera de Manillar SRAM (2 unid), cobre</t>
  </si>
  <si>
    <t>OakComponents Tornillos de Titanio M5x25 para Abrazadera de Manillar SRAM (2 unid), natural</t>
  </si>
  <si>
    <t>OakComponents Tornillos de Titanio M5x25 para Abrazadera de Manillar SRAM (2 unid), negro</t>
  </si>
  <si>
    <t>OakComponents Tornillos de Titanio M5x25 para Abrazadera de Manillar SRAM (2 unid), oro</t>
  </si>
  <si>
    <t>OakComponents Tornillos de Titanio M5x25 para Abrazadera de Manillar SRAM (2 unid), purpura</t>
  </si>
  <si>
    <t>OakComponents Tornillos de Titanio M5x25 para Abrazadera de Manillar SRAM (2 unid), tornasol</t>
  </si>
  <si>
    <t>OakComponents Tornillos de Titanio M5x25 para Abrazadera de Manillar SRAM (2 unid), verde</t>
  </si>
  <si>
    <t>OakComponents Tornillos de Titanio M6x16 para Adaptador de Freno (4 unid)</t>
  </si>
  <si>
    <t>OakComponents Tornillos de Titanio M6x16 para Adaptador de Freno (4 unid), azul</t>
  </si>
  <si>
    <t>OakComponents Tornillos de Titanio M6x16 para Adaptador de Freno (4 unid), cobre</t>
  </si>
  <si>
    <t>OakComponents Tornillos de Titanio M6x16 para Adaptador de Freno (4 unid), natural</t>
  </si>
  <si>
    <t>OakComponents Tornillos de Titanio M6x16 para Adaptador de Freno (4 unid), negro</t>
  </si>
  <si>
    <t>OakComponents Tornillos de Titanio M6x16 para Adaptador de Freno (4 unid), oro</t>
  </si>
  <si>
    <t>OakComponents Tornillos de Titanio M6x16 para Adaptador de Freno (4 unid), purpura</t>
  </si>
  <si>
    <t>OakComponents Tornillos de Titanio M6x16 para Adaptador de Freno (4 unid), tornasol</t>
  </si>
  <si>
    <t>OakComponents Tornillos de Titanio M6x16 para Adaptador de Freno (4 unid), verde</t>
  </si>
  <si>
    <t>ONeal Kamikaze Shorts black/white</t>
  </si>
  <si>
    <t>ONeal Pinned SPD Zapatillas MTB - neon yellow</t>
  </si>
  <si>
    <t>OneUpComponents Bash Guide ISCG 05 V2 negro</t>
  </si>
  <si>
    <t>OneUpComponents EDC Top Cap Tapa dirección</t>
  </si>
  <si>
    <t xml:space="preserve">OneUpComponents EDC V2 para horquilla Sistema integrado llave multiusos  </t>
  </si>
  <si>
    <t>OneUpComponents Grip Lock-On morado</t>
  </si>
  <si>
    <t>OneUpComponents Grip Lock-On naranja</t>
  </si>
  <si>
    <t>OneUpComponents Grip Lock-On negro</t>
  </si>
  <si>
    <t>OneUpComponents Grip Lock-On rojo</t>
  </si>
  <si>
    <t>OneUpComponents Grip Lock-On turquesa</t>
  </si>
  <si>
    <t>OneUpComponents Grip Lock-On verde</t>
  </si>
  <si>
    <t>OneUpComponents Pedales Flat Composite morado</t>
  </si>
  <si>
    <t>OneUpComponents Pedales Flat Composite naranja</t>
  </si>
  <si>
    <t>OneUpComponents Pedales Flat Composite negro</t>
  </si>
  <si>
    <t>OneUpComponents Pedales Flat Composite rojo</t>
  </si>
  <si>
    <t>OneUpComponents Pedales Flat Composite verde</t>
  </si>
  <si>
    <t>ParkTool BBT-59.2 Bottom Bracket Tool Grey 41 m</t>
  </si>
  <si>
    <t>ParkTool VP-1 Patch Kit</t>
  </si>
  <si>
    <t xml:space="preserve">Parrier Protector de descarillador. Negro </t>
  </si>
  <si>
    <t>Pedro’s Desllantador, amarillo</t>
  </si>
  <si>
    <t>Pirelli Cubierta Scorpion XC RC - LITE - Colour Edition - amarillo</t>
  </si>
  <si>
    <t>Pirelli Cubierta Scorpion XC RC - LITE - Colour Edition - amarillo - 29x2.20"</t>
  </si>
  <si>
    <t>Pirelli Cubierta Scorpion XC RC - LITE - Colour Edition - amarillo - 29x2.40"</t>
  </si>
  <si>
    <t xml:space="preserve">PIRELLI Cubierta Scorpion XC RC SmartGrip ProWall TL-Ready Color Gris 29 x 2.20 </t>
  </si>
  <si>
    <t xml:space="preserve">PIRELLI Cubierta Scorpion XC RC SmartGrip ProWall TL-Ready Color Gris 29 x 2.40 </t>
  </si>
  <si>
    <t xml:space="preserve">PIRELLI Cubierta Scorpion XC RC SmartGrip ProWall TL-Ready Color Marron, 29 x 2.40 </t>
  </si>
  <si>
    <t>RaceFace Aro ARC Heavy Duty, 30mm interior, 32h, gris</t>
  </si>
  <si>
    <t>RaceFace Aro ARC Heavy Duty, 30mm interior, 32h, gris, 27.5''</t>
  </si>
  <si>
    <t>RaceFace Aro ARC Heavy Duty, 30mm interior, 32h, gris,29''</t>
  </si>
  <si>
    <t>RaceFace Aro ARC Offset, 30mm interior, 28h, gris</t>
  </si>
  <si>
    <t>RaceFace Aro ARC Offset, 30mm interior, 28h, gris, 27.5''</t>
  </si>
  <si>
    <t>RaceFace Aro ARC Offset, 30mm interior, 28h, gris, 29''</t>
  </si>
  <si>
    <t>RaceFace Bielas Atlas, 165mm, negro</t>
  </si>
  <si>
    <t>RaceFace Bielas ERA carbono, eje 136mm, 160mm</t>
  </si>
  <si>
    <t>RaceFace Bielas ERA carbono, eje 136mm, 160mm, dorado</t>
  </si>
  <si>
    <t>RaceFace Bielas ERA carbono, eje 136mm, 160mm, negro</t>
  </si>
  <si>
    <t>RaceFace Bielas Turbine, 160mm, negro</t>
  </si>
  <si>
    <t>RaceFace Bielas Turbine, 160mm, negro, eje 136mm</t>
  </si>
  <si>
    <t>RaceFace Bielas Turbine, 160mm, negro, eje 143mm</t>
  </si>
  <si>
    <t>RaceFace Bottom Bracket BSA 68/73mm para eje 30mm, sellado externo</t>
  </si>
  <si>
    <t>RaceFace Bottom Bracket BSA 83mm para eje 30mm, sellado externo</t>
  </si>
  <si>
    <t>RaceFace Bottom Bracket PF30 68/73mm para eje 30mm, sellado externo</t>
  </si>
  <si>
    <t>RaceFace Chester Flat Pedals amarillo</t>
  </si>
  <si>
    <t>RaceFace Chester Flat Pedals rojo</t>
  </si>
  <si>
    <t>RaceFace Deus 2008 Bolt Puller Assembly Black One Size</t>
  </si>
  <si>
    <t>RaceFace Espaciador núcleo Vault, 0.7mm, plata</t>
  </si>
  <si>
    <t>RaceFace Getta Grip Grips 33mm</t>
  </si>
  <si>
    <t>RaceFace Grippler Lock-On Puños 30mm rojo</t>
  </si>
  <si>
    <t>RaceFace Grippler Lock-On Puños 30mm verde</t>
  </si>
  <si>
    <t>RaceFace Grippler Lock-On Puños 33mm gum</t>
  </si>
  <si>
    <t>RaceFace Grippler Lock-On Puños 33mm morado</t>
  </si>
  <si>
    <t>RaceFace Grippler Lock-On Puños 33mm naranja</t>
  </si>
  <si>
    <t>RaceFace Grippler Lock-On Puños 33mm turquesa</t>
  </si>
  <si>
    <t>RaceFace Half Nelson Puños de bicicleta amarillo</t>
  </si>
  <si>
    <t>RaceFace Half Nelson Puños de bicicleta gris</t>
  </si>
  <si>
    <t>RaceFace Half Nelson Puños de bicicleta naranja</t>
  </si>
  <si>
    <t>RaceFace Half Nelson Puños de bicicleta rojo</t>
  </si>
  <si>
    <t>RaceFace Half Nelson Puños de bicicleta turquesa</t>
  </si>
  <si>
    <t>RaceFace Half Nelson Puños de bicicleta verde</t>
  </si>
  <si>
    <t>RaceFace Indy Knee Rodilleras</t>
  </si>
  <si>
    <t>RaceFace Kit de eje pedales Atlas</t>
  </si>
  <si>
    <t>RaceFace Kit de eje pedales Chester 2024, incluye ejes y tuercas</t>
  </si>
  <si>
    <t>RaceFace Kit de pines pedales</t>
  </si>
  <si>
    <t>RaceFace Kit de pines pedales Chester 2024, 40 unidades</t>
  </si>
  <si>
    <t>RaceFace Kit de reconstrucción pedales Chester 2024, internos</t>
  </si>
  <si>
    <t>RaceFace Kit de retenes Vault frontal</t>
  </si>
  <si>
    <t>RaceFace Kit de rodamientos pedales Atlas</t>
  </si>
  <si>
    <t>RaceFace Kit de tapas laterales Vault frontal 414, 6 tornillos, 20x110 Boost</t>
  </si>
  <si>
    <t>RaceFace Kit de tapas laterales Vault trasero, 6 tornillos, 12x142/148/157</t>
  </si>
  <si>
    <t>RaceFace Kit de trinquetes y resortes Vault</t>
  </si>
  <si>
    <t>RaceFace Kit eje CINCH 30mm, 83mm, SIXC</t>
  </si>
  <si>
    <t>RaceFace Love Handle Lock-On Puños</t>
  </si>
  <si>
    <t>RaceFace Manillar ERA 35mm, 760mm ancho, 20mm rise</t>
  </si>
  <si>
    <t>RaceFace Manillar ERA 35mm, 760mm ancho, 20mm rise, dorado</t>
  </si>
  <si>
    <t>RaceFace Manillar ERA 35mm, 760mm ancho, 20mm rise, naranja</t>
  </si>
  <si>
    <t>RaceFace Manillar ERA 35mm, 760mm ancho, 20mm rise, negro</t>
  </si>
  <si>
    <t>RaceFace Manillar ERA 35mm, 780mm ancho, 40mm rise</t>
  </si>
  <si>
    <t>RaceFace Manillar ERA 35mm, 780mm ancho, 40mm rise, naranja</t>
  </si>
  <si>
    <t>RaceFace Manillar ERA 35mm, 780mm ancho, 40mm rise, negro</t>
  </si>
  <si>
    <t>RaceFace Manillar ERA 35mm, 780mm ancho, 55mm rise</t>
  </si>
  <si>
    <t>RaceFace Manillar ERA 35mm, 780mm ancho, 55mm rise, dorado</t>
  </si>
  <si>
    <t>RaceFace Manillar ERA 35mm, 780mm ancho, 55mm rise, negro</t>
  </si>
  <si>
    <t>RaceFace Manillar Turbine 35mm, 780mm ancho, 40mm rise</t>
  </si>
  <si>
    <t>RaceFace Manillar Turbine 35mm, 780mm ancho, 40mm rise, dorado</t>
  </si>
  <si>
    <t>RaceFace Manillar Turbine 35mm, 780mm ancho, 40mm rise, naranja</t>
  </si>
  <si>
    <t>RaceFace Manillar Turbine 35mm, 780mm ancho, 40mm rise, negro</t>
  </si>
  <si>
    <t>RaceFace Maza frontal Vault Boost, 110x15mm boost, 28h, negro</t>
  </si>
  <si>
    <t>RaceFace Maza frontal Vault Boost, 110x15mm boost, 32h, naranja</t>
  </si>
  <si>
    <t>RaceFace Maza frontal Vault Boost, 110x15mm boost, 32h, negro</t>
  </si>
  <si>
    <t>RaceFace Maza posterior Vault Boost, 148x12mm boost, núcleo Microspline, 28h, negro</t>
  </si>
  <si>
    <t>RaceFace Maza posterior Vault Boost, 148x12mm boost, núcleo XD, 28h, negro</t>
  </si>
  <si>
    <t>RaceFace Maza posterior Vault Boost, 148x12mm boost, núcleo XD, 32h, naranja</t>
  </si>
  <si>
    <t>RaceFace Next 35 20 mm Riser Carbon 760 mm 8° verde</t>
  </si>
  <si>
    <t>RaceFace Next Carbon Flat Riser 31.8x720mm Handlebar</t>
  </si>
  <si>
    <t>RaceFace Núcleo Vault Micro Spline 60T</t>
  </si>
  <si>
    <t>RaceFace Pedales Aeffect R, negro</t>
  </si>
  <si>
    <t>RaceFace Pedales Atlas</t>
  </si>
  <si>
    <t>RaceFace Pedales Atlas, azul</t>
  </si>
  <si>
    <t>RaceFace Pedales Atlas, dorado</t>
  </si>
  <si>
    <t>RaceFace Pedales Atlas, naranja</t>
  </si>
  <si>
    <t>RaceFace Pedales Atlas, negro</t>
  </si>
  <si>
    <t>RaceFace Pedales Atlas, plata</t>
  </si>
  <si>
    <t>RaceFace Pedales Atlas, purpura</t>
  </si>
  <si>
    <t>RaceFace Pedales Atlas, rojo</t>
  </si>
  <si>
    <t>RaceFace Pedales Atlas, turquesa</t>
  </si>
  <si>
    <t>RaceFace Pedales Atlas, verde</t>
  </si>
  <si>
    <t>RaceFace Pedales Chester, talla Large</t>
  </si>
  <si>
    <t>RaceFace Pedales Chester, talla Large, azul</t>
  </si>
  <si>
    <t>RaceFace Pedales Chester, talla Large, magenta</t>
  </si>
  <si>
    <t>RaceFace Pedales Chester, talla Large, naranja</t>
  </si>
  <si>
    <t>RaceFace Pedales Chester, talla Large, negro</t>
  </si>
  <si>
    <t>RaceFace Pedales Chester, talla Large, purpura</t>
  </si>
  <si>
    <t>RaceFace Pedales Chester, talla Large, rojo</t>
  </si>
  <si>
    <t>RaceFace Pedales Chester, talla Large, turquesa</t>
  </si>
  <si>
    <t>RaceFace Pedales Chester, talla Large, verde</t>
  </si>
  <si>
    <t>RaceFace Pedales Chester, talla Small</t>
  </si>
  <si>
    <t>RaceFace Pedales Chester, talla Small, azul</t>
  </si>
  <si>
    <t>RaceFace Pedales Chester, talla Small, magenta</t>
  </si>
  <si>
    <t>RaceFace Pedales Chester, talla Small, naranja</t>
  </si>
  <si>
    <t>RaceFace Pedales Chester, talla Small, negro</t>
  </si>
  <si>
    <t>RaceFace Pedales Chester, talla Small, purpura</t>
  </si>
  <si>
    <t>RaceFace Pedales Chester, talla Small, rojo</t>
  </si>
  <si>
    <t>RaceFace Pedales Chester, talla Small, turquesa</t>
  </si>
  <si>
    <t>RaceFace Pedales Chester, talla Small, verde</t>
  </si>
  <si>
    <t>RaceFace Plato 104BCD</t>
  </si>
  <si>
    <t>RaceFace Plato 104BCD, 32T, Shimano 12v, negro</t>
  </si>
  <si>
    <t>RaceFace Plato 104BCD, 34T, Shimano 12v, negro</t>
  </si>
  <si>
    <t>RaceFace Plato CINCH Direct Mount Shimano 12v</t>
  </si>
  <si>
    <t>RaceFace Plato CINCH Direct Mount Shimano 12v, 30T, negro</t>
  </si>
  <si>
    <t>RaceFace Plato CINCH Direct Mount Shimano 12v, 32T, negro</t>
  </si>
  <si>
    <t>RaceFace Plato CINCH Direct Mount Shimano 12v, 34T, negro</t>
  </si>
  <si>
    <t>RaceFace Plato Direct Mount CINCH</t>
  </si>
  <si>
    <t>RaceFace Plato Direct Mount CINCH, 32T, 10-12v, negro mate</t>
  </si>
  <si>
    <t>RaceFace Plato Direct Mount CINCH, 34T, 10-12v, negro mate</t>
  </si>
  <si>
    <t xml:space="preserve">RaceFace Plato Direct Mount Sram 3 Bolt </t>
  </si>
  <si>
    <t>RaceFace Plato Direct Mount Sram 3 Bolt, 32T, 10-12v, negro</t>
  </si>
  <si>
    <t>RaceFace Plato Direct Mount Sram 3 Bolt, 34T, 10-12v, negro</t>
  </si>
  <si>
    <t>RaceFace Plato Direct Mount Sram 3 Bolt, 36T, 10-12v, negro</t>
  </si>
  <si>
    <t>RaceFace Plato ERA CINCH Direct Mount</t>
  </si>
  <si>
    <t>RaceFace Plato ERA CINCH Direct Mount, 32T, Narrow Wide, negro</t>
  </si>
  <si>
    <t>RaceFace Plato ERA CINCH Direct Mount, 32T, Shimano 12v, negro</t>
  </si>
  <si>
    <t>RaceFace Plato ERA CINCH Direct Mount, 34T, Narrow Wide, negro</t>
  </si>
  <si>
    <t>RaceFace Plato ERA CINCH Direct Mount, 34T, Shimano 12v, negro</t>
  </si>
  <si>
    <t>RaceFace Plato Narrow Wide 104BCD</t>
  </si>
  <si>
    <t>RaceFace Plato Narrow Wide 104BCD, 32T, 10-12v, negro</t>
  </si>
  <si>
    <t>RaceFace Plato Narrow Wide 104BCD, 32T, 10-12v, negro mate</t>
  </si>
  <si>
    <t>RaceFace Plato Narrow Wide 104BCD, 34T, 10-12v, negro</t>
  </si>
  <si>
    <t>RaceFace Plato Narrow Wide 104BCD, 34T, 10-12v, negro mate</t>
  </si>
  <si>
    <t>RaceFace Plato Narrow Wide 104BCD, 36T, 10-12v, negro</t>
  </si>
  <si>
    <t>RaceFace Potencia Atlas Direct Mount, 35mm, 50mm x 0°, negro</t>
  </si>
  <si>
    <t>RaceFace Potencia Turbine R, 35mm, 32mm x 0°</t>
  </si>
  <si>
    <t>RaceFace Potencia Turbine R, 35mm, 32mm x 0°, dorado</t>
  </si>
  <si>
    <t>RaceFace Potencia Turbine R, 35mm, 32mm x 0°, naranja</t>
  </si>
  <si>
    <t>RaceFace Potencia Turbine R, 35mm, 32mm x 0°, negro</t>
  </si>
  <si>
    <t>RaceFace Potencia Turbine R, 35mm, 32mm x 0°, plata</t>
  </si>
  <si>
    <t>RaceFace Potencia Turbine R, 35mm, 40mm x 0°</t>
  </si>
  <si>
    <t>RaceFace Potencia Turbine R, 35mm, 40mm x 0°, azul</t>
  </si>
  <si>
    <t>RaceFace Potencia Turbine R, 35mm, 40mm x 0°, dorado</t>
  </si>
  <si>
    <t>RaceFace Potencia Turbine R, 35mm, 40mm x 0°, naranja</t>
  </si>
  <si>
    <t>RaceFace Potencia Turbine R, 35mm, 40mm x 0°, negro</t>
  </si>
  <si>
    <t>RaceFace Potencia Turbine R, 35mm, 40mm x 0°, plata</t>
  </si>
  <si>
    <t>RaceFace Potencia Turbine R, 35mm, 40mm x 0°, púrpura</t>
  </si>
  <si>
    <t>RaceFace Potencia Turbine R, 35mm, 40mm x 0°, rojo</t>
  </si>
  <si>
    <t>RaceFace Potencia Turbine R, 35mm, 40mm x 0°, verde</t>
  </si>
  <si>
    <t>RaceFace Potencia Turbine R, 35mm, 50mm x 0°</t>
  </si>
  <si>
    <t>RaceFace Potencia Turbine R, 35mm, 50mm x 0°, dorado</t>
  </si>
  <si>
    <t>RaceFace Potencia Turbine R, 35mm, 50mm x 0°, plata</t>
  </si>
  <si>
    <t>RaceFace Potencia Turbine SL</t>
  </si>
  <si>
    <t>RaceFace Potencia Turbine SL, 40mm, dorado</t>
  </si>
  <si>
    <t>RaceFace Potencia Turbine SL, 40mm, naranja</t>
  </si>
  <si>
    <t>RaceFace Potencia Turbine SL, 40mm, negro</t>
  </si>
  <si>
    <t>RaceFace Potencia Turbine SL, 40mm, plata</t>
  </si>
  <si>
    <t>RaceFace Potencia Turbine SL, 50mm, dorado</t>
  </si>
  <si>
    <t>RaceFace Potencia Turbine SL, 50mm, naranja</t>
  </si>
  <si>
    <t>RaceFace Potencia Turbine SL, 50mm, negro</t>
  </si>
  <si>
    <t>RaceFace Potencia Turbine SL, 50mm, plata</t>
  </si>
  <si>
    <t>RaceFace Potencia Turbine SL, 60mm, dorado</t>
  </si>
  <si>
    <t>RaceFace Potencia Turbine SL, 60mm, negro</t>
  </si>
  <si>
    <t>RaceFace Puños Chester 31mm</t>
  </si>
  <si>
    <t>RaceFace Puños Chester 31mm, azul claro/naranja</t>
  </si>
  <si>
    <t>RaceFace Puños Chester 31mm, gris/negro</t>
  </si>
  <si>
    <t>RaceFace Puños Chester 31mm, gum/negro</t>
  </si>
  <si>
    <t>RaceFace Puños Chester 31mm, magenta/turquesa</t>
  </si>
  <si>
    <t>RaceFace Puños Chester 31mm, negro</t>
  </si>
  <si>
    <t>RaceFace Puños Chester 31mm, negro/azul</t>
  </si>
  <si>
    <t>RaceFace Puños Chester 31mm, negro/dorado Kash Money</t>
  </si>
  <si>
    <t>RaceFace Puños Chester 31mm, negro/naranja</t>
  </si>
  <si>
    <t>RaceFace Puños Chester 31mm, negro/plateado</t>
  </si>
  <si>
    <t>RaceFace Puños Chester 31mm, negro/purpura</t>
  </si>
  <si>
    <t>RaceFace Puños Chester 31mm, negro/rojo</t>
  </si>
  <si>
    <t>RaceFace Puños Chester 31mm, negro/turquesa</t>
  </si>
  <si>
    <t>RaceFace Puños Chester 31mm, negro/verde bosque</t>
  </si>
  <si>
    <t>RaceFace Puños Chester 31mm, verde bosque/dorado Kash Money</t>
  </si>
  <si>
    <t>RaceFace Puños Getta 30mm</t>
  </si>
  <si>
    <t>RaceFace Puños Getta 30mm, amarillo / negro</t>
  </si>
  <si>
    <t>RaceFace Puños Getta 30mm, azul / negro</t>
  </si>
  <si>
    <t>RaceFace Puños Getta 30mm, magenta / negro</t>
  </si>
  <si>
    <t>RaceFace Puños Getta 30mm, negro / dorado Kash Money</t>
  </si>
  <si>
    <t>RaceFace Puños Getta 30mm, negro / naranja</t>
  </si>
  <si>
    <t>RaceFace Puños Getta 30mm, negro / negro</t>
  </si>
  <si>
    <t>RaceFace Puños Getta 30mm, negro / pupura</t>
  </si>
  <si>
    <t>RaceFace Puños Getta 30mm, rojo / negro</t>
  </si>
  <si>
    <t>RaceFace Puños Getta 30mm, verde / negro</t>
  </si>
  <si>
    <t>RaceFace Puños LoveHandle</t>
  </si>
  <si>
    <t>RaceFace Puños LoveHandle, amarillo neón</t>
  </si>
  <si>
    <t>RaceFace Puños LoveHandle, azul</t>
  </si>
  <si>
    <t>RaceFace Puños LoveHandle, naranja neón</t>
  </si>
  <si>
    <t>RaceFace Puños LoveHandle, purpura</t>
  </si>
  <si>
    <t>RaceFace Puños LoveHandle, rojo</t>
  </si>
  <si>
    <t>RaceFace Puños LoveHandle, rosado neón</t>
  </si>
  <si>
    <t>ReverseComponents Stamp Lock On Puños de Bicicleta - 30mm - negro / pulido</t>
  </si>
  <si>
    <t>ReverseComponents X1-B ISCG Guía de la Cadena - negro / negro</t>
  </si>
  <si>
    <t>RideConcepts Livewire Black</t>
  </si>
  <si>
    <t>RieselDesign Chain:Tape 3000 Chain Stay Guard - camo</t>
  </si>
  <si>
    <t>RockShox 200H Seatpost Service Kit For Reverb Stealth</t>
  </si>
  <si>
    <t>RockShox Debon Air C1 Upgrade Kit for 150mm LYRIK/YARI A1+ (2016+) - 00.4020.572.003</t>
  </si>
  <si>
    <t>RockShox Guardabarros delantero ZEB (A1+ /2021+)</t>
  </si>
  <si>
    <t>RockShox Tapabarro delantero para SID 35 mm C1+ V3</t>
  </si>
  <si>
    <t>SAPIM Nipple Polyax Aluminio Secure Lock - 2 mm - 14 mm - negro</t>
  </si>
  <si>
    <t>SAPIM Nipple Polyax Aluminio Secure Lock - 2 mm - 14 mm - silver</t>
  </si>
  <si>
    <t>SAPIM Nipple Polyax Aluminio Secure Lock 14G - 2 mm - 16 mm</t>
  </si>
  <si>
    <t>SAPIM Nipple Polyax Aluminio Secure Lock 14G - 2 mm - 16 mm - negro</t>
  </si>
  <si>
    <t>SAPIM Nipple Polyax Aluminio Secure Lock 14G - 2 mm - 16 mm - silver</t>
  </si>
  <si>
    <t xml:space="preserve">Selle Italia sillín FLITE BOOST SF XC TI316 AM </t>
  </si>
  <si>
    <t xml:space="preserve">Selle Italia sillín FLITE BOOST SF XC TI316 AM L </t>
  </si>
  <si>
    <t>Selle Italia sillín FLITE BOOST SF XC TI316 AM S</t>
  </si>
  <si>
    <t>Selle Italia sillín FLITE Boost Super Flow Endurance TI316 AM L</t>
  </si>
  <si>
    <t>Selle Italia sillín FLITE BOOST TM Suoer Flow MN AM</t>
  </si>
  <si>
    <t>Selle Italia sillín FLITE BOOST TM Suoer Flow MN AM L</t>
  </si>
  <si>
    <t>Selle Italia sillín FLITE BOOST TM Suoer Flow MN AM S</t>
  </si>
  <si>
    <t>Selle Italia sillín MAX NOVUS BOOST EVO SF TI316 AM L</t>
  </si>
  <si>
    <t xml:space="preserve">Selle Italia sillín MAX SLR BOOST GEL Super Flow TI316 AM L </t>
  </si>
  <si>
    <t>Selle Italia sillín Model X G Super Flow Comfort</t>
  </si>
  <si>
    <t>Selle Italia sillín Model X Green SF</t>
  </si>
  <si>
    <t>Selle Italia sillín MODEL X Super Flow Black FEC AM</t>
  </si>
  <si>
    <t xml:space="preserve">Selle Italia sillín Novus Boost EVO Endurance Super Flow MN AM L </t>
  </si>
  <si>
    <t xml:space="preserve">Selle Italia sillín Novus Boost EVO Gravel Super Flow Marrón MN L </t>
  </si>
  <si>
    <t xml:space="preserve">Selle Italia sillín Novus Boost EVO LADY Super Flow MN AM L </t>
  </si>
  <si>
    <t>Selle Italia sillín Novus Boost Evo Super Flow L</t>
  </si>
  <si>
    <t>Selle Italia sillín Novus Boost EVO TM SF MN AM L</t>
  </si>
  <si>
    <t>Selle Italia sillín Novus Boost EVO XC Super Flow MN AM L</t>
  </si>
  <si>
    <t>Selle Italia sillín Novus Endurance TM Super Flow</t>
  </si>
  <si>
    <t>Selle Italia sillín Novus Endurance TM Super Flow L</t>
  </si>
  <si>
    <t>Selle Italia sillín Novus Endurance TM Super Flow S</t>
  </si>
  <si>
    <t>Selle Italia sillín Q-bik Flow Black</t>
  </si>
  <si>
    <t xml:space="preserve">Selle Italia sillín SLR BOOST ENDURANCE Super Flow TI316 AM L </t>
  </si>
  <si>
    <t>Selle Italia sillín SLR Boost TM Super Flow S</t>
  </si>
  <si>
    <t>Selle Italia sillín SLR BOOST X-CROSS Super Flow TI316 AM</t>
  </si>
  <si>
    <t>Selle Italia sillín SLR BOOST X-CROSS Super Flow TI316 AM L</t>
  </si>
  <si>
    <t>Selle Italia sillín SLR BOOST X-CROSS Super Flow TI316 AM S</t>
  </si>
  <si>
    <t>Selle Italia sillín SLR LADY BOOST Super Flow TI316 AM</t>
  </si>
  <si>
    <t>Selle Italia sillín SLR LADY BOOST Super Flow TI316 AM L</t>
  </si>
  <si>
    <t xml:space="preserve">Selle Italia sillín SLR LADY BOOST Super Flow TI316 AM S </t>
  </si>
  <si>
    <t>Selle Italia sillín Sport Gel Flow</t>
  </si>
  <si>
    <t>Selle Italia sillín WATT GEL Super Flow TI316 AM</t>
  </si>
  <si>
    <t>Selle Italia sillín WATT Super Flow 3D CRB AM L</t>
  </si>
  <si>
    <t>Selle Italia sillín X-Bow</t>
  </si>
  <si>
    <t>Selle Italia sillín X-Bow L</t>
  </si>
  <si>
    <t>Selle Italia sillín X-Bow S</t>
  </si>
  <si>
    <t>Selle Italia sillín X-BOW Super Flow FEC AM</t>
  </si>
  <si>
    <t>Selle Italia sillín X-BOW Super Flow FEC AM L</t>
  </si>
  <si>
    <t>Selle Italia sillín X-BOW Super Flow FEC AM S</t>
  </si>
  <si>
    <t>Selle Italia sillín X-LR AirCr TM Super Flow</t>
  </si>
  <si>
    <t>Selle Italia sillín X-LR AirCr TM Super Flow L</t>
  </si>
  <si>
    <t>Selle Italia sillín X-LR AirCr TM Super Flow S</t>
  </si>
  <si>
    <t>Selle Italia sillín XR Flow Black</t>
  </si>
  <si>
    <t xml:space="preserve">Shimano Coronas 10-12t de piñon XTR 12v microspline </t>
  </si>
  <si>
    <t xml:space="preserve">Shimano Pedales PD-ED500 SPD </t>
  </si>
  <si>
    <t>Shimano Shifter SLX 11v - SL-M7000-11-R</t>
  </si>
  <si>
    <t>Shimano SLX M7100 Silver 126 Links 12s</t>
  </si>
  <si>
    <t>Shimano SM-RT30 centerlock 160mm</t>
  </si>
  <si>
    <t>Shimano SM-RT30 centerlock 180mm</t>
  </si>
  <si>
    <t>SHIPPING PAIS ORIGEN</t>
  </si>
  <si>
    <t>SinMarca Luz delantera 2 funciones Waterproff</t>
  </si>
  <si>
    <t>Sinmarca Parador para Bicicletas MTB</t>
  </si>
  <si>
    <t>SPECIALIZED Guantes Trail Shield, Charcoal, talla M</t>
  </si>
  <si>
    <t xml:space="preserve">Sram Code RSC posterior freno de disco </t>
  </si>
  <si>
    <t>SRAM Disco CenterLine 200 mm</t>
  </si>
  <si>
    <t xml:space="preserve">Sram Dot 5.1 120 ml Aceite para Frenos hidráulicos </t>
  </si>
  <si>
    <t>SRAM Frenos Code Bronze Stealth, 4 pistones (delantero y posterior) - PCK</t>
  </si>
  <si>
    <t>Sram Pastillas para Code R / RSC desde MY 2011 / Guide RE - Metálicas con Placa Acero - 11.5015.069.170 (20 sets)</t>
  </si>
  <si>
    <t>Stan'sNoTubes Líquido tubeless Race Sealant - 32oz - 946ml</t>
  </si>
  <si>
    <t>Stan'sNoTubes Líquido tubeless Tire Sealant - 16oz - 473ml</t>
  </si>
  <si>
    <t>Stan'sNoTubes Líquido tubelesss Tire Sealant - 32oz - 946ml</t>
  </si>
  <si>
    <t>Stan'sNoTubes Válvula Tubeless  44mm, 1 par</t>
  </si>
  <si>
    <t xml:space="preserve">Supacaz Grizips Lock-On puños </t>
  </si>
  <si>
    <t>Tols Alloy 12 mm Black 31.8 mm / 740 mm</t>
  </si>
  <si>
    <t xml:space="preserve">Topeak Estabilizador de manillar </t>
  </si>
  <si>
    <t>TOPEAK Multiherramienta desallantadora Power Lever Pro, negro</t>
  </si>
  <si>
    <t>TroyLeeDesigns Casco Integral Stage colaboración con Mondraker, talla L/XL</t>
  </si>
  <si>
    <t>TroyLeeDesigns Flowline Black</t>
  </si>
  <si>
    <t>TroyLeeDesigns Flowline gray</t>
  </si>
  <si>
    <t>TroyLeeDesigns Raid Knee Guard Black</t>
  </si>
  <si>
    <t>TroyLeeDesigns Ruckus Shell Camo Gray</t>
  </si>
  <si>
    <t>TroyLeeDesigns Sprint black</t>
  </si>
  <si>
    <t>TroyLeeDesigns Sprint navy Talla 30</t>
  </si>
  <si>
    <t>TroyLeeDesigns Sprint Red</t>
  </si>
  <si>
    <t>Vittoria Barzo XC-Race TR 29x2.25 beige</t>
  </si>
  <si>
    <t>Vittoria Barzo XC-Race TR 29x2.25 beige 2020</t>
  </si>
  <si>
    <t>Vittoria Barzo XC-Race TR 29x2.35 beige</t>
  </si>
  <si>
    <t>Vittoria Barzo XC-Trail TR 29x2.25 gris</t>
  </si>
  <si>
    <t>Vittoria Barzo XC-Trail TR 29x2.35 gris</t>
  </si>
  <si>
    <t>Vittoria Mezcal XC-Trail TR 29x2.1 gris</t>
  </si>
  <si>
    <t>Vittoria Mezcal XC-Trail TR 29x2.25 gris</t>
  </si>
  <si>
    <t>Vittoria Mezcal XC-Trail TR 29x2.35 gris</t>
  </si>
  <si>
    <t>Vittoria Rubino Pro Control G2.0 - negro - 700x25</t>
  </si>
  <si>
    <t>Vittoria Rubino Pro Control G2.0 - negro - 700x28</t>
  </si>
  <si>
    <t>WindXtreme Half Wind Camouflage Black One Size</t>
  </si>
  <si>
    <t>WolfTooth Abrazadera de sillín CNC, Dorado</t>
  </si>
  <si>
    <t>WTB Tubeless Rim Tape 11 Meters Yellow 24 mm</t>
  </si>
  <si>
    <t>WTB Tubeless Rim Tape 11 Meters Yellow 26 mm</t>
  </si>
  <si>
    <t>WTB Tubeless Rim Tape 11 Meters Yellow 28 mm</t>
  </si>
  <si>
    <t>WTB Tubeless Rim Tape 11 Meters Yellow 30 mm</t>
  </si>
  <si>
    <t>WTB Tubeless Rim Tape 11 Meters Yellow 34 mm</t>
  </si>
  <si>
    <t>WTB Tubeless Rim Tape 11 Meters Yellow 40 mm</t>
  </si>
  <si>
    <t>X-Sauce Cinta Negra Para Tubelizar 9 m x 20 mm</t>
  </si>
  <si>
    <t>X-Sauce Cinta Negra Para Tubelizar 9 m x 23 mm</t>
  </si>
  <si>
    <t>Zefal Pro Dry Lube - 120ml</t>
  </si>
  <si>
    <t>Zefal Sense M80 Clear / Black / Orange 800 ml</t>
  </si>
  <si>
    <t>100%</t>
  </si>
  <si>
    <t>77designz</t>
  </si>
  <si>
    <t>Baron</t>
  </si>
  <si>
    <t>Duke</t>
  </si>
  <si>
    <t>RockShox</t>
  </si>
  <si>
    <t>Zéfal</t>
  </si>
  <si>
    <t>marca</t>
  </si>
  <si>
    <t>a pedido</t>
  </si>
  <si>
    <t>solo variable y simple</t>
  </si>
  <si>
    <t>stock</t>
  </si>
  <si>
    <t>https://kuranko.pe/wp-content/uploads/2026/07/WhatsApp-Image-2026-07-22-at-4.51.54-PM-1.jpeg, https://kuranko.pe/wp-content/uploads/2026/07/WhatsApp-Image-2026-07-22-at-4.51.54-PM.jpeg, https://kuranko.pe/wp-content/uploads/2026/07/WhatsApp-Image-2026-07-22-at-4.51.53-PM-3.jpeg, https://kuranko.pe/wp-content/uploads/2026/07/WhatsApp-Image-2026-07-22-at-4.51.53-PM-2.jpeg, https://kuranko.pe/wp-content/uploads/2026/07/WhatsApp-Image-2026-07-22-at-4.51.53-PM-1.jpeg</t>
  </si>
  <si>
    <t>https://kuranko.pe/wp-content/uploads/2026/07/WhatsApp-Image-2026-07-22-at-4.51.52-PM-2.jpeg, https://kuranko.pe/wp-content/uploads/2026/07/WhatsApp-Image-2026-07-22-at-4.51.52-PM-1.jpeg, https://kuranko.pe/wp-content/uploads/2026/07/WhatsApp-Image-2026-07-22-at-4.51.52-PM.jpeg, https://kuranko.pe/wp-content/uploads/2026/07/WhatsApp-Image-2026-07-22-at-4.51.51-PM-2.jpeg, https://kuranko.pe/wp-content/uploads/2026/07/WhatsApp-Image-2026-07-22-at-4.51.51-PM-1.jpeg</t>
  </si>
  <si>
    <t>https://kuranko.pe/wp-content/uploads/2026/07/WhatsApp-Image-2026-07-22-at-4.52.01-PM.jpeg, https://kuranko.pe/wp-content/uploads/2026/07/WhatsApp-Image-2026-07-22-at-4.52.00-PM-2.jpeg, https://kuranko.pe/wp-content/uploads/2026/07/WhatsApp-Image-2026-07-22-at-4.52.00-PM-1.jpeg</t>
  </si>
  <si>
    <t>https://kuranko.pe/wp-content/uploads/2026/07/WhatsApp-Image-2026-07-24-at-7.19.45-PM-1.jpeg, https://kuranko.pe/wp-content/uploads/2026/07/WhatsApp-Image-2026-07-24-at-7.19.45-PM.jpeg, https://kuranko.pe/wp-content/uploads/2026/07/WhatsApp-Image-2026-07-24-at-7.19.44-PM-1.jpeg, https://kuranko.pe/wp-content/uploads/2026/07/WhatsApp-Image-2026-07-24-at-7.19.44-PM.jpeg, https://kuranko.pe/wp-content/uploads/2026/07/WhatsApp-Image-2026-07-24-at-7.19.43-PM-2.jpeg</t>
  </si>
  <si>
    <t>https://kuranko.pe/wp-content/uploads/2026/07/WhatsApp-Image-2026-07-22-at-4.51.33-PM-1.jpeg, https://kuranko.pe/wp-content/uploads/2026/07/WhatsApp-Image-2026-07-22-at-4.51.33-PM.jpeg, https://kuranko.pe/wp-content/uploads/2026/07/WhatsApp-Image-2026-07-22-at-4.51.32-PM-3.jpeg, https://kuranko.pe/wp-content/uploads/2026/07/WhatsApp-Image-2026-07-22-at-4.51.32-PM-2.jpeg</t>
  </si>
  <si>
    <t>https://kuranko.pe/wp-content/uploads/2026/07/WhatsApp-Image-2026-07-24-at-7.19.59-PM.jpeg, https://kuranko.pe/wp-content/uploads/2026/07/WhatsApp-Image-2026-07-24-at-7.19.58-PM.jpeg, https://kuranko.pe/wp-content/uploads/2026/07/WhatsApp-Image-2026-07-24-at-7.19.57-PM-3.jpeg</t>
  </si>
  <si>
    <t>https://kuranko.pe/wp-content/uploads/2026/07/WhatsApp-Image-2026-07-24-at-7.19.31-PM.jpeg, https://kuranko.pe/wp-content/uploads/2026/07/WhatsApp-Image-2026-07-24-at-7.18.21-PM-1.jpeg</t>
  </si>
  <si>
    <t>https://kuranko.pe/wp-content/uploads/2026/07/WhatsApp-Image-2026-07-22-at-4.51.31-PM.jpeg, https://kuranko.pe/wp-content/uploads/2026/07/WhatsApp-Image-2026-07-22-at-4.51.30-PM.jpeg, https://kuranko.pe/wp-content/uploads/2026/07/WhatsApp-Image-2026-07-22-at-4.51.29-PM.jpeg</t>
  </si>
  <si>
    <t>https://kuranko.pe/wp-content/uploads/2026/07/WhatsApp-Image-2026-07-22-at-4.51.42-PM.jpeg, https://kuranko.pe/wp-content/uploads/2026/07/WhatsApp-Image-2026-07-22-at-4.51.41-PM-1.jpeg, https://kuranko.pe/wp-content/uploads/2026/07/WhatsApp-Image-2026-07-22-at-4.51.41-PM.jpeg, https://kuranko.pe/wp-content/uploads/2026/07/WhatsApp-Image-2026-07-22-at-4.51.40-PM-2.jpeg, https://kuranko.pe/wp-content/uploads/2026/07/WhatsApp-Image-2026-07-22-at-4.51.40-PM-1.jpeg, https://kuranko.pe/wp-content/uploads/2026/07/WhatsApp-Image-2026-07-22-at-4.51.40-PM.jpeg, https://kuranko.pe/wp-content/uploads/2026/07/WhatsApp-Image-2026-07-22-at-4.51.39-PM-1.jpeg</t>
  </si>
  <si>
    <t>https://kuranko.pe/wp-content/uploads/2026/07/WhatsApp-Image-2026-07-24-at-7.18.20-PM-3.jpeg, https://kuranko.pe/wp-content/uploads/2026/07/WhatsApp-Image-2026-07-24-at-7.18.21-PM.jpeg</t>
  </si>
  <si>
    <t>https://kuranko.pe/wp-content/uploads/2026/07/WhatsApp-Image-2026-07-24-at-7.19.49-PM.jpeg, https://kuranko.pe/wp-content/uploads/2026/07/WhatsApp-Image-2026-07-24-at-7.19.48-PM-1.jpeg</t>
  </si>
  <si>
    <t>Definicion tipo</t>
  </si>
  <si>
    <t>Definicion publicado</t>
  </si>
  <si>
    <t>Definicion ¿Está destacado?</t>
  </si>
  <si>
    <t>Definicion Visibilidad en el catálogo</t>
  </si>
  <si>
    <t>Definición Día en que empieza el precio rebajado</t>
  </si>
  <si>
    <t>Clase del impuesto</t>
  </si>
  <si>
    <t>Definición 
Clase del impuesto</t>
  </si>
  <si>
    <t>Definición ¿Existencias?</t>
  </si>
  <si>
    <t>Definición ¿Permitir reservas de productos agotados?</t>
  </si>
  <si>
    <t>Definicion: ¿Permitir valoraciones de clientes?</t>
  </si>
  <si>
    <t>Definición Atributo visible 1</t>
  </si>
  <si>
    <t>Definición Atributo global 1</t>
  </si>
  <si>
    <t>Nombre del atributo</t>
  </si>
  <si>
    <t>Atributo</t>
  </si>
  <si>
    <t>Columna2</t>
  </si>
  <si>
    <t>Columna3</t>
  </si>
  <si>
    <t>external</t>
  </si>
  <si>
    <t>productos afiliados</t>
  </si>
  <si>
    <t>borrador</t>
  </si>
  <si>
    <t>no</t>
  </si>
  <si>
    <t>oculto</t>
  </si>
  <si>
    <t>2021-02-24</t>
  </si>
  <si>
    <t>sin hora</t>
  </si>
  <si>
    <t>parent</t>
  </si>
  <si>
    <t>si es producto con variante y es igual que el padre</t>
  </si>
  <si>
    <t>Agotado</t>
  </si>
  <si>
    <t>padre</t>
  </si>
  <si>
    <t>No</t>
  </si>
  <si>
    <t>sin variantes</t>
  </si>
  <si>
    <t>si</t>
  </si>
  <si>
    <t>2021-02-24 0:00:00</t>
  </si>
  <si>
    <t>con hora</t>
  </si>
  <si>
    <t>Hay existencias</t>
  </si>
  <si>
    <t>hijos</t>
  </si>
  <si>
    <t>Sí</t>
  </si>
  <si>
    <t>simple, downloadable</t>
  </si>
  <si>
    <t>sin variantes. Los productos descargables dan acceso a un archivo después de la compra</t>
  </si>
  <si>
    <t>Tasa cero</t>
  </si>
  <si>
    <t>backorder</t>
  </si>
  <si>
    <t>Se puede reservar</t>
  </si>
  <si>
    <t>Avisará al cliente</t>
  </si>
  <si>
    <t>Ciclismo &gt; Ruedas &gt; Cinta tubeless, Rebajas</t>
  </si>
  <si>
    <t>simple, downloadable, virtual</t>
  </si>
  <si>
    <t xml:space="preserve">sin variantes. </t>
  </si>
  <si>
    <t>Tasa reducida</t>
  </si>
  <si>
    <t>simple, virtual</t>
  </si>
  <si>
    <t>sin variantes. Los productos virtuales son intangibles y no se envían</t>
  </si>
  <si>
    <t>Ciclismo &gt; Ruedas &gt; Cámaras, Rebajas</t>
  </si>
  <si>
    <t>variation, downloadable</t>
  </si>
  <si>
    <t>Ciclismo &gt; Transmisión &gt; Pedales, Rebajas</t>
  </si>
  <si>
    <t>variation, downloadable, virtual</t>
  </si>
  <si>
    <t>Ciclismo &gt; Dirección &gt; Puños de manillar, Rebajas</t>
  </si>
  <si>
    <t>variation, virtual</t>
  </si>
  <si>
    <t>Ciclismo &gt; Taller &gt; Productos de mantenimiento &amp; lubricantes, Rebajas</t>
  </si>
  <si>
    <t>Disponible A pedido, Ciclismo &gt; Ruedas &gt; Válvulas</t>
  </si>
  <si>
    <t>Ciclismo &gt; Ropa &gt; Culote, Rebajas</t>
  </si>
  <si>
    <t>Ciclismo &gt; Ropa &gt; Medias, Rebajas</t>
  </si>
  <si>
    <t>Ciclismo &gt; Accesorios &gt; Iluminación, Rebajas</t>
  </si>
  <si>
    <t>Rebajas, Ciclismo &gt; Ropa &gt; Rodilleras</t>
  </si>
  <si>
    <t>Ciclismo &gt; Transmisión &gt; Cadenas, Rebajas</t>
  </si>
  <si>
    <t>Ciclismo &gt; Frenos &gt; Abrazaderas para frenos, Rebajas</t>
  </si>
  <si>
    <t>Ciclismo &gt; Frenos &gt; Discos para frenos, Disponible A pedido</t>
  </si>
  <si>
    <t>Ciclismo &gt; Taller &gt; Minitools, Rebajas</t>
  </si>
  <si>
    <t>Ciclismo &gt; Transmisión &gt; Calas, Rebajas</t>
  </si>
  <si>
    <t>Ciclismo &gt; Frenos &gt; Pastillas y Zapatas para frenos, Rebajas</t>
  </si>
  <si>
    <t>Ciclismo &gt; Transmisión &gt; Piñones, Rebajas</t>
  </si>
  <si>
    <t>Ciclismo &gt; Ruedas &gt; Cubiertas, Rebajas</t>
  </si>
  <si>
    <t>Ciclismo &gt; Accesorios &gt; Bidones &amp; portabidones, Rebajas</t>
  </si>
  <si>
    <t>Ciclismo &gt; Transmisión &gt; Accesorios, Rebajas</t>
  </si>
  <si>
    <t>Ciclismo &gt; Ruedas &gt; Líquidos tubeless, Rebajas</t>
  </si>
  <si>
    <t>Ciclismo &gt; Ropa &gt; Coderas, Rebajas</t>
  </si>
  <si>
    <t>Ciclismo &gt; Transmisión &gt; Descarrilador, Rebajas</t>
  </si>
  <si>
    <t>Disponible A pedido, Ciclismo &gt; Sillines_y_tijas &gt; Tijas de sillín</t>
  </si>
  <si>
    <t>Ciclismo &gt; Frenos &gt; Adaptadores para frenos, Disponible A pedido</t>
  </si>
  <si>
    <t>Ciclismo &gt; Frenos &gt; Abrazaderas para frenos, Disponible A pedido</t>
  </si>
  <si>
    <t>Ciclismo &gt; Frenos &gt; Calipers, Disponible A pedido</t>
  </si>
  <si>
    <t>Disponible A pedido, Ciclismo &gt; Transmisión &gt; Pedales</t>
  </si>
  <si>
    <t>Ciclismo &gt; Transmisión &gt; Bielas, Disponible A pedido</t>
  </si>
  <si>
    <t>Ciclismo &gt; Ruedas &gt; Aros, Disponible A pedido, Rebajas</t>
  </si>
  <si>
    <t>Ciclismo &gt; Frenos &gt; Accesorios para frenos, Disponible A pedido</t>
  </si>
  <si>
    <t>Disponible A pedido, Ciclismo &gt; Sillines_y_tijas &gt; Piezas pequeñas, Rebajas</t>
  </si>
  <si>
    <t>Disponible A pedido, Ciclismo &gt; Dirección &gt; Espaciador, Rebajas</t>
  </si>
  <si>
    <t>Ciclismo &gt; Partes_para_Cuadros &gt; Accesorios para cuadro, Disponible A pedido</t>
  </si>
  <si>
    <t>Disponible A pedido, Ciclismo &gt; Dirección &gt; Potencias, Rebajas</t>
  </si>
  <si>
    <t>Disponible A pedido, Ciclismo &gt; Partes_para_Cuadros &gt; Protección de cuadro</t>
  </si>
  <si>
    <t>Disponible A pedido, Ciclismo &gt; Transmisión &gt; Guíacadenas &amp; Bashguards, Rebajas</t>
  </si>
  <si>
    <t>Disponible A pedido, Rebajas, Ciclismo &gt; Dirección &gt; Tapa de dirección</t>
  </si>
  <si>
    <t>Disponible A pedido, Rebajas, Ciclismo &gt; Ruedas &gt; Válvulas</t>
  </si>
  <si>
    <t>Disponible A pedido, Ciclismo &gt; Sillines_y_tijas &gt; Piezas pequeñas</t>
  </si>
  <si>
    <t>Disponible A pedido, Ciclismo &gt; Sillines_y_tijas &gt; Sillines</t>
  </si>
  <si>
    <t>Ciclismo &gt; Ruedas &gt; Medidores de Presión, Rebajas</t>
  </si>
  <si>
    <t>Ciclismo &gt; Sillines_y_tijas &gt; Tijas de sillín</t>
  </si>
  <si>
    <t>Ciclismo &gt; Partes_para_Cuadros &gt; Repuestos para e-bikes</t>
  </si>
  <si>
    <t>Ciclismo &gt; Partes_para_Cuadros &gt; Protección de cuadro</t>
  </si>
  <si>
    <t>Ciclismo &gt; Partes_para_Cuadros &gt; Piezas pequeñas</t>
  </si>
  <si>
    <t>Ciclismo &gt; Ropa &gt; Protectores, Rebajas</t>
  </si>
  <si>
    <t>Ciclismo &gt; Ropa &gt; Cascos, Rebajas</t>
  </si>
  <si>
    <t>Ciclismo &gt; Sillines_y_tijas &gt; Sillines</t>
  </si>
  <si>
    <t>Ciclismo &gt; Dirección &gt; Manillares, Rebajas</t>
  </si>
  <si>
    <t>Ciclismo &gt; Partes_para_Cuadros &gt; Rodamientos</t>
  </si>
  <si>
    <t>Ciclismo &gt; Partes_para_Cuadros &gt; Patillas de cambio</t>
  </si>
  <si>
    <t>Disponible A pedido, Ciclismo &gt; Ruedas &gt; Repuestos</t>
  </si>
  <si>
    <t>Disponible A pedido, Ciclismo &gt; Dirección &gt; Puños de manillar</t>
  </si>
  <si>
    <t>Ciclismo &gt; Sillines_y_tijas &gt; Mantenimiento</t>
  </si>
  <si>
    <t>Ciclismo &gt; Dirección &gt; Espaciador</t>
  </si>
  <si>
    <t>Ciclismo &gt; Taller &gt; Limpieza, Rebajas</t>
  </si>
  <si>
    <t>Ciclismo &gt; Ruedas &gt; Parches, Rebajas</t>
  </si>
  <si>
    <t>Ciclismo &gt; Amortiguador &gt; Horquillas de suspensión, Rebajas</t>
  </si>
  <si>
    <t>Ciclismo &gt; Frenos &gt; Discos para frenos, Rebajas</t>
  </si>
  <si>
    <t>Ciclismo &gt; Sillines_y_tijas &gt; Piezas pequeñas, Próximamente en llegar</t>
  </si>
  <si>
    <t>Cámara diseñada para bicicletas de montaña aro 29, ideal para uso recreativo, XC, trail y enduro. Fabricada en caucho resistente para ofrecer buena retención de aire y durabilidad en diferentes condiciones de terreno.
Compatible con una amplia variedad de neumáticos MTB aro 29 y disponible para válvula Presta o Schrader según la configuración de la bicicleta. Su construcción flexible facilita la instalación y el transporte como repuesto durante rutas y competencias.
🛠️ Especificaciones:
Medida: Aro 29
Uso: MTB / XC / Trail / Enduro
Material: Caucho / butilo
Compatible con neumáticos MTB 29”
Fácil instalación
Buena resistencia a pinchazos y deformaciones</t>
  </si>
  <si>
    <t>Shimano - Descarrilador - SLX M7100 Shadow+ SGS Black 12s / Max 51t - MKP - Usado</t>
  </si>
  <si>
    <t>Shimano - Freno - delantero Deore XT M8100, sin pastillas - MKP - Usado, en buen estado</t>
  </si>
  <si>
    <t>Freno hidráulico de alto rendimiento diseñado para MTB XC, trail y enduro ligero, ofreciendo excelente potencia, modulación y control en todo tipo de terrenos. La serie Deore XT M8100 destaca por su tacto preciso y respuesta consistente, ideal para ciclistas que buscan rendimiento confiable tanto en rutas técnicas como en largas jornadas de montaña.
La construcción ligera y resistente mejora la disipación de calor y mantiene un funcionamiento estable incluso en descensos exigentes. Esta unidad corresponde a una pieza MKP desmontada, usada y en buen estado funcional y estético. Se entrega sin pastillas de freno.
🛠️ Especificaciones:
Posición: Delantero
Serie: Shimano Deore XT M8100
Tipo: Freno hidráulico de disco
Color: Negro
Incluye maneta y caliper
No incluye pastillas
Estado: MKP – usado, en buen estado</t>
  </si>
  <si>
    <t>Shimano - Piñon - SLX CS-M7100 Micro Spline 12V - MKP - Usado, en buen estado</t>
  </si>
  <si>
    <t>Cassette diseñado para transmisiones Shimano 12 velocidades, ofreciendo cambios suaves, rápidos y precisos gracias a la tecnología Hyperglide+. La serie SLX M7100 proporciona excelente rendimiento en XC, trail y enduro, manteniendo una buena relación entre durabilidad, peso y eficiencia de pedaleo.
Su construcción optimizada mejora la retención de cadena y permite cambios más fluidos incluso bajo carga en terrenos técnicos y subidas exigentes. Compatible con núcleos Micro Spline de Shimano para transmisiones MTB modernas.
Esta unidad corresponde a una pieza MKP desmontada, usada y en buen estado funcional y estético.
🛠️ Especificaciones:
Serie: Shimano SLX CS-M7100
Velocidades: 12V
Sistema: Hyperglide+
Núcleo compatible: Micro Spline
Uso recomendado: MTB / XC / Trail / Enduro
Color: Plata / Negro
Estado: MKP – usado, en buen estado</t>
  </si>
  <si>
    <t>Shimano - Piñon - XT CS-M8100 Micro Spline 12V - MKP - Usado, en buen estado</t>
  </si>
  <si>
    <t>Para adaptar el amado XT al nuevo estándar de 12 velocidades y ofrecer el máximo rendimiento, Shimano presenta el piñón de cassette CS-M8100. Incorpora la tecnología del cuerpo de cassette Micro Spline del conocido XTR 12V y el perfil de los dientes Hyperglide+, lo que hace que el cambio sea aún más silencioso y eficiente.
Características
Los nuevos diseños de rampa de cambio brindan los cambios más rápidos y suaves con Hyperglide+
Construcción más ligera y más rígida.
Reduce la inercia del cassette, lo que origina una aceleración más rápida e incrementa la seguridad de la cadena.
El piñón inferior 10D realizado con la nueva construcción Freehub.
Compatibilidad: 12 velocidades.
No compatible con cuerpo de cassette Shimano Standard.
Diez primeros piñones en acero, últimos dos en aluminio anodizado negro.
Combinaciones disponibles: 10-45D, 10-51D.
Dientes:
10-51D: 10-12-14-16-18-21-24-28-33-39-45-51 (471 g)</t>
  </si>
  <si>
    <t>Shimano PRO - Manillar - Tharsis 35 Carbon 10 Rise, 780mm, negro - MKP - Usado, en buen estado</t>
  </si>
  <si>
    <t>Diseñado para brindarle una mejor experiencia en bicicleta deportiva, el manillar PRO Tharsis 3Five Carbon Mini Rise está fabricado con fibra de carbono que combina ahorro de peso, cumplimiento y rigidez de la dirección para carreras de cross country o trail. Tienen una elevación de 10 milímetros, un retroceso de 9 grados, un retroceso de 4 grados y miden 780 milímetros de ancho. Como todos los manillares Tharsis 3Five, también cuentan con un diámetro de sujeción sobredimensionado de 35 milímetros.
Especificaciones
Uso: All Mountain, Cross Country, Enduro
Diámetro de la abrazadera: 35 mm
Ancho del manillar: 780 mm
Rise: 10 mm
Backsweep: 9°
Upsweep: 4°
Material: Carbono
Peso: 195g</t>
  </si>
  <si>
    <t>Specialized - Portabotella - Zee Cage integrada - MKP - Usado, en buen estado</t>
  </si>
  <si>
    <t>Portabidón diseñado para MTB y gravel que combina un diseño compacto con una multiherramienta integrada EMT, ideal para realizar ajustes rápidos durante la ruta. Su sistema de carga lateral facilita extraer e insertar el bidón en cuadros con espacio reducido, especialmente en bicicletas de suspensión completa o cuadros pequeños.
Fabricado en material compuesto reforzado, ofrece excelente resistencia y durabilidad manteniendo un peso contenido. El diseño minimalista y deportivo se integra perfectamente con bicicletas modernas de trail, enduro y XC.
Diseño de carga lateral
Carga derecha para tubo inferior y carga izquierda para tubo de sillín
Construcción en composite reforzado
Diseño compacto y minimalista
Gráficos modernos estilo Specialized</t>
  </si>
  <si>
    <t>Specialized - Tronchacadenas - SWAT para tubo de dirección, aluminio - MKP - Usado, en buen estado</t>
  </si>
  <si>
    <t>Herramienta compacta y práctica diseñada para integrarse discretamente dentro del tubo de dirección de la bicicleta, permitiendo llevar un tronchacadenas siempre disponible durante la ruta. El sistema SWAT (Storage, Water, Air, Tools) de Specialized ofrece una solución limpia y minimalista para reparaciones de emergencia sin ocupar espacio adicional en bolsillos o mochila.
Fabricado en aluminio para mayor resistencia y durabilidad, este tronchacadenas es compatible con la mayoría de transmisiones modernas y está pensado para ciclistas de MTB, gravel y trail que buscan una configuración más ordenada y funcional.</t>
  </si>
  <si>
    <t>Sram - Bielas - SX Eagle Boost, eje DUB, plato Direct Mount, CL 55, 175 mm - MKP</t>
  </si>
  <si>
    <t>Sram Bielas SX Eagle Boost, eje DUB, plato Direct Mount, CL 55, 175 mm
Bielas diseñadas para transmisiones SRAM Eagle 12 velocidades, ofreciendo un rendimiento confiable y resistente para MTB. Fabricadas en aluminio, brindan una buena relación entre durabilidad y peso, ideales para uso en Trail y All-Mountain.
Incorporan eje DUB, que mejora la rigidez y la durabilidad del sistema, además de simplificar la compatibilidad con distintos tipos de cajas de centro. El sistema Direct Mount permite una instalación directa del plato, facilitando el mantenimiento y el cambio de configuración.
Con línea de cadena de 55 mm (Boost), están optimizadas para cuadros modernos, mejorando la alineación de la transmisión y el rendimiento general.
Características:
Longitud: 175 mm
Sistema: SRAM Eagle 12v
Eje: DUB
Montaje de plato: Direct Mount
Línea de cadena: 55 mm (Boost)
Material: Aluminio
Una opción sólida para riders que buscan fiabilidad, compatibilidad y buen rendimiento en su transmisión Eagle.</t>
  </si>
  <si>
    <t>https://www.cyclingboutique.in/cdn/shop/files/SRAM-Crankset-SX-Eagle-Dub-12-Speed-2_2048x2048.jpg, https://kuranko.pe/wp-content/uploads/2026/07/WhatsApp-Image-2026-07-24-at-7.19.43-PM-1.jpeg, https://www.cyclingboutique.in/cdn/shop/files/SRAM-Crankset-SX-Eagle-Dub-12-Speed-1_1024x1024.jpg, https://kuranko.pe/wp-content/uploads/2026/07/WhatsApp-Image-2026-07-24-at-7.19.43-PM.jpeg, https://kuranko.pe/wp-content/uploads/2026/07/WhatsApp-Image-2026-07-24-at-7.19.33-PM.jpeg, https://kuranko.pe/wp-content/uploads/2026/07/WhatsApp-Image-2026-07-24-at-7.19.32-PM.jpeg</t>
  </si>
  <si>
    <t>Sram - Bottom Bracket - DUB BSA, rodamientos sellados, 73mm - MKP - Desmontado, nunca usado</t>
  </si>
  <si>
    <t>Caja de centro diseñada para bielas SRAM con eje DUB, ofreciendo una excelente combinación entre durabilidad, suavidad y compatibilidad. El sistema DUB utiliza un eje sobredimensionado de 28.99 mm que mejora la rigidez y simplifica la compatibilidad entre distintos estándares de cuadro.
La construcción con rodamientos sellados y tecnología Gutter Seal mejora la protección contra agua, barro y polvo, ideal para MTB, trail y enduro. Su interfaz BSA roscada proporciona una instalación segura y fácil mantenimiento.
🛠️ Especificaciones:
Sistema: SRAM DUB
Tipo de caja: BSA / English Threaded
Ancho compatible: 73 mm
Rodamientos sellados
Material de copas: Aluminio
Compatible con ejes SRAM DUB 28.99 mm
Color: Negro</t>
  </si>
  <si>
    <t>Sram - Cadena - SX 12s - MKP - Desmontado, nunca usado</t>
  </si>
  <si>
    <t>La Sram SX Eagle 12s es una cadena diseñada para ofrecer rendimiento confiable, durabilidad y cambios suaves, siendo la puerta de entrada al ecosistema Eagle de 12 velocidades.
Basada en la misma arquitectura de las gamas superiores (GX, X01, XX1), garantiza un funcionamiento eficiente en transmisiones 1x12, con una excelente relación entre rendimiento y precio.
Su construcción con pasadores sólidos proporciona mayor resistencia al desgaste, mientras que el sistema PowerLock permite una instalación rápida y segura sin necesidad de herramientas.
Características:
Compatible con transmisiones SRAM Eagle 12 velocidades
Cambios suaves y eficientes
Alta durabilidad para uso MTB
Sistema PowerLock (cierre rápido sin herramientas)
Diseño optimizado para transmisiones 1x
Especificaciones:
Velocidades: 12s
Longitud: según versión (114 a 126 eslabones aprox.)
Tipo de pasador: Sólido
Peso aprox.: 260 g
Una opción ideal para riders que buscan una cadena resistente, compatible y accesible dentro del sistema SRAM Eagle.
*Sacado de una bicicleta NUEVA</t>
  </si>
  <si>
    <t>https://s.alicdn.com/@sc04/kf/H1c016320c7864097984a2258f1069557G.jpg, https://kuranko.pe/wp-content/uploads/2026/07/WhatsApp-Image-2026-07-22-at-4.52.15-PM-2.jpeg, https://kuranko.pe/wp-content/uploads/2026/07/WhatsApp-Image-2026-07-22-at-4.52.15-PM-1.jpeg</t>
  </si>
  <si>
    <t>Sram - Descarrilador - NX Black 12s / Max 50t - MKP - Desmontado, nunca usado</t>
  </si>
  <si>
    <t>El descarrilador Sram NX Eagle de 12 velocidades ofrece cambios precisos, silenciosos y confiables para transmisiones MTB 1x12. Su diseño X-HORIZON™ mejora la estabilidad de la cadena y reduce movimientos no deseados, mientras que el sistema Roller Bearing Clutch™ minimiza el golpeteo en terrenos exigentes. Compatible con cassettes de hasta 50 dientes, es una excelente opción para rutas de trail, enduro y uso diario en montaña.
*Sacado de una bicicleta NUEVA</t>
  </si>
  <si>
    <t>Sram - Disco - de freno Centerline, 160mm, 6 tornillos - MKP - Desmontado, nunca usado</t>
  </si>
  <si>
    <t>El Sram Centerline 160 mm está diseñado para ofrecer una frenada suave, consistente y silenciosa, ideal tanto para MTB como para ruta o gravel. Su pista de frenado optimizada reduce vibraciones y mejora la modulación, logrando un rendimiento estable en todo momento.
Fabricado en acero de alta calidad, proporciona una excelente disipación de calor, ayudando a mantener la potencia de frenado incluso en uso prolongado. Sus bordes redondeados facilitan la instalación de la rueda y cumplen con normativas internacionales.
Características:
Diámetro: 160 mm
Montaje: 6 tornillos
Frenada suave, silenciosa y consistente
Excelente disipación de calor
Bordes redondeados para fácil instalación
Compatible con MTB, ruta y gravel
Una opción equilibrada para riders que buscan control, bajo ruido y rendimiento confiable.
*Sacado de una bicicleta NUEVA</t>
  </si>
  <si>
    <t>https://www.monark.com.pe/static/monark-pe/uploads/products/images/e53e2e7f-732210005.jpg, https://kuranko.pe/wp-content/uploads/2026/07/WhatsApp-Image-2026-07-24-at-7.19.59-PM-1.jpeg, https://kuranko.pe/wp-content/uploads/2026/07/WhatsApp-Image-2026-07-24-at-7.19.59-PM-2.jpeg</t>
  </si>
  <si>
    <t>Sram - Disco - de freno HS2, 200mm, 6 tornillos - MKP - Desmontado, nunca usado</t>
  </si>
  <si>
    <t>SRAM Disco de Freno - HS2 - 6-Agujero
El nuevo disco de freno HS2 es un disco de freno específico para bicicletas de montaña, diseñado para mejorar el rendimiento de la frenada al tiempo que reduce el ruido y optimiza la disipación del calor. Con un nuevo perfil para una mejor tracción de las pastillas de freno y radios empotrados con un revestimiento que disipa el calor, el HS2 es un disco de freno más potente y silencioso con la mejor gestión térmica de su clase.
Características del disco de freno HS2 de SRAM 
Rotor más grueso de 2,00 mm
Gestión térmica superior
7% más de potencia
Disponibles en 6 agujeros y en cierre central
*Sacado de una bicicleta NUEVA</t>
  </si>
  <si>
    <t>https://www.sram.com/globalassets/image-hierarchy/sram-product-root-images/rotors/rotors/rt-hs-2-a1/productassets_rt-hs-2-a1_fg/am-db-rotorbolts-hs2-200-rounded-c-side-s.png?w=800&amp;quality=90&amp;format=webp, https://kuranko.pe/wp-content/uploads/2026/07/WhatsApp-Image-2026-07-22-at-4.52.17-PM-2.jpeg, https://kuranko.pe/wp-content/uploads/2026/07/WhatsApp-Image-2026-07-22-at-4.52.17-PM-1.jpeg, https://kuranko.pe/wp-content/uploads/2026/07/WhatsApp-Image-2026-07-22-at-4.52.17-PM.jpeg</t>
  </si>
  <si>
    <t>Sram - Freno - Level, caliper de 2 pistones, delantero y posterior - MKP - Desmontado, nunca usado</t>
  </si>
  <si>
    <t>Sram Freno Level, Caliper de 2 Pistones
El Sram Level con caliper de 2 pistones está diseñado para ofrecer una frenada ligera, precisa y eficiente, ideal para XC y Trail donde el peso y el control son clave.
Su construcción en aluminio proporciona una excelente relación entre ligereza y resistencia, mientras que su sistema hidráulico ofrece una frenada progresiva y con buena modulación, permitiendo dosificar la potencia con precisión en todo momento. Está pensado para un rendimiento moderno en MTB, manteniendo un balance perfecto entre potencia y peso.
Gracias a su diseño optimizado, es un freno ideal para riders que buscan control, consistencia y bajo peso en recorridos técnicos y subidas exigentes.
Características:
Caliper de 2 pistones
Construcción en aluminio
Frenada progresiva y controlable
Excelente relación peso / rendimiento
Uso: XC y Trail
Una opción confiable para quienes priorizan ligereza, precisión y eficiencia en su bicicleta.
*Sacado de una bicicleta NUEVA</t>
  </si>
  <si>
    <t>Sram - Piñon - NX Eagle PG-1230 11-50 12V - MKP - Desmontado, nunca usado</t>
  </si>
  <si>
    <t>Características:
- 12 velocidades
- Compatibles con núcleos estriados de 8, 9 y 10 velocidades
- Rango de piñones: 11-13-15-17-19-22-25-28-32-36-42-50
- Peso: 615 g
- Compatible con todos los grupos SRAM Eagle</t>
  </si>
  <si>
    <t>Sram - Shifter - SX Trigger Black 12s - MKP - Desmontado, nunca usado</t>
  </si>
  <si>
    <t>Mando de cambio diseñado para ofrecer cambios rápidos, precisos y confiables dentro del ecosistema Eagle de 12 velocidades. El Sram SX Eagle Trigger utiliza la tecnología X-Actuation, que mantiene un rendimiento constante y preciso a lo largo de todo el cassette.
Su sistema Zero Loss garantiza que cada accionamiento de la palanca se traduzca inmediatamente en un cambio, sin retrasos ni juego, logrando una respuesta directa y eficiente en cualquier terreno.
Pensado para transmisiones 1x12 MTB, permite cambios intuitivos y puede accionar múltiples velocidades en un solo movimiento, facilitando la adaptación a subidas y descensos.
*Sacado de una bicicleta NUEVA
Características:
Compatible con transmisiones SRAM Eagle 12 velocidades
Tecnología X-Actuation 1:1 para cambios precisos
Sistema Zero Loss para respuesta inmediata
Tipo: Trigger (gatillo)
Incluye abrazadera para montaje en manillar
Diseño simple, funcional y resistente
Uso: MTB (XC, Trail, Enduro)
Una opción ideal para riders que buscan cambios confiables, simples y eficientes dentro del sistema SRAM Eagle.
*Sacado de una bicicleta NUEVA</t>
  </si>
  <si>
    <t>https://www.sram.com/globalassets/image-hierarchy/sram-product-root-images/shifters/shifters---lever/sl-sx-1-a1/blacksidel.jpg?w=1600&amp;quality=90&amp;format=webp, https://kuranko.pe/wp-content/uploads/2026/07/WhatsApp-Image-2026-07-22-at-4.51.53-PM.jpeg, https://kuranko.pe/wp-content/uploads/2026/07/WhatsApp-Image-2026-07-22-at-4.51.52-PM-4.jpeg, https://kuranko.pe/wp-content/uploads/2026/07/WhatsApp-Image-2026-07-22-at-4.51.52-PM-3.jpeg</t>
  </si>
  <si>
    <t>TranzX - dropper - post cableado interior 27.2x405 110mm + mando remoto - MKP - Usado, en buen estado</t>
  </si>
  <si>
    <t>Especificaciones:
Aleación 7075 T651
Desplazamiento: 0 mm
Diámetro: 27,2 mm.
Largo: 405 mm.
Recorrido: 110 mm.
490 g (sin cables)</t>
  </si>
  <si>
    <t>MKPF02ADA01BR0001</t>
  </si>
  <si>
    <t>Brakco - Adaptador - Post Mount AP-09 180mm delantero (1 unid) - MKP - Usado, en buen estado</t>
  </si>
  <si>
    <t>&lt;p&gt;Adaptador Post Mount Brakco AP-09 para montaje de freno delantero con rotor de 180 mm. Fabricado en aluminio para una instalación segura y precisa.&lt;/p&gt;</t>
  </si>
  <si>
    <t>MKP978-02-630</t>
  </si>
  <si>
    <t>FOX - Amortiguador - DHX2 Factory Series 2025-2024, Trunnion, 225x70 mm, 400 lb/in, SLS sin resorte - 978-02-630 - MKP - Usado, en buen estado</t>
  </si>
  <si>
    <t>&lt;p&gt;Amortiguador trasero FOX DHX2 Factory Series diseñado para bicicletas de descenso y alto rendimiento. Cuenta con ajuste de compresión de alta y baja velocidad (HSC/LSC), rebote de alta y baja velocidad (HSR/LSR), configuración Trunnion y resorte SLS de 400 lb/in. Acabado Matte Stealth con logo a juego.&lt;/p&gt;&lt;p&gt;&lt;strong&gt;Especificaciones:&lt;/strong&gt;&lt;/p&gt;&lt;ul&gt;&lt;li&gt;&lt;p&gt;Modelo: DHX2 Factory Series&lt;/p&gt;&lt;/li&gt;&lt;li&gt;&lt;p&gt;Años: 2024-2025&lt;/p&gt;&lt;/li&gt;&lt;li&gt;&lt;p&gt;Configuración: Trunnion&lt;/p&gt;&lt;/li&gt;&lt;li&gt;&lt;p&gt;Medida: 225 x 70 mm&lt;/p&gt;&lt;/li&gt;&lt;li&gt;&lt;p&gt;Resorte: SLS 400 lb/in&lt;/p&gt;&lt;/li&gt;&lt;li&gt;&lt;p&gt;Ajustes: HSC, LSC, HSR, LSR&lt;/p&gt;&lt;/li&gt;&lt;li&gt;&lt;p&gt;Recubrimiento: Kashima&lt;/p&gt;&lt;/li&gt;&lt;li&gt;&lt;p&gt;Color: Matte Stealth&lt;/p&gt;&lt;/li&gt;&lt;li&gt;&lt;p&gt;Aplicación: Mondraker Summum&lt;/p&gt;&lt;/li&gt;&lt;li&gt;&lt;p&gt;Part Number: 978-02-630&lt;/p&gt;&lt;/li&gt;&lt;/ul&gt;</t>
  </si>
  <si>
    <t>https://kuranko.pe/wp-content/uploads/2026/09/WhatsApp-Image-2026-09-19-at-2.31.32-PM.jpeg, https://kuranko.pe/wp-content/uploads/2026/09/WhatsApp-Image-2026-09-19-at-2.31.39-PM.jpeg, https://kuranko.pe/wp-content/uploads/2026/09/WhatsApp-Image-2026-09-19-at-2.31.30-PM.jpeg, https://kuranko.pe/wp-content/uploads/2026/09/WhatsApp-Image-2026-09-19-at-2.31.35-PM.jpeg</t>
  </si>
  <si>
    <t>MKPR10ROD10GF0004</t>
  </si>
  <si>
    <t>G Form - Rodillera - Eline - Azul - Talla L- MKP - Usado</t>
  </si>
  <si>
    <t>&lt;p&gt;Cómodo, protector, ligero y transpirable&lt;br&gt;Los protectores de E-Line están diseñados para jinetes que se enfrentan a paseos agresivos en terrenos técnicos y también quieren permanecer en la silla de montar durante mucho tiempo. Con el énfasis en el ajuste sin igual, la protección al más alto nivel, la comodidad y la transpiración, el E-Line fue desarrollado especialmente para estas necesidades.Características de los protectores de rodilla de E-Line&lt;br&gt;Certificación CE para protectores de motocicletas/bicicletas (CE EN 1621-1:2012), mejor cobertura que la requerida por la certificación CE&lt;br&gt;ventilado, construcción de cuatro capas&lt;br&gt;Espuma EVA para un alto confort de uso&lt;br&gt;almohadillas SmartFlex™&lt;/p&gt;</t>
  </si>
  <si>
    <t>https://kuranko.pe/wp-content/uploads/2026/09/WhatsApp-Image-2026-09-19-at-2.34.37-PM-1.jpeg, https://kuranko.pe/wp-content/uploads/2026/09/WhatsApp-Image-2026-09-19-at-2.34.37-PM.jpeg, https://kuranko.pe/wp-content/uploads/2026/09/WhatsApp-Image-2026-09-19-at-2.34.35-PM.jpeg, https://kuranko.pe/wp-content/uploads/2026/09/WhatsApp-Image-2026-09-19-at-2.34.34-PM.jpeg, https://kuranko.pe/wp-content/uploads/2026/09/WhatsApp-Image-2026-09-19-at-2.34.33-PM-1.jpeg, https://kuranko.pe/wp-content/uploads/2026/09/WhatsApp-Image-2026-09-19-at-2.34.33-PM.jpeg, https://kuranko.pe/wp-content/uploads/2026/09/WhatsApp-Image-2026-09-19-at-2.34.31-PM.jpeg</t>
  </si>
  <si>
    <t>MKPF02ADA01KU0001</t>
  </si>
  <si>
    <t>Kuranko - Adaptador - Post Mount +20mm (1 unid) - MKP - Usando, en buen estado</t>
  </si>
  <si>
    <t>&lt;p&gt;Adaptador Post Mount +20 mm fabricado en aluminio, diseñado para aumentar el diámetro del rotor en sistemas de freno compatibles.&lt;/p&gt;</t>
  </si>
  <si>
    <t>MKP77651165X</t>
  </si>
  <si>
    <t>&lt;p&gt;Kit de repuesto Mavic para mantenimiento y reparación de ruedas. Incluye los componentes necesarios para sustituir elementos de la rueda y realizar trabajos de mantenimiento.&lt;/p&gt;&lt;p&gt;&lt;strong&gt;Contenido del kit:&lt;/strong&gt;&lt;/p&gt;&lt;ul&gt;&lt;li&gt;&lt;p&gt;1 válvula&lt;/p&gt;&lt;/li&gt;&lt;li&gt;&lt;p&gt;2 radios en J&lt;/p&gt;&lt;/li&gt;&lt;li&gt;&lt;p&gt;2 nipples&lt;/p&gt;&lt;/li&gt;&lt;/ul&gt;</t>
  </si>
  <si>
    <t>https://kuranko.pe/wp-content/uploads/2026/09/WhatsApp-Image-2026-09-19-at-2.34.30-PM.jpeg, https://kuranko.pe/wp-content/uploads/2026/09/WhatsApp-Image-2026-09-19-at-2.34.29-PM.jpeg, https://kuranko.pe/wp-content/uploads/2026/09/WhatsApp-Image-2026-09-19-at-2.32.02-PM.jpeg</t>
  </si>
  <si>
    <t>MKPTB00211100</t>
  </si>
  <si>
    <t>Maxxis - Llanta - Rekon Race 29 x 2.40 EXO/TR 120 TPI, - TB00211100 - MKP - Desmontado, nunca usado</t>
  </si>
  <si>
    <t>&lt;p&gt;Neumático &lt;strong&gt;Maxxis Rekon Race&lt;/strong&gt; de &lt;strong&gt;29 x 2.40&lt;/strong&gt;, desarrollado para &lt;strong&gt;XC y competición&lt;/strong&gt;, con un diseño de banda de rodadura de bajo perfil que favorece una rodadura rápida en terrenos secos y circuitos de short track.&lt;/p&gt;&lt;p&gt;Esta versión incorpora carcasa &lt;strong&gt;120 TPI&lt;/strong&gt;, protección lateral &lt;strong&gt;EXO&lt;/strong&gt;, tecnología &lt;strong&gt;Tubeless Ready&lt;/strong&gt; y aro plegable. La medida &lt;strong&gt;29 x 2.40 WT&lt;/strong&gt; está optimizada para aros con un ancho interno de &lt;strong&gt;30 mm&lt;/strong&gt;.&lt;/p&gt;&lt;p&gt;&lt;strong&gt;Especificaciones:&lt;/strong&gt;&lt;/p&gt;&lt;ul&gt;&lt;li&gt;&lt;p&gt;Marca: &lt;strong&gt;Maxxis&lt;/strong&gt;&lt;/p&gt;&lt;/li&gt;&lt;li&gt;&lt;p&gt;Modelo: &lt;strong&gt;Rekon Race&lt;/strong&gt;&lt;/p&gt;&lt;/li&gt;&lt;li&gt;&lt;p&gt;Medida: &lt;strong&gt;29 x 2.40 WT&lt;/strong&gt;&lt;/p&gt;&lt;/li&gt;&lt;li&gt;&lt;p&gt;ETRTO: &lt;strong&gt;61-622&lt;/strong&gt;&lt;/p&gt;&lt;/li&gt;&lt;li&gt;&lt;p&gt;TPI: &lt;strong&gt;120&lt;/strong&gt;&lt;/p&gt;&lt;/li&gt;&lt;li&gt;&lt;p&gt;Compuesto: &lt;strong&gt;Dual&lt;/strong&gt;&lt;/p&gt;&lt;/li&gt;&lt;li&gt;&lt;p&gt;Carcasa: &lt;strong&gt;EXO&lt;/strong&gt;&lt;/p&gt;&lt;/li&gt;&lt;li&gt;&lt;p&gt;Tecnología: &lt;strong&gt;Tubeless Ready (TR)&lt;/strong&gt;&lt;/p&gt;&lt;/li&gt;&lt;li&gt;&lt;p&gt;Aro: &lt;strong&gt;Plegable&lt;/strong&gt;&lt;/p&gt;&lt;/li&gt;&lt;li&gt;&lt;p&gt;Peso de catálogo: &lt;strong&gt;aprox. 814–816 g&lt;/strong&gt;&lt;/p&gt;&lt;/li&gt;&lt;li&gt;&lt;p&gt;Uso recomendado: &lt;strong&gt;XC / XC Race&lt;/strong&gt;&lt;/p&gt;&lt;/li&gt;&lt;li&gt;&lt;p&gt;Referencia: &lt;strong&gt;TB00211100&lt;/strong&gt;&lt;/p&gt;&lt;/li&gt;&lt;li&gt;&lt;p&gt;Presentación: &lt;strong&gt;1 unidad&lt;/strong&gt;&lt;/p&gt;&lt;/li&gt;&lt;/ul&gt;</t>
  </si>
  <si>
    <t>https://kuranko.pe/wp-content/uploads/2026/09/WhatsApp-Image-2026-09-19-at-2.34.53-PM-3.jpeg, https://kuranko.pe/wp-content/uploads/2026/09/WhatsApp-Image-2026-09-19-at-2.34.53-PM-2.jpeg, https://kuranko.pe/wp-content/uploads/2026/09/WhatsApp-Image-2026-09-19-at-2.34.53-PM-1.jpeg</t>
  </si>
  <si>
    <t>DY37020.06015MKP</t>
  </si>
  <si>
    <t>ONOFF - Manillar - S6 Carbon 0.2, carbono, 31.8mm, 760mm ancho, 5mm rise, negro - MKP - Desmontado, nunca usado</t>
  </si>
  <si>
    <t>&lt;p&gt;Manillar de carbono diseñado para XC, down country y trail ligero, ofreciendo una excelente combinación entre bajo peso, rigidez y absorción de vibraciones. Fabricado en fibra de carbono unidireccional, proporciona una conducción precisa y un mayor confort, reduciendo la fatiga en rutas largas y terrenos técnicos.&lt;/p&gt;&lt;p&gt;Su diámetro de abrazadera de 31.8 mm garantiza compatibilidad con la mayoría de potencias del mercado, mientras que sus 760 mm de ancho y 5 mm de elevación ofrecen un equilibrio ideal entre control, estabilidad y eficiencia de pedaleo. El backsweep de 9° favorece una posición natural de las manos para una mayor comodidad.&lt;/p&gt;&lt;p&gt;Esta unidad corresponde a una pieza desmontada de bicicleta nueva, nunca utilizada, por lo que se encuentra en excelente estado estético y funcional.&lt;/p&gt;&lt;p&gt;&lt;strong&gt;🛠️ Especificaciones:&lt;/strong&gt;&lt;/p&gt;&lt;ul&gt;&lt;li&gt;&lt;p&gt;Material: Fibra de carbono unidireccional&lt;/p&gt;&lt;/li&gt;&lt;li&gt;&lt;p&gt;Diámetro de abrazadera: 31.8 mm&lt;/p&gt;&lt;/li&gt;&lt;li&gt;&lt;p&gt;Ancho: 760 mm&lt;/p&gt;&lt;/li&gt;&lt;li&gt;&lt;p&gt;Elevación (Rise): 5 mm&lt;/p&gt;&lt;/li&gt;&lt;li&gt;&lt;p&gt;Backsweep: 9°&lt;/p&gt;&lt;/li&gt;&lt;li&gt;&lt;p&gt;Upsweep: 0°&lt;/p&gt;&lt;/li&gt;&lt;li&gt;&lt;p&gt;Color: Negro&lt;/p&gt;&lt;/li&gt;&lt;li&gt;&lt;p&gt;Uso recomendado: XC / Down Country / Trail ligero&lt;/p&gt;&lt;/li&gt;&lt;li&gt;&lt;p&gt;Estado: Desmontado, nunca usado&lt;/p&gt;&lt;/li&gt;&lt;/ul&gt;</t>
  </si>
  <si>
    <t>https://kuranko.pe/wp-content/uploads/2026/09/WhatsApp-Image-2026-09-19-at-2.34.52-PM-1.jpeg, https://kuranko.pe/wp-content/uploads/2026/09/WhatsApp-Image-2026-09-19-at-2.34.52-PM-2.jpeg, https://kuranko.pe/wp-content/uploads/2026/09/WhatsApp-Image-2026-09-19-at-2.34.51-PM.jpeg, https://kuranko.pe/wp-content/uploads/2026/09/WhatsApp-Image-2026-09-19-at-2.34.50-PM-1.jpeg, https://kuranko.pe/wp-content/uploads/2026/09/WhatsApp-Image-2026-09-19-at-2.34.50-PM.jpeg, https://kuranko.pe/wp-content/uploads/2026/09/WhatsApp-Image-2026-09-19-at-2.34.49-PM-1.jpeg</t>
  </si>
  <si>
    <t>MKP00.4020.572.005</t>
  </si>
  <si>
    <t>RockShox - Vástago - de aire - DebonAir C1 130 mm para Lyrik/Yari A1+ (2016+) - MKP - Usado, en buen estado</t>
  </si>
  <si>
    <t>&lt;p&gt;Vástago de aire DebonAir C1 de 130 mm para horquillas RockShox Lyrik y Yari compatibles. Permite configurar la horquilla para un recorrido de 130 mm mediante el sistema de aire DebonAir C1.&lt;/p&gt;&lt;p&gt;&lt;strong&gt;Compatibilidad:&lt;/strong&gt;&lt;/p&gt;&lt;ul&gt;&lt;li&gt;&lt;p&gt;RockShox Lyrik A1-C3, 2016-2022&lt;/p&gt;&lt;/li&gt;&lt;li&gt;&lt;p&gt;RockShox Yari A1-B3, 2016-2022&lt;/p&gt;&lt;/li&gt;&lt;/ul&gt;&lt;p&gt;&lt;strong&gt;Especificaciones:&lt;/strong&gt;&lt;/p&gt;&lt;ul&gt;&lt;li&gt;&lt;p&gt;Sistema: DebonAir C1&lt;/p&gt;&lt;/li&gt;&lt;li&gt;&lt;p&gt;Recorrido: 130 mm&lt;/p&gt;&lt;/li&gt;&lt;li&gt;&lt;p&gt;Tipo: Vástago de aire / Air Shaft&lt;/p&gt;&lt;/li&gt;&lt;/ul&gt;</t>
  </si>
  <si>
    <t>https://kuranko.pe/wp-content/uploads/2026/09/WhatsApp-Image-2026-09-19-at-2.31.29-PM.jpeg, https://kuranko.pe/wp-content/uploads/2026/09/WhatsApp-Image-2026-09-19-at-2.31.28-PM.jpeg</t>
  </si>
  <si>
    <t>MKP4550170451967</t>
  </si>
  <si>
    <t>Shimano - Disco - SLX SM-RT64 Center Lock 180mm - MKP - Usado, en buen estado</t>
  </si>
  <si>
    <t>&lt;p&gt;Disco Shimano SLX SM-RT64 Center LockLa superficie de frenada en acero inoxidable cortada con precisión garantiza la limpieza de la pastilla en condiciones de barro y ayuda al enfriamiento bajo esfuerzos elevados.&lt;br&gt;Se incrementa la durabilidad y las prestaciones de la pastilla de freno&lt;br&gt;La araña en aleación de aluminio hace de soporte a la superficie del rotor, aumentando la rigidez y reduciendo el peso.Peso: alrededor de 153 g. (160 mm)&lt;br&gt;12 g más ligero que el SM-RT62.&lt;/p&gt;</t>
  </si>
  <si>
    <t>https://kuranko.pe/wp-content/uploads/2026/09/WhatsApp-Image-2026-09-19-at-2.31.54-PM.jpeg, https://kuranko.pe/wp-content/uploads/2026/09/WhatsApp-Image-2026-09-19-at-2.31.49-PM.jpeg, https://kuranko.pe/wp-content/uploads/2026/09/WhatsApp-Image-2026-09-19-at-2.31.47-PM.jpeg, https://kuranko.pe/wp-content/uploads/2026/09/WhatsApp-Image-2026-09-19-at-2.31.45-PM.jpeg, https://kuranko.pe/wp-content/uploads/2026/09/WhatsApp-Image-2026-09-19-at-2.31.43-PM.jpeg</t>
  </si>
  <si>
    <t>MKP0000000020</t>
  </si>
  <si>
    <t>Shimano - shifter - SLX M7100 1x12v - MKP - Usado, en buen estado</t>
  </si>
  <si>
    <t>Maneta de cambios diseñada para transmisiones Shimano 12 velocidades, ofreciendo cambios rápidos, precisos y suaves incluso en terrenos exigentes. El SLX M7100 incorpora tecnología Rapidfire Plus con sistema 2-Way Release, permitiendo accionar los cambios con pulgar o índice para una respuesta más natural y eficiente en trail, enduro y XC.
Su diseño ergonómico mejora la sensación de control en el cockpit, mientras que el mecanismo Instant Release proporciona cambios más rápidos bajo carga. Compatible con transmisiones Shimano Hyperglide+ de 12 velocidades.
🛠️ Especificaciones:
Velocidades: 1x12v
Serie: Shimano SLX M7100
Tecnología: Rapidfire Plus
Función: 2-Way Release
Montaje: Abrazadera
Compatibilidad: Shimano 12 velocidades Hyperglide+
Color: Negro</t>
  </si>
  <si>
    <t>MKP00.3018.117.000</t>
  </si>
  <si>
    <t>SRAM - Cargador - de Batería eTap / AXS con Cable USB - MKP - Nuevo, nunca usado</t>
  </si>
  <si>
    <t>&lt;p&gt;Cargador &lt;strong&gt;SRAM para baterías eTap / AXS&lt;/strong&gt;, diseñado para cargar de forma rápida y sencilla las baterías extraíbles de los sistemas electrónicos SRAM. El cargador funciona mediante conexión USB y permite cargar una batería completamente en aproximadamente &lt;strong&gt;45 minutos&lt;/strong&gt;.&lt;/p&gt;&lt;p&gt;La batería se retira fácilmente del componente sin herramientas y se coloca directamente en la estación de carga. El cargador puede conectarse a una fuente de alimentación USB o a un adaptador USB A/C.&lt;/p&gt;&lt;p&gt;&lt;strong&gt;Contenido:&lt;/strong&gt;&lt;/p&gt;&lt;ul&gt;&lt;li&gt;&lt;p&gt;&lt;strong&gt;Cargador SRAM para batería eTap / AXS:&lt;/strong&gt; 1 unidad&lt;/p&gt;&lt;/li&gt;&lt;li&gt;&lt;p&gt;&lt;strong&gt;Cable USB:&lt;/strong&gt; 1 unidad&lt;/p&gt;&lt;/li&gt;&lt;/ul&gt;&lt;p&gt;&lt;strong&gt;Especificaciones:&lt;/strong&gt;&lt;/p&gt;&lt;ul&gt;&lt;li&gt;&lt;p&gt;Marca: &lt;strong&gt;SRAM&lt;/strong&gt;&lt;/p&gt;&lt;/li&gt;&lt;li&gt;&lt;p&gt;Compatibilidad: &lt;strong&gt;Baterías SRAM eTap / AXS&lt;/strong&gt;&lt;/p&gt;&lt;/li&gt;&lt;li&gt;&lt;p&gt;Tiempo de carga completa: &lt;strong&gt;aprox. 45 minutos&lt;/strong&gt;&lt;/p&gt;&lt;/li&gt;&lt;li&gt;&lt;p&gt;Conexión: &lt;strong&gt;USB&lt;/strong&gt;&lt;/p&gt;&lt;/li&gt;&lt;li&gt;&lt;p&gt;Referencia: &lt;strong&gt;00.3018.117.000&lt;/strong&gt;&lt;/p&gt;&lt;/li&gt;&lt;li&gt;&lt;p&gt;Presentación: &lt;strong&gt;1 cargador + 1 cable USB&lt;/strong&gt;&lt;/p&gt;&lt;/li&gt;&lt;/ul&gt;&lt;p&gt;&lt;strong&gt;Nota:&lt;/strong&gt; No incluye batería. La batería mostrada en imágenes es únicamente ilustrativa.&lt;/p&gt;</t>
  </si>
  <si>
    <t>https://kuranko.pe/wp-content/uploads/2026/09/WhatsApp-Image-2026-09-19-at-2.34.53-PM.jpeg, https://kuranko.pe/wp-content/uploads/2026/09/WhatsApp-Image-2026-09-19-at-2.34.52-PM.jpeg</t>
  </si>
  <si>
    <t>MKP00.5018.111.001</t>
  </si>
  <si>
    <t>Sram - Disco - de freno Centerline, 160mm, 6 tornillos - MKP - Usado</t>
  </si>
  <si>
    <t>&lt;p&gt;El Sram Centerline 160 mm está diseñado para ofrecer una frenada suave, consistente y silenciosa, ideal tanto para MTB como para ruta o gravel. Su pista de frenado optimizada reduce vibraciones y mejora la modulación, logrando un rendimiento estable en todo momento.Fabricado en acero de alta calidad, proporciona una excelente disipación de calor, ayudando a mantener la potencia de frenado incluso en uso prolongado. Sus bordes redondeados facilitan la instalación de la rueda y cumplen con normativas internacionales.Características:Diámetro: 160 mm&lt;br&gt;Montaje: 6 tornillos&lt;br&gt;Frenada suave, silenciosa y consistente&lt;br&gt;Excelente disipación de calor&lt;br&gt;Bordes redondeados para fácil instalación&lt;br&gt;Compatible con MTB, ruta y gravelUna opción equilibrada para riders que buscan control, bajo ruido y rendimiento confiable.&lt;br&gt;*Sacado de una bicicleta NUEVA&lt;/p&gt;</t>
  </si>
  <si>
    <t>https://kuranko.pe/wp-content/uploads/2026/07/WhatsApp-Image-2026-07-24-at-7.19.59-PM-1.jpeg, https://kuranko.pe/wp-content/uploads/2026/07/WhatsApp-Image-2026-07-24-at-7.19.59-PM-2.jpeg</t>
  </si>
  <si>
    <t>MKP0000000003</t>
  </si>
  <si>
    <t>Sram - Disco - de freno Centerline, 180mm, 6 tornillos - MKP - Desmontado, nunca usado</t>
  </si>
  <si>
    <t>El Sram Centerline 180 mm ofrece las mismas ventajas de la línea Centerline, pero con mayor diámetro para una mayor potencia de frenado y mejor gestión del calor, ideal para uso más agresivo o riders que buscan mayor seguridad en descensos largos.
Su diseño garantiza una frenada consistente, silenciosa y libre de vibraciones, mientras que su construcción en acero asegura durabilidad y rendimiento constante en condiciones exigentes.
Características:
Diámetro: 180 mm
Montaje: 6 tornillos
Mayor potencia y control de frenado
Excelente disipación de calor
Funcionamiento suave y silencioso
Compatible con MTB, Trail y Enduro
Ideal para quienes necesitan más potencia de frenado sin sacrificar control ni estabilidad
*Sacado de una bicicleta NUEVA</t>
  </si>
  <si>
    <t>https://bikeperushop.pe/wp-content/uploads/2022/12/FRENO-180MM.jpg</t>
  </si>
  <si>
    <t>SRA720131MKP</t>
  </si>
  <si>
    <t>Sram - Juego de frenos - Motive Silver Stealth, caliper de 4 pistones -MKP -Desmontado, nunca usado</t>
  </si>
  <si>
    <t>&lt;p&gt;El juego de frenos &lt;strong&gt;SRAM Motive Silver Stealth&lt;/strong&gt; ha sido desarrollado para satisfacer las exigencias del XC moderno y el trail, ofreciendo una combinación excepcional de potencia, bajo peso y control. Inspirado en la reconocida plataforma Code, incorpora una pinza de &lt;strong&gt;4 pistones&lt;/strong&gt; que proporciona una frenada potente y modulable, ideal para bicicletas de alto rendimiento y los senderos más exigentes.&lt;/p&gt;&lt;p&gt;Su diseño &lt;strong&gt;Stealth&lt;/strong&gt; integra las mangueras de forma más limpia en el cockpit y complementa perfectamente las transmisiones SRAM AXS. La maneta de aluminio con pivote sobre rodamiento ofrece un accionamiento suave y preciso, mientras que el ajuste de alcance sin herramientas permite personalizar la ergonomía rápidamente. Además, utiliza &lt;strong&gt;aceite mineral SRAM&lt;/strong&gt;, reduciendo el mantenimiento y mejorando la consistencia del rendimiento en todo tipo de condiciones.&lt;/p&gt;&lt;p&gt;&lt;strong&gt;🛠️ Especificaciones:&lt;/strong&gt;&lt;/p&gt;&lt;ul&gt;&lt;li&gt;&lt;p&gt;Tipo: Juego de frenos hidráulicos MTB (delantero y posterior)&lt;/p&gt;&lt;/li&gt;&lt;li&gt;&lt;p&gt;Pinza: 4 pistones&lt;/p&gt;&lt;/li&gt;&lt;li&gt;&lt;p&gt;Diseño: Stealth&lt;/p&gt;&lt;/li&gt;&lt;li&gt;&lt;p&gt;Material de la maneta: Aluminio&lt;/p&gt;&lt;/li&gt;&lt;li&gt;&lt;p&gt;Pivote de la maneta: Rodamiento&lt;/p&gt;&lt;/li&gt;&lt;li&gt;&lt;p&gt;Ajuste de alcance: Sin herramientas&lt;/p&gt;&lt;/li&gt;&lt;li&gt;&lt;p&gt;Líquido de frenos: Aceite mineral SRAM&lt;/p&gt;&lt;/li&gt;&lt;li&gt;&lt;p&gt;Puerto de purga: Bleeding Edge&lt;/p&gt;&lt;/li&gt;&lt;li&gt;&lt;p&gt;Color: Negro anodizado brillante&lt;/p&gt;&lt;/li&gt;&lt;li&gt;&lt;p&gt;Uso recomendado: XC / Down Country / Trail&lt;/p&gt;&lt;/li&gt;&lt;/ul&gt;</t>
  </si>
  <si>
    <t>https://kuranko.pe/wp-content/uploads/2026/09/WhatsApp-Image-2026-09-19-at-2.34.46-PM.jpeg, https://kuranko.pe/wp-content/uploads/2026/09/WhatsApp-Image-2026-09-19-at-2.34.48-PM.jpeg, https://kuranko.pe/wp-content/uploads/2026/09/WhatsApp-Image-2026-09-19-at-2.34.49-PM.jpeg, https://kuranko.pe/wp-content/uploads/2026/09/WhatsApp-Image-2026-09-19-at-2.34.44-PM-1.jpeg, https://kuranko.pe/wp-content/uploads/2026/09/WhatsApp-Image-2026-09-19-at-2.34.44-PM.jpeg</t>
  </si>
  <si>
    <t>Mavic - Kit - de Rueda - 1 Válvula, 2 Radios en J y 2 Nipples MKP</t>
  </si>
  <si>
    <t>Shimano - Frenos - Deore xt 4 pistones usados MKP</t>
  </si>
  <si>
    <t>Sin marca - cámara - MTB 29 Universal MKP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</si>
</sst>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sz val="11"/>
      <name val="Aptos Narrow"/>
      <family val="2"/>
      <scheme val="minor"/>
    </font>
    <font>
      <b/>
      <sz val="11"/>
      <color rgb="FFFF0000"/>
      <name val="Aptos Narrow"/>
      <family val="2"/>
      <scheme val="minor"/>
    </font>
    <font>
      <strike/>
      <sz val="11"/>
      <color theme="1"/>
      <name val="Aptos Narrow"/>
      <family val="2"/>
      <scheme val="minor"/>
    </font>
    <font>
      <b/>
      <sz val="11"/>
      <color theme="0" tint="-0.34998626667073579"/>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16">
    <xf numFmtId="0" fontId="0" fillId="0" borderId="0" xfId="0"/>
    <xf numFmtId="0" fontId="0" fillId="2" borderId="0" xfId="0" applyFill="1"/>
    <xf numFmtId="0" fontId="1" fillId="0" borderId="0" xfId="0" applyFont="1"/>
    <xf numFmtId="0" fontId="2" fillId="0" borderId="0" xfId="0" applyFont="1"/>
    <xf numFmtId="0" fontId="3" fillId="0" borderId="0" xfId="0" applyFont="1"/>
    <xf numFmtId="0" fontId="4" fillId="0" borderId="0" xfId="0" applyFont="1"/>
    <xf numFmtId="0" fontId="0" fillId="3" borderId="0" xfId="0" applyFill="1"/>
    <xf numFmtId="0" fontId="4" fillId="3" borderId="0" xfId="0" applyFont="1" applyFill="1"/>
    <xf numFmtId="0" fontId="0" fillId="0" borderId="0" xfId="0" applyAlignment="1">
      <alignment horizontal="center" vertical="center" wrapText="1"/>
    </xf>
    <xf numFmtId="0" fontId="5" fillId="0" borderId="0" xfId="0" applyFont="1" applyAlignment="1">
      <alignment horizontal="center" vertical="center" wrapText="1"/>
    </xf>
    <xf numFmtId="49" fontId="0" fillId="0" borderId="0" xfId="0" applyNumberFormat="1" applyAlignment="1">
      <alignment wrapText="1"/>
    </xf>
    <xf numFmtId="0" fontId="0" fillId="0" borderId="0" xfId="0" applyAlignment="1">
      <alignment wrapText="1"/>
    </xf>
    <xf numFmtId="0" fontId="5" fillId="0" borderId="0" xfId="0" applyFont="1"/>
    <xf numFmtId="49" fontId="0" fillId="0" borderId="0" xfId="0" applyNumberFormat="1"/>
    <xf numFmtId="0" fontId="5" fillId="0" borderId="0" xfId="0" applyFont="1" applyAlignment="1">
      <alignment horizontal="left" vertical="center"/>
    </xf>
    <xf numFmtId="0" fontId="5" fillId="0" borderId="0" xfId="0" applyFont="1" applyAlignment="1">
      <alignment horizontal="left" vertical="center" wrapText="1"/>
    </xf>
  </cellXfs>
  <cellStyles count="1">
    <cellStyle name="Normal" xfId="0" builtinId="0"/>
  </cellStyles>
  <dxfs count="3">
    <dxf>
      <fill>
        <patternFill>
          <bgColor theme="9" tint="0.59996337778862885"/>
        </patternFill>
      </fill>
    </dxf>
    <dxf>
      <font>
        <b/>
        <i val="0"/>
        <strike val="0"/>
        <condense val="0"/>
        <extend val="0"/>
        <outline val="0"/>
        <shadow val="0"/>
        <u val="none"/>
        <vertAlign val="baseline"/>
        <sz val="11"/>
        <color theme="0" tint="-0.34998626667073579"/>
        <name val="Aptos Narrow"/>
        <family val="2"/>
        <scheme val="minor"/>
      </font>
      <alignment horizontal="center" vertical="center" textRotation="0" wrapText="1" indent="0" justifyLastLine="0" shrinkToFit="0" readingOrder="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087630-5C7D-4A25-8B74-164A09F0E534}" name="Tabla2" displayName="Tabla2" ref="A1:AC188" totalsRowShown="0">
  <autoFilter ref="A1:AC188" xr:uid="{83087630-5C7D-4A25-8B74-164A09F0E534}"/>
  <tableColumns count="29">
    <tableColumn id="1" xr3:uid="{5510D91E-3BAA-4771-B935-8A9AF1A90CA8}" name="Tipo"/>
    <tableColumn id="2" xr3:uid="{5BEBF10F-5545-4C01-9BF7-EDC26BEFF65A}" name="Definicion tipo"/>
    <tableColumn id="3" xr3:uid="{D501CF42-CBC4-4C14-BA55-CCF16E5112CC}" name="Publicado"/>
    <tableColumn id="4" xr3:uid="{1DE55CF1-4E60-476A-9AAB-1BD9390CC526}" name="Definicion publicado"/>
    <tableColumn id="5" xr3:uid="{304A66BF-0332-4C73-9185-50B0281A807A}" name="¿Está destacado?"/>
    <tableColumn id="6" xr3:uid="{C36ACAEC-7B48-4ED2-A60F-68FACFDA4335}" name="Definicion ¿Está destacado?"/>
    <tableColumn id="7" xr3:uid="{4F1B70D4-A957-4F8B-AD02-0AAC4EB058CA}" name="Visibilidad en el catálogo"/>
    <tableColumn id="8" xr3:uid="{801C2F39-B22A-4EF2-8D20-ACDC34F81556}" name="Definicion Visibilidad en el catálogo"/>
    <tableColumn id="9" xr3:uid="{49C513B7-2C8F-40D9-AB37-20BF3D21F33B}" name="Día en que empieza el precio rebajado" dataDxfId="2"/>
    <tableColumn id="10" xr3:uid="{F78FBF88-F086-4988-BEA3-A85C14A23F64}" name="Definición Día en que empieza el precio rebajado"/>
    <tableColumn id="11" xr3:uid="{E350F60E-8566-4737-8D6D-2507A9EA3CA9}" name="Estado del impuesto"/>
    <tableColumn id="12" xr3:uid="{525126A2-5620-497C-B1E0-D1401D1AB6C3}" name="Clase del impuesto"/>
    <tableColumn id="13" xr3:uid="{4B677937-BB26-4B93-B7DC-90D3D64B862E}" name="Definición _x000a_Clase del impuesto" dataDxfId="1"/>
    <tableColumn id="14" xr3:uid="{1A3F7C0B-DFD0-41E3-88E1-F1B53F799766}" name="¿Existencias?"/>
    <tableColumn id="15" xr3:uid="{F96079FE-4F35-4228-807B-FA17FAA6D7F3}" name="Definición ¿Existencias?"/>
    <tableColumn id="16" xr3:uid="{81230CAF-5E44-4090-81FD-43BBA336F7E7}" name="¿Permitir reservas de productos agotados?"/>
    <tableColumn id="17" xr3:uid="{3EA6B23F-C6A4-447F-8447-0EAFB1CCA622}" name="Definición ¿Permitir reservas de productos agotados?"/>
    <tableColumn id="18" xr3:uid="{C51FF644-1734-49AA-8041-BD5CC1895BB3}" name="¿Vendido individualmente?"/>
    <tableColumn id="19" xr3:uid="{37D90D78-7F9E-4584-99A1-82EE082440B7}" name="¿Permitir valoraciones de clientes?"/>
    <tableColumn id="20" xr3:uid="{5195FA97-306C-4B0C-B608-BDF7D1F67199}" name="Definicion: ¿Permitir valoraciones de clientes?"/>
    <tableColumn id="21" xr3:uid="{A9559365-494B-41FC-905C-38375D49CF28}" name="Atributo visible 1"/>
    <tableColumn id="22" xr3:uid="{E5809B8C-F10E-4A7B-91EB-30012D4B1B30}" name="Definición Atributo visible 1"/>
    <tableColumn id="23" xr3:uid="{8F93C44E-1F52-459B-B27E-54DE13781BB2}" name="Atributo global 1"/>
    <tableColumn id="24" xr3:uid="{65304C42-38FA-46DA-9C50-8617EFED256E}" name="Definición Atributo global 1"/>
    <tableColumn id="25" xr3:uid="{CFBE370C-95FA-4721-8E6E-515E6F4A9EA7}" name="Categorías"/>
    <tableColumn id="26" xr3:uid="{BD39EB7C-7426-4DEA-9A08-758E7E7648FF}" name="Nombre del atributo"/>
    <tableColumn id="27" xr3:uid="{6501E4F4-F203-4F2B-A2B7-CF22A25661C3}" name="Atributo"/>
    <tableColumn id="28" xr3:uid="{7FD18F3E-DDB1-4BA0-ABE0-0E1359A8AB6A}" name="Columna2"/>
    <tableColumn id="29" xr3:uid="{FF4F8089-EA55-44D8-8090-0D0CEB146405}" name="Columna3"/>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F497D-4A14-4049-B2BE-8CA31DA3709C}">
  <dimension ref="A1:CD303"/>
  <sheetViews>
    <sheetView tabSelected="1" workbookViewId="0">
      <selection activeCell="E2" sqref="E2"/>
    </sheetView>
  </sheetViews>
  <sheetFormatPr defaultColWidth="11.42578125" defaultRowHeight="15" x14ac:dyDescent="0.25"/>
  <cols>
    <col min="3" max="3" width="24.28515625" customWidth="1"/>
    <col min="5" max="5" width="83.5703125" customWidth="1"/>
    <col min="11" max="12" width="10.85546875" style="6"/>
    <col min="14" max="15" width="10.85546875" style="6"/>
    <col min="19" max="19" width="10.85546875" style="6"/>
    <col min="24" max="24" width="11" style="6"/>
    <col min="25" max="25" width="10.85546875" style="6"/>
    <col min="28" max="28" width="22.85546875" customWidth="1"/>
    <col min="30" max="30" width="10.85546875" style="6"/>
    <col min="32" max="33" width="10.85546875" style="6"/>
    <col min="35" max="38" width="10.85546875" style="6"/>
    <col min="39" max="39" width="10.85546875" style="6" customWidth="1"/>
    <col min="40" max="42" width="10.85546875" style="6"/>
    <col min="44" max="44" width="69.7109375" bestFit="1" customWidth="1"/>
    <col min="48" max="48" width="30.5703125" bestFit="1" customWidth="1"/>
  </cols>
  <sheetData>
    <row r="1" spans="1:82" x14ac:dyDescent="0.25">
      <c r="A1" t="s">
        <v>0</v>
      </c>
      <c r="B1" t="s">
        <v>1</v>
      </c>
      <c r="C1" t="s">
        <v>2</v>
      </c>
      <c r="D1" t="s">
        <v>3</v>
      </c>
      <c r="E1" t="s">
        <v>4</v>
      </c>
      <c r="F1" s="1" t="s">
        <v>5</v>
      </c>
      <c r="G1" t="s">
        <v>6</v>
      </c>
      <c r="H1" s="1" t="s">
        <v>7</v>
      </c>
      <c r="I1" s="1" t="s">
        <v>8</v>
      </c>
      <c r="J1" t="s">
        <v>9</v>
      </c>
      <c r="K1" s="7" t="s">
        <v>10</v>
      </c>
      <c r="L1" s="7" t="s">
        <v>11</v>
      </c>
      <c r="M1" s="5" t="s">
        <v>12</v>
      </c>
      <c r="N1" s="7" t="s">
        <v>13</v>
      </c>
      <c r="O1" s="7" t="s">
        <v>14</v>
      </c>
      <c r="P1" t="s">
        <v>15</v>
      </c>
      <c r="Q1" t="s">
        <v>16</v>
      </c>
      <c r="R1" s="1" t="s">
        <v>17</v>
      </c>
      <c r="S1" s="6" t="s">
        <v>18</v>
      </c>
      <c r="T1" t="s">
        <v>19</v>
      </c>
      <c r="U1" t="s">
        <v>20</v>
      </c>
      <c r="V1" t="s">
        <v>21</v>
      </c>
      <c r="W1" t="s">
        <v>22</v>
      </c>
      <c r="X1" s="6" t="s">
        <v>23</v>
      </c>
      <c r="Y1" s="6" t="s">
        <v>24</v>
      </c>
      <c r="Z1" t="s">
        <v>25</v>
      </c>
      <c r="AA1" t="s">
        <v>26</v>
      </c>
      <c r="AB1" s="1" t="s">
        <v>27</v>
      </c>
      <c r="AC1" t="s">
        <v>28</v>
      </c>
      <c r="AD1" s="6" t="s">
        <v>29</v>
      </c>
      <c r="AE1" t="s">
        <v>30</v>
      </c>
      <c r="AF1" s="6" t="s">
        <v>31</v>
      </c>
      <c r="AG1" s="6" t="s">
        <v>32</v>
      </c>
      <c r="AH1" t="s">
        <v>33</v>
      </c>
      <c r="AI1" s="6" t="s">
        <v>34</v>
      </c>
      <c r="AJ1" s="6" t="s">
        <v>35</v>
      </c>
      <c r="AK1" s="6" t="s">
        <v>36</v>
      </c>
      <c r="AL1" s="6" t="s">
        <v>37</v>
      </c>
      <c r="AM1" s="6" t="s">
        <v>38</v>
      </c>
      <c r="AN1" s="6" t="s">
        <v>39</v>
      </c>
      <c r="AO1" s="6" t="s">
        <v>40</v>
      </c>
      <c r="AP1" s="6"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row>
    <row r="2" spans="1:82" x14ac:dyDescent="0.25">
      <c r="A2">
        <f>IF(Sistema!A2="","",Sistema!A2)</f>
        <v>17954</v>
      </c>
      <c r="B2" t="str">
        <f>IF(Sistema!B2="","",Sistema!B2)</f>
        <v>simple</v>
      </c>
      <c r="C2" t="str">
        <f>IF(Sistema!C2="","",Sistema!C2)</f>
        <v>MKPF02ADA01BR0001</v>
      </c>
      <c r="D2" t="str">
        <f>IF(Sistema!D2="","",Sistema!D2)</f>
        <v/>
      </c>
      <c r="E2" t="str">
        <f>IF(Sistema!E2="","",Sistema!E2)</f>
        <v>Brakco - Adaptador - Post Mount AP-09 180mm delantero (1 unid) - MKP - Usado, en buen estado</v>
      </c>
      <c r="F2">
        <f>IF(P2&gt;0,1,IF(Sistema!F2=0,-1,1))</f>
        <v>1</v>
      </c>
      <c r="G2">
        <f>Sistema!G2</f>
        <v>0</v>
      </c>
      <c r="H2" t="str">
        <f>IF(OR(R2="notify",R2=1),"visible",IF(OR(Sistema!F2=-1,Sistema!F2=0,ISNUMBER(SEARCH("PCK",E2))),"hidden",IF(P2&gt;0,"visible","hidden")))</f>
        <v>visible</v>
      </c>
      <c r="I2" t="str">
        <f>IF(B2="simple",IF(P2&gt;0,"",IF(R2="notify",Info!C$2,"")),IF(B2="variable",IF(P2&gt;0,"",IF(R2="notify",Info!C$4,"")),""))</f>
        <v/>
      </c>
      <c r="J2" t="str">
        <f>IF(Sistema!J2="","",Sistema!J2)</f>
        <v>&lt;p&gt;Adaptador Post Mount Brakco AP-09 para montaje de freno delantero con rotor de 180 mm. Fabricado en aluminio para una instalación segura y precisa.&lt;/p&gt;</v>
      </c>
      <c r="M2" t="str">
        <f>IF(Sistema!M2="","",Sistema!M2)</f>
        <v>taxable</v>
      </c>
      <c r="N2" s="6" t="s">
        <v>1557</v>
      </c>
      <c r="O2" s="6">
        <v>1</v>
      </c>
      <c r="P2">
        <f>Sistema!P2</f>
        <v>1</v>
      </c>
      <c r="Q2">
        <f>Sistema!Q2</f>
        <v>0</v>
      </c>
      <c r="R2">
        <f>IF(Sistema!R2=1,"notify",Sistema!R2)</f>
        <v>0</v>
      </c>
      <c r="T2" t="str">
        <f>IF(Sistema!T2="","",Sistema!T2)</f>
        <v/>
      </c>
      <c r="U2" t="str">
        <f>IF(Sistema!U2="","",Sistema!U2)</f>
        <v/>
      </c>
      <c r="V2" t="str">
        <f>IF(Sistema!V2="","",Sistema!V2)</f>
        <v/>
      </c>
      <c r="W2" t="str">
        <f>IF(Sistema!W2="","",Sistema!W2)</f>
        <v/>
      </c>
      <c r="X2" s="6">
        <v>1</v>
      </c>
      <c r="Z2" t="str">
        <f>IF(Sistema!Z2="","",Sistema!Z2)</f>
        <v/>
      </c>
      <c r="AA2">
        <f>IF(Sistema!AA2="","",Sistema!AA2)</f>
        <v>20</v>
      </c>
      <c r="AB2" t="str">
        <f>IF(Sistema!AB2="","",IF(OR(ISNUMBER(SEARCH("MKP",E2)),ISNUMBER(SEARCH("MKP",C2))),"Marketplace &gt; "&amp;Sistema!AB2,Sistema!AB2))</f>
        <v>Marketplace &gt; Ciclismo &gt; Frenos &gt; Adaptadores para frenos</v>
      </c>
      <c r="AC2" t="str">
        <f>IF(Sistema!AC2="","",Sistema!AC2)</f>
        <v/>
      </c>
      <c r="AE2" t="str">
        <f>IF(Sistema!AE2="","",Sistema!AE2)</f>
        <v/>
      </c>
      <c r="AH2" t="str">
        <f>IF(Sistema!AH2="","",Sistema!AH2)</f>
        <v/>
      </c>
      <c r="AQ2" t="str">
        <f>IF(Sistema!AQ2="","",Sistema!AQ2)</f>
        <v/>
      </c>
      <c r="AR2" t="str">
        <f>IF(Sistema!AR2="","",Sistema!AR2)</f>
        <v/>
      </c>
      <c r="AS2" t="str">
        <f>IF(Sistema!AS2="","",Sistema!AS2)</f>
        <v/>
      </c>
      <c r="AT2" t="str">
        <f>IF(Sistema!AT2="","",Sistema!AT2)</f>
        <v/>
      </c>
      <c r="AU2" t="str">
        <f>IF(Sistema!AU2="","",Sistema!AU2)</f>
        <v/>
      </c>
      <c r="AV2" t="str">
        <f>IF(Sistema!AV2="","",Sistema!AV2)</f>
        <v/>
      </c>
      <c r="AW2" t="str">
        <f>IF(Sistema!AW2="","",Sistema!AW2)</f>
        <v/>
      </c>
      <c r="AX2" t="str">
        <f>IF(Sistema!AX2="","",Sistema!AX2)</f>
        <v/>
      </c>
      <c r="AY2" t="str">
        <f>IF(Sistema!AY2="","",Sistema!AY2)</f>
        <v/>
      </c>
      <c r="AZ2" t="str">
        <f>IF(Sistema!AZ2="","",Sistema!AZ2)</f>
        <v/>
      </c>
      <c r="BA2" t="str">
        <f>IF(Sistema!BA2="","",Sistema!BA2)</f>
        <v/>
      </c>
      <c r="BB2" t="str">
        <f>IF(Sistema!BB2="","",Sistema!BB2)</f>
        <v/>
      </c>
      <c r="BC2" t="str">
        <f>IF(Sistema!BC2="","",Sistema!BC2)</f>
        <v/>
      </c>
      <c r="BD2" t="str">
        <f>IF(Sistema!BD2="","",Sistema!BD2)</f>
        <v/>
      </c>
      <c r="BE2" t="str">
        <f>IF(Sistema!BE2="","",Sistema!BE2)</f>
        <v/>
      </c>
      <c r="BF2" t="str">
        <f>IF(Sistema!BF2="","",Sistema!BF2)</f>
        <v/>
      </c>
      <c r="BG2" t="str">
        <f>IF(Sistema!BG2="","",Sistema!BG2)</f>
        <v/>
      </c>
      <c r="BH2" t="str">
        <f>IF(Sistema!BH2="","",Sistema!BH2)</f>
        <v/>
      </c>
      <c r="BI2" t="str">
        <f>IF(Sistema!BI2="","",Sistema!BI2)</f>
        <v/>
      </c>
      <c r="BJ2" t="str">
        <f>IF(Sistema!BJ2="","",Sistema!BJ2)</f>
        <v/>
      </c>
      <c r="BK2" t="str">
        <f>IF(Sistema!BK2="","",Sistema!BK2)</f>
        <v/>
      </c>
      <c r="BL2" t="str">
        <f>IF(Sistema!BL2="","",Sistema!BL2)</f>
        <v/>
      </c>
      <c r="BM2" t="str">
        <f>IF(Sistema!BM2="","",Sistema!BM2)</f>
        <v/>
      </c>
      <c r="BN2" t="str">
        <f>IF(Sistema!BN2="","",Sistema!BN2)</f>
        <v/>
      </c>
      <c r="BO2" t="str">
        <f>IF(Sistema!BO2="","",Sistema!BO2)</f>
        <v/>
      </c>
      <c r="BP2" t="str">
        <f>IF(Sistema!BP2="","",Sistema!BP2)</f>
        <v/>
      </c>
      <c r="BQ2" t="str">
        <f>IF(Sistema!BQ2="","",Sistema!BQ2)</f>
        <v/>
      </c>
      <c r="BR2" t="str">
        <f>IF(Sistema!BR2="","",Sistema!BR2)</f>
        <v/>
      </c>
      <c r="BS2" t="str">
        <f>IF(Sistema!BS2="","",Sistema!BS2)</f>
        <v/>
      </c>
      <c r="BT2" t="str">
        <f>IF(Sistema!BT2="","",Sistema!BT2)</f>
        <v/>
      </c>
      <c r="BU2" t="str">
        <f>IF(Sistema!BU2="","",Sistema!BU2)</f>
        <v/>
      </c>
      <c r="BV2" t="str">
        <f>IF(Sistema!BV2="","",Sistema!BV2)</f>
        <v/>
      </c>
      <c r="BW2" t="str">
        <f>IF(Sistema!BW2="","",Sistema!BW2)</f>
        <v/>
      </c>
      <c r="BX2" t="str">
        <f>IF(Sistema!BX2="","",Sistema!BX2)</f>
        <v/>
      </c>
      <c r="BY2" t="str">
        <f>IF(Sistema!BY2="","",Sistema!BY2)</f>
        <v/>
      </c>
      <c r="BZ2" t="str">
        <f>IF(Sistema!BZ2="","",Sistema!BZ2)</f>
        <v/>
      </c>
      <c r="CA2" t="str">
        <f>IF(Sistema!CA2="","",Sistema!CA2)</f>
        <v/>
      </c>
      <c r="CB2" t="str">
        <f>IF(Sistema!CB2="","",Sistema!CB2)</f>
        <v/>
      </c>
      <c r="CC2" t="str">
        <f>IF(Sistema!CC2="","",Sistema!CC2)</f>
        <v/>
      </c>
      <c r="CD2" t="str">
        <f>IF(Sistema!CD2="","",Sistema!CD2)</f>
        <v/>
      </c>
    </row>
    <row r="3" spans="1:82" x14ac:dyDescent="0.25">
      <c r="A3">
        <f>IF(Sistema!A3="","",Sistema!A3)</f>
        <v>17969</v>
      </c>
      <c r="B3" t="str">
        <f>IF(Sistema!B3="","",Sistema!B3)</f>
        <v>simple</v>
      </c>
      <c r="C3" t="str">
        <f>IF(Sistema!C3="","",Sistema!C3)</f>
        <v>MKP978-02-630</v>
      </c>
      <c r="D3" t="str">
        <f>IF(Sistema!D3="","",Sistema!D3)</f>
        <v/>
      </c>
      <c r="E3" t="str">
        <f>IF(Sistema!E3="","",Sistema!E3)</f>
        <v>FOX - Amortiguador - DHX2 Factory Series 2025-2024, Trunnion, 225x70 mm, 400 lb/in, SLS sin resorte - 978-02-630 - MKP - Usado, en buen estado</v>
      </c>
      <c r="F3">
        <f>IF(P3&gt;0,1,IF(Sistema!F3=0,-1,1))</f>
        <v>1</v>
      </c>
      <c r="G3">
        <f>Sistema!G3</f>
        <v>0</v>
      </c>
      <c r="H3" t="str">
        <f>IF(OR(R3="notify",R3=1),"visible",IF(OR(Sistema!F3=-1,Sistema!F3=0,ISNUMBER(SEARCH("PCK",E3))),"hidden",IF(P3&gt;0,"visible","hidden")))</f>
        <v>visible</v>
      </c>
      <c r="I3" t="str">
        <f>IF(B3="simple",IF(P3&gt;0,"",IF(R3="notify",Info!C$2,"")),IF(B3="variable",IF(P3&gt;0,"",IF(R3="notify",Info!C$4,"")),""))</f>
        <v/>
      </c>
      <c r="J3" t="str">
        <f>IF(Sistema!J3="","",Sistema!J3)</f>
        <v>&lt;p&gt;Amortiguador trasero FOX DHX2 Factory Series diseñado para bicicletas de descenso y alto rendimiento. Cuenta con ajuste de compresión de alta y baja velocidad (HSC/LSC), rebote de alta y baja velocidad (HSR/LSR), configuración Trunnion y resorte SLS de 400 lb/in. Acabado Matte Stealth con logo a juego.&lt;/p&gt;&lt;p&gt;&lt;strong&gt;Especificaciones:&lt;/strong&gt;&lt;/p&gt;&lt;ul&gt;&lt;li&gt;&lt;p&gt;Modelo: DHX2 Factory Series&lt;/p&gt;&lt;/li&gt;&lt;li&gt;&lt;p&gt;Años: 2024-2025&lt;/p&gt;&lt;/li&gt;&lt;li&gt;&lt;p&gt;Configuración: Trunnion&lt;/p&gt;&lt;/li&gt;&lt;li&gt;&lt;p&gt;Medida: 225 x 70 mm&lt;/p&gt;&lt;/li&gt;&lt;li&gt;&lt;p&gt;Resorte: SLS 400 lb/in&lt;/p&gt;&lt;/li&gt;&lt;li&gt;&lt;p&gt;Ajustes: HSC, LSC, HSR, LSR&lt;/p&gt;&lt;/li&gt;&lt;li&gt;&lt;p&gt;Recubrimiento: Kashima&lt;/p&gt;&lt;/li&gt;&lt;li&gt;&lt;p&gt;Color: Matte Stealth&lt;/p&gt;&lt;/li&gt;&lt;li&gt;&lt;p&gt;Aplicación: Mondraker Summum&lt;/p&gt;&lt;/li&gt;&lt;li&gt;&lt;p&gt;Part Number: 978-02-630&lt;/p&gt;&lt;/li&gt;&lt;/ul&gt;</v>
      </c>
      <c r="M3" t="str">
        <f>IF(Sistema!M3="","",Sistema!M3)</f>
        <v>taxable</v>
      </c>
      <c r="N3" s="6" t="s">
        <v>1557</v>
      </c>
      <c r="O3" s="6">
        <v>1</v>
      </c>
      <c r="P3">
        <f>Sistema!P3</f>
        <v>1</v>
      </c>
      <c r="Q3">
        <f>Sistema!Q3</f>
        <v>0</v>
      </c>
      <c r="R3">
        <f>IF(Sistema!R3=1,"notify",Sistema!R3)</f>
        <v>0</v>
      </c>
      <c r="T3" t="str">
        <f>IF(Sistema!T3="","",Sistema!T3)</f>
        <v/>
      </c>
      <c r="U3" t="str">
        <f>IF(Sistema!U3="","",Sistema!U3)</f>
        <v/>
      </c>
      <c r="V3" t="str">
        <f>IF(Sistema!V3="","",Sistema!V3)</f>
        <v/>
      </c>
      <c r="W3" t="str">
        <f>IF(Sistema!W3="","",Sistema!W3)</f>
        <v/>
      </c>
      <c r="X3" s="6">
        <v>1</v>
      </c>
      <c r="Z3" t="str">
        <f>IF(Sistema!Z3="","",Sistema!Z3)</f>
        <v/>
      </c>
      <c r="AA3">
        <f>IF(Sistema!AA3="","",Sistema!AA3)</f>
        <v>2310</v>
      </c>
      <c r="AB3" t="str">
        <f>IF(Sistema!AB3="","",IF(OR(ISNUMBER(SEARCH("MKP",E3)),ISNUMBER(SEARCH("MKP",C3))),"Marketplace &gt; "&amp;Sistema!AB3,Sistema!AB3))</f>
        <v>Marketplace &gt; Ciclismo &gt; Amortiguador &gt; Shocks</v>
      </c>
      <c r="AC3" t="str">
        <f>IF(Sistema!AC3="","",Sistema!AC3)</f>
        <v/>
      </c>
      <c r="AE3" t="str">
        <f>IF(Sistema!AE3="","",Sistema!AE3)</f>
        <v>https://kuranko.pe/wp-content/uploads/2026/09/WhatsApp-Image-2026-09-19-at-2.31.32-PM.jpeg, https://kuranko.pe/wp-content/uploads/2026/09/WhatsApp-Image-2026-09-19-at-2.31.39-PM.jpeg, https://kuranko.pe/wp-content/uploads/2026/09/WhatsApp-Image-2026-09-19-at-2.31.30-PM.jpeg, https://kuranko.pe/wp-content/uploads/2026/09/WhatsApp-Image-2026-09-19-at-2.31.35-PM.jpeg</v>
      </c>
      <c r="AH3" t="str">
        <f>IF(Sistema!AH3="","",Sistema!AH3)</f>
        <v/>
      </c>
      <c r="AQ3" t="str">
        <f>IF(Sistema!AQ3="","",Sistema!AQ3)</f>
        <v/>
      </c>
      <c r="AR3" t="str">
        <f>IF(Sistema!AR3="","",Sistema!AR3)</f>
        <v/>
      </c>
      <c r="AS3" t="str">
        <f>IF(Sistema!AS3="","",Sistema!AS3)</f>
        <v/>
      </c>
      <c r="AT3" t="str">
        <f>IF(Sistema!AT3="","",Sistema!AT3)</f>
        <v/>
      </c>
      <c r="AU3" t="str">
        <f>IF(Sistema!AU3="","",Sistema!AU3)</f>
        <v/>
      </c>
      <c r="AV3" t="str">
        <f>IF(Sistema!AV3="","",Sistema!AV3)</f>
        <v/>
      </c>
      <c r="AW3" t="str">
        <f>IF(Sistema!AW3="","",Sistema!AW3)</f>
        <v/>
      </c>
      <c r="AX3" t="str">
        <f>IF(Sistema!AX3="","",Sistema!AX3)</f>
        <v/>
      </c>
      <c r="AY3" t="str">
        <f>IF(Sistema!AY3="","",Sistema!AY3)</f>
        <v/>
      </c>
      <c r="AZ3" t="str">
        <f>IF(Sistema!AZ3="","",Sistema!AZ3)</f>
        <v/>
      </c>
      <c r="BA3" t="str">
        <f>IF(Sistema!BA3="","",Sistema!BA3)</f>
        <v/>
      </c>
      <c r="BB3" t="str">
        <f>IF(Sistema!BB3="","",Sistema!BB3)</f>
        <v/>
      </c>
      <c r="BC3" t="str">
        <f>IF(Sistema!BC3="","",Sistema!BC3)</f>
        <v/>
      </c>
      <c r="BD3" t="str">
        <f>IF(Sistema!BD3="","",Sistema!BD3)</f>
        <v/>
      </c>
      <c r="BE3" t="str">
        <f>IF(Sistema!BE3="","",Sistema!BE3)</f>
        <v/>
      </c>
      <c r="BF3" t="str">
        <f>IF(Sistema!BF3="","",Sistema!BF3)</f>
        <v/>
      </c>
      <c r="BG3" t="str">
        <f>IF(Sistema!BG3="","",Sistema!BG3)</f>
        <v/>
      </c>
      <c r="BH3" t="str">
        <f>IF(Sistema!BH3="","",Sistema!BH3)</f>
        <v/>
      </c>
      <c r="BI3" t="str">
        <f>IF(Sistema!BI3="","",Sistema!BI3)</f>
        <v/>
      </c>
      <c r="BJ3" t="str">
        <f>IF(Sistema!BJ3="","",Sistema!BJ3)</f>
        <v/>
      </c>
      <c r="BK3" t="str">
        <f>IF(Sistema!BK3="","",Sistema!BK3)</f>
        <v/>
      </c>
      <c r="BL3" t="str">
        <f>IF(Sistema!BL3="","",Sistema!BL3)</f>
        <v/>
      </c>
      <c r="BM3" t="str">
        <f>IF(Sistema!BM3="","",Sistema!BM3)</f>
        <v/>
      </c>
      <c r="BN3" t="str">
        <f>IF(Sistema!BN3="","",Sistema!BN3)</f>
        <v/>
      </c>
      <c r="BO3" t="str">
        <f>IF(Sistema!BO3="","",Sistema!BO3)</f>
        <v/>
      </c>
      <c r="BP3" t="str">
        <f>IF(Sistema!BP3="","",Sistema!BP3)</f>
        <v/>
      </c>
      <c r="BQ3" t="str">
        <f>IF(Sistema!BQ3="","",Sistema!BQ3)</f>
        <v/>
      </c>
      <c r="BR3" t="str">
        <f>IF(Sistema!BR3="","",Sistema!BR3)</f>
        <v/>
      </c>
      <c r="BS3" t="str">
        <f>IF(Sistema!BS3="","",Sistema!BS3)</f>
        <v/>
      </c>
      <c r="BT3" t="str">
        <f>IF(Sistema!BT3="","",Sistema!BT3)</f>
        <v/>
      </c>
      <c r="BU3" t="str">
        <f>IF(Sistema!BU3="","",Sistema!BU3)</f>
        <v/>
      </c>
      <c r="BV3" t="str">
        <f>IF(Sistema!BV3="","",Sistema!BV3)</f>
        <v/>
      </c>
      <c r="BW3" t="str">
        <f>IF(Sistema!BW3="","",Sistema!BW3)</f>
        <v/>
      </c>
      <c r="BX3" t="str">
        <f>IF(Sistema!BX3="","",Sistema!BX3)</f>
        <v/>
      </c>
      <c r="BY3" t="str">
        <f>IF(Sistema!BY3="","",Sistema!BY3)</f>
        <v/>
      </c>
      <c r="BZ3" t="str">
        <f>IF(Sistema!BZ3="","",Sistema!BZ3)</f>
        <v/>
      </c>
      <c r="CA3" t="str">
        <f>IF(Sistema!CA3="","",Sistema!CA3)</f>
        <v/>
      </c>
      <c r="CB3" t="str">
        <f>IF(Sistema!CB3="","",Sistema!CB3)</f>
        <v/>
      </c>
      <c r="CC3" t="str">
        <f>IF(Sistema!CC3="","",Sistema!CC3)</f>
        <v/>
      </c>
      <c r="CD3" t="str">
        <f>IF(Sistema!CD3="","",Sistema!CD3)</f>
        <v/>
      </c>
    </row>
    <row r="4" spans="1:82" x14ac:dyDescent="0.25">
      <c r="A4">
        <f>IF(Sistema!A4="","",Sistema!A4)</f>
        <v>17970</v>
      </c>
      <c r="B4" t="str">
        <f>IF(Sistema!B4="","",Sistema!B4)</f>
        <v>simple</v>
      </c>
      <c r="C4" t="str">
        <f>IF(Sistema!C4="","",Sistema!C4)</f>
        <v>MKPR10ROD10GF0004</v>
      </c>
      <c r="D4" t="str">
        <f>IF(Sistema!D4="","",Sistema!D4)</f>
        <v/>
      </c>
      <c r="E4" t="str">
        <f>IF(Sistema!E4="","",Sistema!E4)</f>
        <v>G Form - Rodillera - Eline - Azul - Talla L- MKP - Usado</v>
      </c>
      <c r="F4">
        <f>IF(P4&gt;0,1,IF(Sistema!F4=0,-1,1))</f>
        <v>1</v>
      </c>
      <c r="G4">
        <f>Sistema!G4</f>
        <v>0</v>
      </c>
      <c r="H4" t="str">
        <f>IF(OR(R4="notify",R4=1),"visible",IF(OR(Sistema!F4=-1,Sistema!F4=0,ISNUMBER(SEARCH("PCK",E4))),"hidden",IF(P4&gt;0,"visible","hidden")))</f>
        <v>visible</v>
      </c>
      <c r="I4" t="str">
        <f>IF(B4="simple",IF(P4&gt;0,"",IF(R4="notify",Info!C$2,"")),IF(B4="variable",IF(P4&gt;0,"",IF(R4="notify",Info!C$4,"")),""))</f>
        <v/>
      </c>
      <c r="J4" t="str">
        <f>IF(Sistema!J4="","",Sistema!J4)</f>
        <v>&lt;p&gt;Cómodo, protector, ligero y transpirable&lt;br&gt;Los protectores de E-Line están diseñados para jinetes que se enfrentan a paseos agresivos en terrenos técnicos y también quieren permanecer en la silla de montar durante mucho tiempo. Con el énfasis en el ajuste sin igual, la protección al más alto nivel, la comodidad y la transpiración, el E-Line fue desarrollado especialmente para estas necesidades.Características de los protectores de rodilla de E-Line&lt;br&gt;Certificación CE para protectores de motocicletas/bicicletas (CE EN 1621-1:2012), mejor cobertura que la requerida por la certificación CE&lt;br&gt;ventilado, construcción de cuatro capas&lt;br&gt;Espuma EVA para un alto confort de uso&lt;br&gt;almohadillas SmartFlex™&lt;/p&gt;</v>
      </c>
      <c r="M4" t="str">
        <f>IF(Sistema!M4="","",Sistema!M4)</f>
        <v>taxable</v>
      </c>
      <c r="N4" s="6" t="s">
        <v>1557</v>
      </c>
      <c r="O4" s="6">
        <v>1</v>
      </c>
      <c r="P4">
        <f>Sistema!P4</f>
        <v>1</v>
      </c>
      <c r="Q4">
        <f>Sistema!Q4</f>
        <v>0</v>
      </c>
      <c r="R4">
        <f>IF(Sistema!R4=1,"notify",Sistema!R4)</f>
        <v>0</v>
      </c>
      <c r="T4" t="str">
        <f>IF(Sistema!T4="","",Sistema!T4)</f>
        <v/>
      </c>
      <c r="U4" t="str">
        <f>IF(Sistema!U4="","",Sistema!U4)</f>
        <v/>
      </c>
      <c r="V4" t="str">
        <f>IF(Sistema!V4="","",Sistema!V4)</f>
        <v/>
      </c>
      <c r="W4" t="str">
        <f>IF(Sistema!W4="","",Sistema!W4)</f>
        <v/>
      </c>
      <c r="X4" s="6">
        <v>1</v>
      </c>
      <c r="Z4" t="str">
        <f>IF(Sistema!Z4="","",Sistema!Z4)</f>
        <v/>
      </c>
      <c r="AA4">
        <f>IF(Sistema!AA4="","",Sistema!AA4)</f>
        <v>300</v>
      </c>
      <c r="AB4" t="str">
        <f>IF(Sistema!AB4="","",IF(OR(ISNUMBER(SEARCH("MKP",E4)),ISNUMBER(SEARCH("MKP",C4))),"Marketplace &gt; "&amp;Sistema!AB4,Sistema!AB4))</f>
        <v>Marketplace &gt; Ciclismo &gt; Ropa &gt; Rodilleras</v>
      </c>
      <c r="AC4" t="str">
        <f>IF(Sistema!AC4="","",Sistema!AC4)</f>
        <v/>
      </c>
      <c r="AE4" t="str">
        <f>IF(Sistema!AE4="","",Sistema!AE4)</f>
        <v>https://kuranko.pe/wp-content/uploads/2026/09/WhatsApp-Image-2026-09-19-at-2.34.37-PM-1.jpeg, https://kuranko.pe/wp-content/uploads/2026/09/WhatsApp-Image-2026-09-19-at-2.34.37-PM.jpeg, https://kuranko.pe/wp-content/uploads/2026/09/WhatsApp-Image-2026-09-19-at-2.34.35-PM.jpeg, https://kuranko.pe/wp-content/uploads/2026/09/WhatsApp-Image-2026-09-19-at-2.34.34-PM.jpeg, https://kuranko.pe/wp-content/uploads/2026/09/WhatsApp-Image-2026-09-19-at-2.34.33-PM-1.jpeg, https://kuranko.pe/wp-content/uploads/2026/09/WhatsApp-Image-2026-09-19-at-2.34.33-PM.jpeg, https://kuranko.pe/wp-content/uploads/2026/09/WhatsApp-Image-2026-09-19-at-2.34.31-PM.jpeg</v>
      </c>
      <c r="AH4" t="str">
        <f>IF(Sistema!AH4="","",Sistema!AH4)</f>
        <v/>
      </c>
      <c r="AQ4" t="str">
        <f>IF(Sistema!AQ4="","",Sistema!AQ4)</f>
        <v/>
      </c>
      <c r="AR4" t="str">
        <f>IF(Sistema!AR4="","",Sistema!AR4)</f>
        <v/>
      </c>
      <c r="AS4" t="str">
        <f>IF(Sistema!AS4="","",Sistema!AS4)</f>
        <v/>
      </c>
      <c r="AT4" t="str">
        <f>IF(Sistema!AT4="","",Sistema!AT4)</f>
        <v/>
      </c>
      <c r="AU4" t="str">
        <f>IF(Sistema!AU4="","",Sistema!AU4)</f>
        <v/>
      </c>
      <c r="AV4" t="str">
        <f>IF(Sistema!AV4="","",Sistema!AV4)</f>
        <v/>
      </c>
      <c r="AW4" t="str">
        <f>IF(Sistema!AW4="","",Sistema!AW4)</f>
        <v/>
      </c>
      <c r="AX4" t="str">
        <f>IF(Sistema!AX4="","",Sistema!AX4)</f>
        <v/>
      </c>
      <c r="AY4" t="str">
        <f>IF(Sistema!AY4="","",Sistema!AY4)</f>
        <v/>
      </c>
      <c r="AZ4" t="str">
        <f>IF(Sistema!AZ4="","",Sistema!AZ4)</f>
        <v/>
      </c>
      <c r="BA4" t="str">
        <f>IF(Sistema!BA4="","",Sistema!BA4)</f>
        <v/>
      </c>
      <c r="BB4" t="str">
        <f>IF(Sistema!BB4="","",Sistema!BB4)</f>
        <v/>
      </c>
      <c r="BC4" t="str">
        <f>IF(Sistema!BC4="","",Sistema!BC4)</f>
        <v/>
      </c>
      <c r="BD4" t="str">
        <f>IF(Sistema!BD4="","",Sistema!BD4)</f>
        <v/>
      </c>
      <c r="BE4" t="str">
        <f>IF(Sistema!BE4="","",Sistema!BE4)</f>
        <v/>
      </c>
      <c r="BF4" t="str">
        <f>IF(Sistema!BF4="","",Sistema!BF4)</f>
        <v/>
      </c>
      <c r="BG4" t="str">
        <f>IF(Sistema!BG4="","",Sistema!BG4)</f>
        <v/>
      </c>
      <c r="BH4" t="str">
        <f>IF(Sistema!BH4="","",Sistema!BH4)</f>
        <v/>
      </c>
      <c r="BI4" t="str">
        <f>IF(Sistema!BI4="","",Sistema!BI4)</f>
        <v/>
      </c>
      <c r="BJ4" t="str">
        <f>IF(Sistema!BJ4="","",Sistema!BJ4)</f>
        <v/>
      </c>
      <c r="BK4" t="str">
        <f>IF(Sistema!BK4="","",Sistema!BK4)</f>
        <v/>
      </c>
      <c r="BL4" t="str">
        <f>IF(Sistema!BL4="","",Sistema!BL4)</f>
        <v/>
      </c>
      <c r="BM4" t="str">
        <f>IF(Sistema!BM4="","",Sistema!BM4)</f>
        <v/>
      </c>
      <c r="BN4" t="str">
        <f>IF(Sistema!BN4="","",Sistema!BN4)</f>
        <v/>
      </c>
      <c r="BO4" t="str">
        <f>IF(Sistema!BO4="","",Sistema!BO4)</f>
        <v/>
      </c>
      <c r="BP4" t="str">
        <f>IF(Sistema!BP4="","",Sistema!BP4)</f>
        <v/>
      </c>
      <c r="BQ4" t="str">
        <f>IF(Sistema!BQ4="","",Sistema!BQ4)</f>
        <v/>
      </c>
      <c r="BR4" t="str">
        <f>IF(Sistema!BR4="","",Sistema!BR4)</f>
        <v/>
      </c>
      <c r="BS4" t="str">
        <f>IF(Sistema!BS4="","",Sistema!BS4)</f>
        <v/>
      </c>
      <c r="BT4" t="str">
        <f>IF(Sistema!BT4="","",Sistema!BT4)</f>
        <v/>
      </c>
      <c r="BU4" t="str">
        <f>IF(Sistema!BU4="","",Sistema!BU4)</f>
        <v/>
      </c>
      <c r="BV4" t="str">
        <f>IF(Sistema!BV4="","",Sistema!BV4)</f>
        <v/>
      </c>
      <c r="BW4" t="str">
        <f>IF(Sistema!BW4="","",Sistema!BW4)</f>
        <v/>
      </c>
      <c r="BX4" t="str">
        <f>IF(Sistema!BX4="","",Sistema!BX4)</f>
        <v/>
      </c>
      <c r="BY4" t="str">
        <f>IF(Sistema!BY4="","",Sistema!BY4)</f>
        <v/>
      </c>
      <c r="BZ4" t="str">
        <f>IF(Sistema!BZ4="","",Sistema!BZ4)</f>
        <v/>
      </c>
      <c r="CA4" t="str">
        <f>IF(Sistema!CA4="","",Sistema!CA4)</f>
        <v/>
      </c>
      <c r="CB4" t="str">
        <f>IF(Sistema!CB4="","",Sistema!CB4)</f>
        <v/>
      </c>
      <c r="CC4" t="str">
        <f>IF(Sistema!CC4="","",Sistema!CC4)</f>
        <v/>
      </c>
      <c r="CD4" t="str">
        <f>IF(Sistema!CD4="","",Sistema!CD4)</f>
        <v/>
      </c>
    </row>
    <row r="5" spans="1:82" x14ac:dyDescent="0.25">
      <c r="A5">
        <f>IF(Sistema!A5="","",Sistema!A5)</f>
        <v>17971</v>
      </c>
      <c r="B5" t="str">
        <f>IF(Sistema!B5="","",Sistema!B5)</f>
        <v>simple</v>
      </c>
      <c r="C5" t="str">
        <f>IF(Sistema!C5="","",Sistema!C5)</f>
        <v>MKPF02ADA01KU0001</v>
      </c>
      <c r="D5" t="str">
        <f>IF(Sistema!D5="","",Sistema!D5)</f>
        <v/>
      </c>
      <c r="E5" t="str">
        <f>IF(Sistema!E5="","",Sistema!E5)</f>
        <v>Kuranko - Adaptador - Post Mount +20mm (1 unid) - MKP - Usando, en buen estado</v>
      </c>
      <c r="F5">
        <f>IF(P5&gt;0,1,IF(Sistema!F5=0,-1,1))</f>
        <v>1</v>
      </c>
      <c r="G5">
        <f>Sistema!G5</f>
        <v>0</v>
      </c>
      <c r="H5" t="str">
        <f>IF(OR(R5="notify",R5=1),"visible",IF(OR(Sistema!F5=-1,Sistema!F5=0,ISNUMBER(SEARCH("PCK",E5))),"hidden",IF(P5&gt;0,"visible","hidden")))</f>
        <v>visible</v>
      </c>
      <c r="I5" t="str">
        <f>IF(B5="simple",IF(P5&gt;0,"",IF(R5="notify",Info!C$2,"")),IF(B5="variable",IF(P5&gt;0,"",IF(R5="notify",Info!C$4,"")),""))</f>
        <v/>
      </c>
      <c r="J5" t="str">
        <f>IF(Sistema!J5="","",Sistema!J5)</f>
        <v>&lt;p&gt;Adaptador Post Mount +20 mm fabricado en aluminio, diseñado para aumentar el diámetro del rotor en sistemas de freno compatibles.&lt;/p&gt;</v>
      </c>
      <c r="M5" t="str">
        <f>IF(Sistema!M5="","",Sistema!M5)</f>
        <v>taxable</v>
      </c>
      <c r="N5" s="6" t="s">
        <v>1557</v>
      </c>
      <c r="O5" s="6">
        <v>1</v>
      </c>
      <c r="P5">
        <f>Sistema!P5</f>
        <v>1</v>
      </c>
      <c r="Q5">
        <f>Sistema!Q5</f>
        <v>0</v>
      </c>
      <c r="R5">
        <f>IF(Sistema!R5=1,"notify",Sistema!R5)</f>
        <v>0</v>
      </c>
      <c r="T5" t="str">
        <f>IF(Sistema!T5="","",Sistema!T5)</f>
        <v/>
      </c>
      <c r="U5" t="str">
        <f>IF(Sistema!U5="","",Sistema!U5)</f>
        <v/>
      </c>
      <c r="V5" t="str">
        <f>IF(Sistema!V5="","",Sistema!V5)</f>
        <v/>
      </c>
      <c r="W5" t="str">
        <f>IF(Sistema!W5="","",Sistema!W5)</f>
        <v/>
      </c>
      <c r="X5" s="6">
        <v>1</v>
      </c>
      <c r="Z5" t="str">
        <f>IF(Sistema!Z5="","",Sistema!Z5)</f>
        <v/>
      </c>
      <c r="AA5">
        <f>IF(Sistema!AA5="","",Sistema!AA5)</f>
        <v>25</v>
      </c>
      <c r="AB5" t="str">
        <f>IF(Sistema!AB5="","",IF(OR(ISNUMBER(SEARCH("MKP",E5)),ISNUMBER(SEARCH("MKP",C5))),"Marketplace &gt; "&amp;Sistema!AB5,Sistema!AB5))</f>
        <v>Marketplace &gt; Ciclismo &gt; Frenos &gt; Adaptadores para frenos</v>
      </c>
      <c r="AC5" t="str">
        <f>IF(Sistema!AC5="","",Sistema!AC5)</f>
        <v/>
      </c>
      <c r="AE5" t="str">
        <f>IF(Sistema!AE5="","",Sistema!AE5)</f>
        <v/>
      </c>
      <c r="AH5" t="str">
        <f>IF(Sistema!AH5="","",Sistema!AH5)</f>
        <v/>
      </c>
      <c r="AQ5" t="str">
        <f>IF(Sistema!AQ5="","",Sistema!AQ5)</f>
        <v/>
      </c>
      <c r="AR5" t="str">
        <f>IF(Sistema!AR5="","",Sistema!AR5)</f>
        <v/>
      </c>
      <c r="AS5" t="str">
        <f>IF(Sistema!AS5="","",Sistema!AS5)</f>
        <v/>
      </c>
      <c r="AT5" t="str">
        <f>IF(Sistema!AT5="","",Sistema!AT5)</f>
        <v/>
      </c>
      <c r="AU5" t="str">
        <f>IF(Sistema!AU5="","",Sistema!AU5)</f>
        <v/>
      </c>
      <c r="AV5" t="str">
        <f>IF(Sistema!AV5="","",Sistema!AV5)</f>
        <v/>
      </c>
      <c r="AW5" t="str">
        <f>IF(Sistema!AW5="","",Sistema!AW5)</f>
        <v/>
      </c>
      <c r="AX5" t="str">
        <f>IF(Sistema!AX5="","",Sistema!AX5)</f>
        <v/>
      </c>
      <c r="AY5" t="str">
        <f>IF(Sistema!AY5="","",Sistema!AY5)</f>
        <v/>
      </c>
      <c r="AZ5" t="str">
        <f>IF(Sistema!AZ5="","",Sistema!AZ5)</f>
        <v/>
      </c>
      <c r="BA5" t="str">
        <f>IF(Sistema!BA5="","",Sistema!BA5)</f>
        <v/>
      </c>
      <c r="BB5" t="str">
        <f>IF(Sistema!BB5="","",Sistema!BB5)</f>
        <v/>
      </c>
      <c r="BC5" t="str">
        <f>IF(Sistema!BC5="","",Sistema!BC5)</f>
        <v/>
      </c>
      <c r="BD5" t="str">
        <f>IF(Sistema!BD5="","",Sistema!BD5)</f>
        <v/>
      </c>
      <c r="BE5" t="str">
        <f>IF(Sistema!BE5="","",Sistema!BE5)</f>
        <v/>
      </c>
      <c r="BF5" t="str">
        <f>IF(Sistema!BF5="","",Sistema!BF5)</f>
        <v/>
      </c>
      <c r="BG5" t="str">
        <f>IF(Sistema!BG5="","",Sistema!BG5)</f>
        <v/>
      </c>
      <c r="BH5" t="str">
        <f>IF(Sistema!BH5="","",Sistema!BH5)</f>
        <v/>
      </c>
      <c r="BI5" t="str">
        <f>IF(Sistema!BI5="","",Sistema!BI5)</f>
        <v/>
      </c>
      <c r="BJ5" t="str">
        <f>IF(Sistema!BJ5="","",Sistema!BJ5)</f>
        <v/>
      </c>
      <c r="BK5" t="str">
        <f>IF(Sistema!BK5="","",Sistema!BK5)</f>
        <v/>
      </c>
      <c r="BL5" t="str">
        <f>IF(Sistema!BL5="","",Sistema!BL5)</f>
        <v/>
      </c>
      <c r="BM5" t="str">
        <f>IF(Sistema!BM5="","",Sistema!BM5)</f>
        <v/>
      </c>
      <c r="BN5" t="str">
        <f>IF(Sistema!BN5="","",Sistema!BN5)</f>
        <v/>
      </c>
      <c r="BO5" t="str">
        <f>IF(Sistema!BO5="","",Sistema!BO5)</f>
        <v/>
      </c>
      <c r="BP5" t="str">
        <f>IF(Sistema!BP5="","",Sistema!BP5)</f>
        <v/>
      </c>
      <c r="BQ5" t="str">
        <f>IF(Sistema!BQ5="","",Sistema!BQ5)</f>
        <v/>
      </c>
      <c r="BR5" t="str">
        <f>IF(Sistema!BR5="","",Sistema!BR5)</f>
        <v/>
      </c>
      <c r="BS5" t="str">
        <f>IF(Sistema!BS5="","",Sistema!BS5)</f>
        <v/>
      </c>
      <c r="BT5" t="str">
        <f>IF(Sistema!BT5="","",Sistema!BT5)</f>
        <v/>
      </c>
      <c r="BU5" t="str">
        <f>IF(Sistema!BU5="","",Sistema!BU5)</f>
        <v/>
      </c>
      <c r="BV5" t="str">
        <f>IF(Sistema!BV5="","",Sistema!BV5)</f>
        <v/>
      </c>
      <c r="BW5" t="str">
        <f>IF(Sistema!BW5="","",Sistema!BW5)</f>
        <v/>
      </c>
      <c r="BX5" t="str">
        <f>IF(Sistema!BX5="","",Sistema!BX5)</f>
        <v/>
      </c>
      <c r="BY5" t="str">
        <f>IF(Sistema!BY5="","",Sistema!BY5)</f>
        <v/>
      </c>
      <c r="BZ5" t="str">
        <f>IF(Sistema!BZ5="","",Sistema!BZ5)</f>
        <v/>
      </c>
      <c r="CA5" t="str">
        <f>IF(Sistema!CA5="","",Sistema!CA5)</f>
        <v/>
      </c>
      <c r="CB5" t="str">
        <f>IF(Sistema!CB5="","",Sistema!CB5)</f>
        <v/>
      </c>
      <c r="CC5" t="str">
        <f>IF(Sistema!CC5="","",Sistema!CC5)</f>
        <v/>
      </c>
      <c r="CD5" t="str">
        <f>IF(Sistema!CD5="","",Sistema!CD5)</f>
        <v/>
      </c>
    </row>
    <row r="6" spans="1:82" x14ac:dyDescent="0.25">
      <c r="A6">
        <f>IF(Sistema!A6="","",Sistema!A6)</f>
        <v>17984</v>
      </c>
      <c r="B6" t="str">
        <f>IF(Sistema!B6="","",Sistema!B6)</f>
        <v>simple</v>
      </c>
      <c r="C6" t="str">
        <f>IF(Sistema!C6="","",Sistema!C6)</f>
        <v>MKP77651165X</v>
      </c>
      <c r="D6" t="str">
        <f>IF(Sistema!D6="","",Sistema!D6)</f>
        <v/>
      </c>
      <c r="E6" t="str">
        <f>IF(Sistema!E6="","",Sistema!E6)</f>
        <v>Mavic - Kit - de Rueda - 1 Válvula, 2 Radios en J y 2 Nipples MKP</v>
      </c>
      <c r="F6">
        <f>IF(P6&gt;0,1,IF(Sistema!F6=0,-1,1))</f>
        <v>1</v>
      </c>
      <c r="G6">
        <f>Sistema!G6</f>
        <v>0</v>
      </c>
      <c r="H6" t="str">
        <f>IF(OR(R6="notify",R6=1),"visible",IF(OR(Sistema!F6=-1,Sistema!F6=0,ISNUMBER(SEARCH("PCK",E6))),"hidden",IF(P6&gt;0,"visible","hidden")))</f>
        <v>visible</v>
      </c>
      <c r="I6" t="str">
        <f>IF(B6="simple",IF(P6&gt;0,"",IF(R6="notify",Info!C$2,"")),IF(B6="variable",IF(P6&gt;0,"",IF(R6="notify",Info!C$4,"")),""))</f>
        <v/>
      </c>
      <c r="J6" t="str">
        <f>IF(Sistema!J6="","",Sistema!J6)</f>
        <v>&lt;p&gt;Kit de repuesto Mavic para mantenimiento y reparación de ruedas. Incluye los componentes necesarios para sustituir elementos de la rueda y realizar trabajos de mantenimiento.&lt;/p&gt;&lt;p&gt;&lt;strong&gt;Contenido del kit:&lt;/strong&gt;&lt;/p&gt;&lt;ul&gt;&lt;li&gt;&lt;p&gt;1 válvula&lt;/p&gt;&lt;/li&gt;&lt;li&gt;&lt;p&gt;2 radios en J&lt;/p&gt;&lt;/li&gt;&lt;li&gt;&lt;p&gt;2 nipples&lt;/p&gt;&lt;/li&gt;&lt;/ul&gt;</v>
      </c>
      <c r="M6" t="str">
        <f>IF(Sistema!M6="","",Sistema!M6)</f>
        <v>taxable</v>
      </c>
      <c r="N6" s="6" t="s">
        <v>1557</v>
      </c>
      <c r="O6" s="6">
        <v>1</v>
      </c>
      <c r="P6">
        <f>Sistema!P6</f>
        <v>2</v>
      </c>
      <c r="Q6">
        <f>Sistema!Q6</f>
        <v>0</v>
      </c>
      <c r="R6">
        <f>IF(Sistema!R6=1,"notify",Sistema!R6)</f>
        <v>0</v>
      </c>
      <c r="T6" t="str">
        <f>IF(Sistema!T6="","",Sistema!T6)</f>
        <v/>
      </c>
      <c r="U6" t="str">
        <f>IF(Sistema!U6="","",Sistema!U6)</f>
        <v/>
      </c>
      <c r="V6" t="str">
        <f>IF(Sistema!V6="","",Sistema!V6)</f>
        <v/>
      </c>
      <c r="W6" t="str">
        <f>IF(Sistema!W6="","",Sistema!W6)</f>
        <v/>
      </c>
      <c r="X6" s="6">
        <v>1</v>
      </c>
      <c r="Z6" t="str">
        <f>IF(Sistema!Z6="","",Sistema!Z6)</f>
        <v/>
      </c>
      <c r="AA6">
        <f>IF(Sistema!AA6="","",Sistema!AA6)</f>
        <v>45</v>
      </c>
      <c r="AB6" t="str">
        <f>IF(Sistema!AB6="","",IF(OR(ISNUMBER(SEARCH("MKP",E6)),ISNUMBER(SEARCH("MKP",C6))),"Marketplace &gt; "&amp;Sistema!AB6,Sistema!AB6))</f>
        <v>Marketplace &gt; Ciclismo &gt; Ruedas &gt; Repuestos</v>
      </c>
      <c r="AC6" t="str">
        <f>IF(Sistema!AC6="","",Sistema!AC6)</f>
        <v/>
      </c>
      <c r="AE6" t="str">
        <f>IF(Sistema!AE6="","",Sistema!AE6)</f>
        <v>https://kuranko.pe/wp-content/uploads/2026/09/WhatsApp-Image-2026-09-19-at-2.34.30-PM.jpeg, https://kuranko.pe/wp-content/uploads/2026/09/WhatsApp-Image-2026-09-19-at-2.34.29-PM.jpeg, https://kuranko.pe/wp-content/uploads/2026/09/WhatsApp-Image-2026-09-19-at-2.32.02-PM.jpeg</v>
      </c>
      <c r="AH6" t="str">
        <f>IF(Sistema!AH6="","",Sistema!AH6)</f>
        <v/>
      </c>
      <c r="AQ6" t="str">
        <f>IF(Sistema!AQ6="","",Sistema!AQ6)</f>
        <v/>
      </c>
      <c r="AR6" t="str">
        <f>IF(Sistema!AR6="","",Sistema!AR6)</f>
        <v/>
      </c>
      <c r="AS6" t="str">
        <f>IF(Sistema!AS6="","",Sistema!AS6)</f>
        <v/>
      </c>
      <c r="AT6" t="str">
        <f>IF(Sistema!AT6="","",Sistema!AT6)</f>
        <v/>
      </c>
      <c r="AU6" t="str">
        <f>IF(Sistema!AU6="","",Sistema!AU6)</f>
        <v/>
      </c>
      <c r="AV6" t="str">
        <f>IF(Sistema!AV6="","",Sistema!AV6)</f>
        <v/>
      </c>
      <c r="AW6" t="str">
        <f>IF(Sistema!AW6="","",Sistema!AW6)</f>
        <v/>
      </c>
      <c r="AX6" t="str">
        <f>IF(Sistema!AX6="","",Sistema!AX6)</f>
        <v/>
      </c>
      <c r="AY6" t="str">
        <f>IF(Sistema!AY6="","",Sistema!AY6)</f>
        <v/>
      </c>
      <c r="AZ6" t="str">
        <f>IF(Sistema!AZ6="","",Sistema!AZ6)</f>
        <v/>
      </c>
      <c r="BA6" t="str">
        <f>IF(Sistema!BA6="","",Sistema!BA6)</f>
        <v/>
      </c>
      <c r="BB6" t="str">
        <f>IF(Sistema!BB6="","",Sistema!BB6)</f>
        <v/>
      </c>
      <c r="BC6" t="str">
        <f>IF(Sistema!BC6="","",Sistema!BC6)</f>
        <v/>
      </c>
      <c r="BD6" t="str">
        <f>IF(Sistema!BD6="","",Sistema!BD6)</f>
        <v/>
      </c>
      <c r="BE6" t="str">
        <f>IF(Sistema!BE6="","",Sistema!BE6)</f>
        <v/>
      </c>
      <c r="BF6" t="str">
        <f>IF(Sistema!BF6="","",Sistema!BF6)</f>
        <v/>
      </c>
      <c r="BG6" t="str">
        <f>IF(Sistema!BG6="","",Sistema!BG6)</f>
        <v/>
      </c>
      <c r="BH6" t="str">
        <f>IF(Sistema!BH6="","",Sistema!BH6)</f>
        <v/>
      </c>
      <c r="BI6" t="str">
        <f>IF(Sistema!BI6="","",Sistema!BI6)</f>
        <v/>
      </c>
      <c r="BJ6" t="str">
        <f>IF(Sistema!BJ6="","",Sistema!BJ6)</f>
        <v/>
      </c>
      <c r="BK6" t="str">
        <f>IF(Sistema!BK6="","",Sistema!BK6)</f>
        <v/>
      </c>
      <c r="BL6" t="str">
        <f>IF(Sistema!BL6="","",Sistema!BL6)</f>
        <v/>
      </c>
      <c r="BM6" t="str">
        <f>IF(Sistema!BM6="","",Sistema!BM6)</f>
        <v/>
      </c>
      <c r="BN6" t="str">
        <f>IF(Sistema!BN6="","",Sistema!BN6)</f>
        <v/>
      </c>
      <c r="BO6" t="str">
        <f>IF(Sistema!BO6="","",Sistema!BO6)</f>
        <v/>
      </c>
      <c r="BP6" t="str">
        <f>IF(Sistema!BP6="","",Sistema!BP6)</f>
        <v/>
      </c>
      <c r="BQ6" t="str">
        <f>IF(Sistema!BQ6="","",Sistema!BQ6)</f>
        <v/>
      </c>
      <c r="BR6" t="str">
        <f>IF(Sistema!BR6="","",Sistema!BR6)</f>
        <v/>
      </c>
      <c r="BS6" t="str">
        <f>IF(Sistema!BS6="","",Sistema!BS6)</f>
        <v/>
      </c>
      <c r="BT6" t="str">
        <f>IF(Sistema!BT6="","",Sistema!BT6)</f>
        <v/>
      </c>
      <c r="BU6" t="str">
        <f>IF(Sistema!BU6="","",Sistema!BU6)</f>
        <v/>
      </c>
      <c r="BV6" t="str">
        <f>IF(Sistema!BV6="","",Sistema!BV6)</f>
        <v/>
      </c>
      <c r="BW6" t="str">
        <f>IF(Sistema!BW6="","",Sistema!BW6)</f>
        <v/>
      </c>
      <c r="BX6" t="str">
        <f>IF(Sistema!BX6="","",Sistema!BX6)</f>
        <v/>
      </c>
      <c r="BY6" t="str">
        <f>IF(Sistema!BY6="","",Sistema!BY6)</f>
        <v/>
      </c>
      <c r="BZ6" t="str">
        <f>IF(Sistema!BZ6="","",Sistema!BZ6)</f>
        <v/>
      </c>
      <c r="CA6" t="str">
        <f>IF(Sistema!CA6="","",Sistema!CA6)</f>
        <v/>
      </c>
      <c r="CB6" t="str">
        <f>IF(Sistema!CB6="","",Sistema!CB6)</f>
        <v/>
      </c>
      <c r="CC6" t="str">
        <f>IF(Sistema!CC6="","",Sistema!CC6)</f>
        <v/>
      </c>
      <c r="CD6" t="str">
        <f>IF(Sistema!CD6="","",Sistema!CD6)</f>
        <v/>
      </c>
    </row>
    <row r="7" spans="1:82" x14ac:dyDescent="0.25">
      <c r="A7">
        <f>IF(Sistema!A7="","",Sistema!A7)</f>
        <v>17985</v>
      </c>
      <c r="B7" t="str">
        <f>IF(Sistema!B7="","",Sistema!B7)</f>
        <v>simple</v>
      </c>
      <c r="C7" t="str">
        <f>IF(Sistema!C7="","",Sistema!C7)</f>
        <v>MKPTB00211100</v>
      </c>
      <c r="D7" t="str">
        <f>IF(Sistema!D7="","",Sistema!D7)</f>
        <v/>
      </c>
      <c r="E7" t="str">
        <f>IF(Sistema!E7="","",Sistema!E7)</f>
        <v>Maxxis - Llanta - Rekon Race 29 x 2.40 EXO/TR 120 TPI, - TB00211100 - MKP - Desmontado, nunca usado</v>
      </c>
      <c r="F7">
        <f>IF(P7&gt;0,1,IF(Sistema!F7=0,-1,1))</f>
        <v>1</v>
      </c>
      <c r="G7">
        <f>Sistema!G7</f>
        <v>0</v>
      </c>
      <c r="H7" t="str">
        <f>IF(OR(R7="notify",R7=1),"visible",IF(OR(Sistema!F7=-1,Sistema!F7=0,ISNUMBER(SEARCH("PCK",E7))),"hidden",IF(P7&gt;0,"visible","hidden")))</f>
        <v>visible</v>
      </c>
      <c r="I7" t="str">
        <f>IF(B7="simple",IF(P7&gt;0,"",IF(R7="notify",Info!C$2,"")),IF(B7="variable",IF(P7&gt;0,"",IF(R7="notify",Info!C$4,"")),""))</f>
        <v/>
      </c>
      <c r="J7" t="str">
        <f>IF(Sistema!J7="","",Sistema!J7)</f>
        <v>&lt;p&gt;Neumático &lt;strong&gt;Maxxis Rekon Race&lt;/strong&gt; de &lt;strong&gt;29 x 2.40&lt;/strong&gt;, desarrollado para &lt;strong&gt;XC y competición&lt;/strong&gt;, con un diseño de banda de rodadura de bajo perfil que favorece una rodadura rápida en terrenos secos y circuitos de short track.&lt;/p&gt;&lt;p&gt;Esta versión incorpora carcasa &lt;strong&gt;120 TPI&lt;/strong&gt;, protección lateral &lt;strong&gt;EXO&lt;/strong&gt;, tecnología &lt;strong&gt;Tubeless Ready&lt;/strong&gt; y aro plegable. La medida &lt;strong&gt;29 x 2.40 WT&lt;/strong&gt; está optimizada para aros con un ancho interno de &lt;strong&gt;30 mm&lt;/strong&gt;.&lt;/p&gt;&lt;p&gt;&lt;strong&gt;Especificaciones:&lt;/strong&gt;&lt;/p&gt;&lt;ul&gt;&lt;li&gt;&lt;p&gt;Marca: &lt;strong&gt;Maxxis&lt;/strong&gt;&lt;/p&gt;&lt;/li&gt;&lt;li&gt;&lt;p&gt;Modelo: &lt;strong&gt;Rekon Race&lt;/strong&gt;&lt;/p&gt;&lt;/li&gt;&lt;li&gt;&lt;p&gt;Medida: &lt;strong&gt;29 x 2.40 WT&lt;/strong&gt;&lt;/p&gt;&lt;/li&gt;&lt;li&gt;&lt;p&gt;ETRTO: &lt;strong&gt;61-622&lt;/strong&gt;&lt;/p&gt;&lt;/li&gt;&lt;li&gt;&lt;p&gt;TPI: &lt;strong&gt;120&lt;/strong&gt;&lt;/p&gt;&lt;/li&gt;&lt;li&gt;&lt;p&gt;Compuesto: &lt;strong&gt;Dual&lt;/strong&gt;&lt;/p&gt;&lt;/li&gt;&lt;li&gt;&lt;p&gt;Carcasa: &lt;strong&gt;EXO&lt;/strong&gt;&lt;/p&gt;&lt;/li&gt;&lt;li&gt;&lt;p&gt;Tecnología: &lt;strong&gt;Tubeless Ready (TR)&lt;/strong&gt;&lt;/p&gt;&lt;/li&gt;&lt;li&gt;&lt;p&gt;Aro: &lt;strong&gt;Plegable&lt;/strong&gt;&lt;/p&gt;&lt;/li&gt;&lt;li&gt;&lt;p&gt;Peso de catálogo: &lt;strong&gt;aprox. 814–816 g&lt;/strong&gt;&lt;/p&gt;&lt;/li&gt;&lt;li&gt;&lt;p&gt;Uso recomendado: &lt;strong&gt;XC / XC Race&lt;/strong&gt;&lt;/p&gt;&lt;/li&gt;&lt;li&gt;&lt;p&gt;Referencia: &lt;strong&gt;TB00211100&lt;/strong&gt;&lt;/p&gt;&lt;/li&gt;&lt;li&gt;&lt;p&gt;Presentación: &lt;strong&gt;1 unidad&lt;/strong&gt;&lt;/p&gt;&lt;/li&gt;&lt;/ul&gt;</v>
      </c>
      <c r="M7" t="str">
        <f>IF(Sistema!M7="","",Sistema!M7)</f>
        <v>taxable</v>
      </c>
      <c r="N7" s="6" t="s">
        <v>1557</v>
      </c>
      <c r="O7" s="6">
        <v>1</v>
      </c>
      <c r="P7">
        <f>Sistema!P7</f>
        <v>1</v>
      </c>
      <c r="Q7">
        <f>Sistema!Q7</f>
        <v>0</v>
      </c>
      <c r="R7">
        <f>IF(Sistema!R7=1,"notify",Sistema!R7)</f>
        <v>0</v>
      </c>
      <c r="T7" t="str">
        <f>IF(Sistema!T7="","",Sistema!T7)</f>
        <v/>
      </c>
      <c r="U7" t="str">
        <f>IF(Sistema!U7="","",Sistema!U7)</f>
        <v/>
      </c>
      <c r="V7" t="str">
        <f>IF(Sistema!V7="","",Sistema!V7)</f>
        <v/>
      </c>
      <c r="W7" t="str">
        <f>IF(Sistema!W7="","",Sistema!W7)</f>
        <v/>
      </c>
      <c r="X7" s="6">
        <v>1</v>
      </c>
      <c r="Z7" t="str">
        <f>IF(Sistema!Z7="","",Sistema!Z7)</f>
        <v/>
      </c>
      <c r="AA7">
        <f>IF(Sistema!AA7="","",Sistema!AA7)</f>
        <v>150</v>
      </c>
      <c r="AB7" t="str">
        <f>IF(Sistema!AB7="","",IF(OR(ISNUMBER(SEARCH("MKP",E7)),ISNUMBER(SEARCH("MKP",C7))),"Marketplace &gt; "&amp;Sistema!AB7,Sistema!AB7))</f>
        <v>Marketplace &gt; Ciclismo &gt; Ruedas &gt; Cubiertas</v>
      </c>
      <c r="AC7" t="str">
        <f>IF(Sistema!AC7="","",Sistema!AC7)</f>
        <v/>
      </c>
      <c r="AE7" t="str">
        <f>IF(Sistema!AE7="","",Sistema!AE7)</f>
        <v>https://kuranko.pe/wp-content/uploads/2026/09/WhatsApp-Image-2026-09-19-at-2.34.53-PM-3.jpeg, https://kuranko.pe/wp-content/uploads/2026/09/WhatsApp-Image-2026-09-19-at-2.34.53-PM-2.jpeg, https://kuranko.pe/wp-content/uploads/2026/09/WhatsApp-Image-2026-09-19-at-2.34.53-PM-1.jpeg</v>
      </c>
      <c r="AH7" t="str">
        <f>IF(Sistema!AH7="","",Sistema!AH7)</f>
        <v/>
      </c>
      <c r="AQ7" t="str">
        <f>IF(Sistema!AQ7="","",Sistema!AQ7)</f>
        <v/>
      </c>
      <c r="AR7" t="str">
        <f>IF(Sistema!AR7="","",Sistema!AR7)</f>
        <v/>
      </c>
      <c r="AS7" t="str">
        <f>IF(Sistema!AS7="","",Sistema!AS7)</f>
        <v/>
      </c>
      <c r="AT7" t="str">
        <f>IF(Sistema!AT7="","",Sistema!AT7)</f>
        <v/>
      </c>
      <c r="AU7" t="str">
        <f>IF(Sistema!AU7="","",Sistema!AU7)</f>
        <v/>
      </c>
      <c r="AV7" t="str">
        <f>IF(Sistema!AV7="","",Sistema!AV7)</f>
        <v/>
      </c>
      <c r="AW7" t="str">
        <f>IF(Sistema!AW7="","",Sistema!AW7)</f>
        <v/>
      </c>
      <c r="AX7" t="str">
        <f>IF(Sistema!AX7="","",Sistema!AX7)</f>
        <v/>
      </c>
      <c r="AY7" t="str">
        <f>IF(Sistema!AY7="","",Sistema!AY7)</f>
        <v/>
      </c>
      <c r="AZ7" t="str">
        <f>IF(Sistema!AZ7="","",Sistema!AZ7)</f>
        <v/>
      </c>
      <c r="BA7" t="str">
        <f>IF(Sistema!BA7="","",Sistema!BA7)</f>
        <v/>
      </c>
      <c r="BB7" t="str">
        <f>IF(Sistema!BB7="","",Sistema!BB7)</f>
        <v/>
      </c>
      <c r="BC7" t="str">
        <f>IF(Sistema!BC7="","",Sistema!BC7)</f>
        <v/>
      </c>
      <c r="BD7" t="str">
        <f>IF(Sistema!BD7="","",Sistema!BD7)</f>
        <v/>
      </c>
      <c r="BE7" t="str">
        <f>IF(Sistema!BE7="","",Sistema!BE7)</f>
        <v/>
      </c>
      <c r="BF7" t="str">
        <f>IF(Sistema!BF7="","",Sistema!BF7)</f>
        <v/>
      </c>
      <c r="BG7" t="str">
        <f>IF(Sistema!BG7="","",Sistema!BG7)</f>
        <v/>
      </c>
      <c r="BH7" t="str">
        <f>IF(Sistema!BH7="","",Sistema!BH7)</f>
        <v/>
      </c>
      <c r="BI7" t="str">
        <f>IF(Sistema!BI7="","",Sistema!BI7)</f>
        <v/>
      </c>
      <c r="BJ7" t="str">
        <f>IF(Sistema!BJ7="","",Sistema!BJ7)</f>
        <v/>
      </c>
      <c r="BK7" t="str">
        <f>IF(Sistema!BK7="","",Sistema!BK7)</f>
        <v/>
      </c>
      <c r="BL7" t="str">
        <f>IF(Sistema!BL7="","",Sistema!BL7)</f>
        <v/>
      </c>
      <c r="BM7" t="str">
        <f>IF(Sistema!BM7="","",Sistema!BM7)</f>
        <v/>
      </c>
      <c r="BN7" t="str">
        <f>IF(Sistema!BN7="","",Sistema!BN7)</f>
        <v/>
      </c>
      <c r="BO7" t="str">
        <f>IF(Sistema!BO7="","",Sistema!BO7)</f>
        <v/>
      </c>
      <c r="BP7" t="str">
        <f>IF(Sistema!BP7="","",Sistema!BP7)</f>
        <v/>
      </c>
      <c r="BQ7" t="str">
        <f>IF(Sistema!BQ7="","",Sistema!BQ7)</f>
        <v/>
      </c>
      <c r="BR7" t="str">
        <f>IF(Sistema!BR7="","",Sistema!BR7)</f>
        <v/>
      </c>
      <c r="BS7" t="str">
        <f>IF(Sistema!BS7="","",Sistema!BS7)</f>
        <v/>
      </c>
      <c r="BT7" t="str">
        <f>IF(Sistema!BT7="","",Sistema!BT7)</f>
        <v/>
      </c>
      <c r="BU7" t="str">
        <f>IF(Sistema!BU7="","",Sistema!BU7)</f>
        <v/>
      </c>
      <c r="BV7" t="str">
        <f>IF(Sistema!BV7="","",Sistema!BV7)</f>
        <v/>
      </c>
      <c r="BW7" t="str">
        <f>IF(Sistema!BW7="","",Sistema!BW7)</f>
        <v/>
      </c>
      <c r="BX7" t="str">
        <f>IF(Sistema!BX7="","",Sistema!BX7)</f>
        <v/>
      </c>
      <c r="BY7" t="str">
        <f>IF(Sistema!BY7="","",Sistema!BY7)</f>
        <v/>
      </c>
      <c r="BZ7" t="str">
        <f>IF(Sistema!BZ7="","",Sistema!BZ7)</f>
        <v/>
      </c>
      <c r="CA7" t="str">
        <f>IF(Sistema!CA7="","",Sistema!CA7)</f>
        <v/>
      </c>
      <c r="CB7" t="str">
        <f>IF(Sistema!CB7="","",Sistema!CB7)</f>
        <v/>
      </c>
      <c r="CC7" t="str">
        <f>IF(Sistema!CC7="","",Sistema!CC7)</f>
        <v/>
      </c>
      <c r="CD7" t="str">
        <f>IF(Sistema!CD7="","",Sistema!CD7)</f>
        <v/>
      </c>
    </row>
    <row r="8" spans="1:82" x14ac:dyDescent="0.25">
      <c r="A8">
        <f>IF(Sistema!A8="","",Sistema!A8)</f>
        <v>17996</v>
      </c>
      <c r="B8" t="str">
        <f>IF(Sistema!B8="","",Sistema!B8)</f>
        <v>simple</v>
      </c>
      <c r="C8" t="str">
        <f>IF(Sistema!C8="","",Sistema!C8)</f>
        <v>DY37020.06015MKP</v>
      </c>
      <c r="D8" t="str">
        <f>IF(Sistema!D8="","",Sistema!D8)</f>
        <v/>
      </c>
      <c r="E8" t="str">
        <f>IF(Sistema!E8="","",Sistema!E8)</f>
        <v>ONOFF - Manillar - S6 Carbon 0.2, carbono, 31.8mm, 760mm ancho, 5mm rise, negro - MKP - Desmontado, nunca usado</v>
      </c>
      <c r="F8">
        <f>IF(P8&gt;0,1,IF(Sistema!F8=0,-1,1))</f>
        <v>1</v>
      </c>
      <c r="G8">
        <f>Sistema!G8</f>
        <v>0</v>
      </c>
      <c r="H8" t="str">
        <f>IF(OR(R8="notify",R8=1),"visible",IF(OR(Sistema!F8=-1,Sistema!F8=0,ISNUMBER(SEARCH("PCK",E8))),"hidden",IF(P8&gt;0,"visible","hidden")))</f>
        <v>visible</v>
      </c>
      <c r="I8" t="str">
        <f>IF(B8="simple",IF(P8&gt;0,"",IF(R8="notify",Info!C$2,"")),IF(B8="variable",IF(P8&gt;0,"",IF(R8="notify",Info!C$4,"")),""))</f>
        <v/>
      </c>
      <c r="J8" t="str">
        <f>IF(Sistema!J8="","",Sistema!J8)</f>
        <v>&lt;p&gt;Manillar de carbono diseñado para XC, down country y trail ligero, ofreciendo una excelente combinación entre bajo peso, rigidez y absorción de vibraciones. Fabricado en fibra de carbono unidireccional, proporciona una conducción precisa y un mayor confort, reduciendo la fatiga en rutas largas y terrenos técnicos.&lt;/p&gt;&lt;p&gt;Su diámetro de abrazadera de 31.8 mm garantiza compatibilidad con la mayoría de potencias del mercado, mientras que sus 760 mm de ancho y 5 mm de elevación ofrecen un equilibrio ideal entre control, estabilidad y eficiencia de pedaleo. El backsweep de 9° favorece una posición natural de las manos para una mayor comodidad.&lt;/p&gt;&lt;p&gt;Esta unidad corresponde a una pieza desmontada de bicicleta nueva, nunca utilizada, por lo que se encuentra en excelente estado estético y funcional.&lt;/p&gt;&lt;p&gt;&lt;strong&gt;🛠️ Especificaciones:&lt;/strong&gt;&lt;/p&gt;&lt;ul&gt;&lt;li&gt;&lt;p&gt;Material: Fibra de carbono unidireccional&lt;/p&gt;&lt;/li&gt;&lt;li&gt;&lt;p&gt;Diámetro de abrazadera: 31.8 mm&lt;/p&gt;&lt;/li&gt;&lt;li&gt;&lt;p&gt;Ancho: 760 mm&lt;/p&gt;&lt;/li&gt;&lt;li&gt;&lt;p&gt;Elevación (Rise): 5 mm&lt;/p&gt;&lt;/li&gt;&lt;li&gt;&lt;p&gt;Backsweep: 9°&lt;/p&gt;&lt;/li&gt;&lt;li&gt;&lt;p&gt;Upsweep: 0°&lt;/p&gt;&lt;/li&gt;&lt;li&gt;&lt;p&gt;Color: Negro&lt;/p&gt;&lt;/li&gt;&lt;li&gt;&lt;p&gt;Uso recomendado: XC / Down Country / Trail ligero&lt;/p&gt;&lt;/li&gt;&lt;li&gt;&lt;p&gt;Estado: Desmontado, nunca usado&lt;/p&gt;&lt;/li&gt;&lt;/ul&gt;</v>
      </c>
      <c r="M8" t="str">
        <f>IF(Sistema!M8="","",Sistema!M8)</f>
        <v>taxable</v>
      </c>
      <c r="N8" s="6" t="s">
        <v>1557</v>
      </c>
      <c r="O8" s="6">
        <v>1</v>
      </c>
      <c r="P8">
        <f>Sistema!P8</f>
        <v>1</v>
      </c>
      <c r="Q8">
        <f>Sistema!Q8</f>
        <v>0</v>
      </c>
      <c r="R8">
        <f>IF(Sistema!R8=1,"notify",Sistema!R8)</f>
        <v>0</v>
      </c>
      <c r="T8" t="str">
        <f>IF(Sistema!T8="","",Sistema!T8)</f>
        <v/>
      </c>
      <c r="U8" t="str">
        <f>IF(Sistema!U8="","",Sistema!U8)</f>
        <v/>
      </c>
      <c r="V8" t="str">
        <f>IF(Sistema!V8="","",Sistema!V8)</f>
        <v/>
      </c>
      <c r="W8" t="str">
        <f>IF(Sistema!W8="","",Sistema!W8)</f>
        <v/>
      </c>
      <c r="X8" s="6">
        <v>1</v>
      </c>
      <c r="Z8" t="str">
        <f>IF(Sistema!Z8="","",Sistema!Z8)</f>
        <v/>
      </c>
      <c r="AA8">
        <f>IF(Sistema!AA8="","",Sistema!AA8)</f>
        <v>680</v>
      </c>
      <c r="AB8" t="str">
        <f>IF(Sistema!AB8="","",IF(OR(ISNUMBER(SEARCH("MKP",E8)),ISNUMBER(SEARCH("MKP",C8))),"Marketplace &gt; "&amp;Sistema!AB8,Sistema!AB8))</f>
        <v>Marketplace &gt; Ciclismo &gt; Dirección &gt; Manillares</v>
      </c>
      <c r="AC8" t="str">
        <f>IF(Sistema!AC8="","",Sistema!AC8)</f>
        <v/>
      </c>
      <c r="AE8" t="str">
        <f>IF(Sistema!AE8="","",Sistema!AE8)</f>
        <v>https://kuranko.pe/wp-content/uploads/2026/09/WhatsApp-Image-2026-09-19-at-2.34.52-PM-1.jpeg, https://kuranko.pe/wp-content/uploads/2026/09/WhatsApp-Image-2026-09-19-at-2.34.52-PM-2.jpeg, https://kuranko.pe/wp-content/uploads/2026/09/WhatsApp-Image-2026-09-19-at-2.34.51-PM.jpeg, https://kuranko.pe/wp-content/uploads/2026/09/WhatsApp-Image-2026-09-19-at-2.34.50-PM-1.jpeg, https://kuranko.pe/wp-content/uploads/2026/09/WhatsApp-Image-2026-09-19-at-2.34.50-PM.jpeg, https://kuranko.pe/wp-content/uploads/2026/09/WhatsApp-Image-2026-09-19-at-2.34.49-PM-1.jpeg</v>
      </c>
      <c r="AH8" t="str">
        <f>IF(Sistema!AH8="","",Sistema!AH8)</f>
        <v/>
      </c>
      <c r="AQ8" t="str">
        <f>IF(Sistema!AQ8="","",Sistema!AQ8)</f>
        <v/>
      </c>
      <c r="AR8" t="str">
        <f>IF(Sistema!AR8="","",Sistema!AR8)</f>
        <v/>
      </c>
      <c r="AS8" t="str">
        <f>IF(Sistema!AS8="","",Sistema!AS8)</f>
        <v/>
      </c>
      <c r="AT8" t="str">
        <f>IF(Sistema!AT8="","",Sistema!AT8)</f>
        <v/>
      </c>
      <c r="AU8" t="str">
        <f>IF(Sistema!AU8="","",Sistema!AU8)</f>
        <v/>
      </c>
      <c r="AV8" t="str">
        <f>IF(Sistema!AV8="","",Sistema!AV8)</f>
        <v/>
      </c>
      <c r="AW8" t="str">
        <f>IF(Sistema!AW8="","",Sistema!AW8)</f>
        <v/>
      </c>
      <c r="AX8" t="str">
        <f>IF(Sistema!AX8="","",Sistema!AX8)</f>
        <v/>
      </c>
      <c r="AY8" t="str">
        <f>IF(Sistema!AY8="","",Sistema!AY8)</f>
        <v/>
      </c>
      <c r="AZ8" t="str">
        <f>IF(Sistema!AZ8="","",Sistema!AZ8)</f>
        <v/>
      </c>
      <c r="BA8" t="str">
        <f>IF(Sistema!BA8="","",Sistema!BA8)</f>
        <v/>
      </c>
      <c r="BB8" t="str">
        <f>IF(Sistema!BB8="","",Sistema!BB8)</f>
        <v/>
      </c>
      <c r="BC8" t="str">
        <f>IF(Sistema!BC8="","",Sistema!BC8)</f>
        <v/>
      </c>
      <c r="BD8" t="str">
        <f>IF(Sistema!BD8="","",Sistema!BD8)</f>
        <v/>
      </c>
      <c r="BE8" t="str">
        <f>IF(Sistema!BE8="","",Sistema!BE8)</f>
        <v/>
      </c>
      <c r="BF8" t="str">
        <f>IF(Sistema!BF8="","",Sistema!BF8)</f>
        <v/>
      </c>
      <c r="BG8" t="str">
        <f>IF(Sistema!BG8="","",Sistema!BG8)</f>
        <v/>
      </c>
      <c r="BH8" t="str">
        <f>IF(Sistema!BH8="","",Sistema!BH8)</f>
        <v/>
      </c>
      <c r="BI8" t="str">
        <f>IF(Sistema!BI8="","",Sistema!BI8)</f>
        <v/>
      </c>
      <c r="BJ8" t="str">
        <f>IF(Sistema!BJ8="","",Sistema!BJ8)</f>
        <v/>
      </c>
      <c r="BK8" t="str">
        <f>IF(Sistema!BK8="","",Sistema!BK8)</f>
        <v/>
      </c>
      <c r="BL8" t="str">
        <f>IF(Sistema!BL8="","",Sistema!BL8)</f>
        <v/>
      </c>
      <c r="BM8" t="str">
        <f>IF(Sistema!BM8="","",Sistema!BM8)</f>
        <v/>
      </c>
      <c r="BN8" t="str">
        <f>IF(Sistema!BN8="","",Sistema!BN8)</f>
        <v/>
      </c>
      <c r="BO8" t="str">
        <f>IF(Sistema!BO8="","",Sistema!BO8)</f>
        <v/>
      </c>
      <c r="BP8" t="str">
        <f>IF(Sistema!BP8="","",Sistema!BP8)</f>
        <v/>
      </c>
      <c r="BQ8" t="str">
        <f>IF(Sistema!BQ8="","",Sistema!BQ8)</f>
        <v/>
      </c>
      <c r="BR8" t="str">
        <f>IF(Sistema!BR8="","",Sistema!BR8)</f>
        <v/>
      </c>
      <c r="BS8" t="str">
        <f>IF(Sistema!BS8="","",Sistema!BS8)</f>
        <v/>
      </c>
      <c r="BT8" t="str">
        <f>IF(Sistema!BT8="","",Sistema!BT8)</f>
        <v/>
      </c>
      <c r="BU8" t="str">
        <f>IF(Sistema!BU8="","",Sistema!BU8)</f>
        <v/>
      </c>
      <c r="BV8" t="str">
        <f>IF(Sistema!BV8="","",Sistema!BV8)</f>
        <v/>
      </c>
      <c r="BW8" t="str">
        <f>IF(Sistema!BW8="","",Sistema!BW8)</f>
        <v/>
      </c>
      <c r="BX8" t="str">
        <f>IF(Sistema!BX8="","",Sistema!BX8)</f>
        <v/>
      </c>
      <c r="BY8" t="str">
        <f>IF(Sistema!BY8="","",Sistema!BY8)</f>
        <v/>
      </c>
      <c r="BZ8" t="str">
        <f>IF(Sistema!BZ8="","",Sistema!BZ8)</f>
        <v/>
      </c>
      <c r="CA8" t="str">
        <f>IF(Sistema!CA8="","",Sistema!CA8)</f>
        <v/>
      </c>
      <c r="CB8" t="str">
        <f>IF(Sistema!CB8="","",Sistema!CB8)</f>
        <v/>
      </c>
      <c r="CC8" t="str">
        <f>IF(Sistema!CC8="","",Sistema!CC8)</f>
        <v/>
      </c>
      <c r="CD8" t="str">
        <f>IF(Sistema!CD8="","",Sistema!CD8)</f>
        <v/>
      </c>
    </row>
    <row r="9" spans="1:82" x14ac:dyDescent="0.25">
      <c r="A9">
        <f>IF(Sistema!A9="","",Sistema!A9)</f>
        <v>18009</v>
      </c>
      <c r="B9" t="str">
        <f>IF(Sistema!B9="","",Sistema!B9)</f>
        <v>simple</v>
      </c>
      <c r="C9" t="str">
        <f>IF(Sistema!C9="","",Sistema!C9)</f>
        <v>MKP00.4020.572.005</v>
      </c>
      <c r="D9" t="str">
        <f>IF(Sistema!D9="","",Sistema!D9)</f>
        <v/>
      </c>
      <c r="E9" t="str">
        <f>IF(Sistema!E9="","",Sistema!E9)</f>
        <v>RockShox - Vástago - de aire - DebonAir C1 130 mm para Lyrik/Yari A1+ (2016+) - MKP - Usado, en buen estado</v>
      </c>
      <c r="F9">
        <f>IF(P9&gt;0,1,IF(Sistema!F9=0,-1,1))</f>
        <v>1</v>
      </c>
      <c r="G9">
        <f>Sistema!G9</f>
        <v>0</v>
      </c>
      <c r="H9" t="str">
        <f>IF(OR(R9="notify",R9=1),"visible",IF(OR(Sistema!F9=-1,Sistema!F9=0,ISNUMBER(SEARCH("PCK",E9))),"hidden",IF(P9&gt;0,"visible","hidden")))</f>
        <v>visible</v>
      </c>
      <c r="I9" t="str">
        <f>IF(B9="simple",IF(P9&gt;0,"",IF(R9="notify",Info!C$2,"")),IF(B9="variable",IF(P9&gt;0,"",IF(R9="notify",Info!C$4,"")),""))</f>
        <v/>
      </c>
      <c r="J9" t="str">
        <f>IF(Sistema!J9="","",Sistema!J9)</f>
        <v>&lt;p&gt;Vástago de aire DebonAir C1 de 130 mm para horquillas RockShox Lyrik y Yari compatibles. Permite configurar la horquilla para un recorrido de 130 mm mediante el sistema de aire DebonAir C1.&lt;/p&gt;&lt;p&gt;&lt;strong&gt;Compatibilidad:&lt;/strong&gt;&lt;/p&gt;&lt;ul&gt;&lt;li&gt;&lt;p&gt;RockShox Lyrik A1-C3, 2016-2022&lt;/p&gt;&lt;/li&gt;&lt;li&gt;&lt;p&gt;RockShox Yari A1-B3, 2016-2022&lt;/p&gt;&lt;/li&gt;&lt;/ul&gt;&lt;p&gt;&lt;strong&gt;Especificaciones:&lt;/strong&gt;&lt;/p&gt;&lt;ul&gt;&lt;li&gt;&lt;p&gt;Sistema: DebonAir C1&lt;/p&gt;&lt;/li&gt;&lt;li&gt;&lt;p&gt;Recorrido: 130 mm&lt;/p&gt;&lt;/li&gt;&lt;li&gt;&lt;p&gt;Tipo: Vástago de aire / Air Shaft&lt;/p&gt;&lt;/li&gt;&lt;/ul&gt;</v>
      </c>
      <c r="M9" t="str">
        <f>IF(Sistema!M9="","",Sistema!M9)</f>
        <v>taxable</v>
      </c>
      <c r="N9" s="6" t="s">
        <v>1557</v>
      </c>
      <c r="O9" s="6">
        <v>1</v>
      </c>
      <c r="P9">
        <f>Sistema!P9</f>
        <v>1</v>
      </c>
      <c r="Q9">
        <f>Sistema!Q9</f>
        <v>0</v>
      </c>
      <c r="R9">
        <f>IF(Sistema!R9=1,"notify",Sistema!R9)</f>
        <v>0</v>
      </c>
      <c r="T9" t="str">
        <f>IF(Sistema!T9="","",Sistema!T9)</f>
        <v/>
      </c>
      <c r="U9" t="str">
        <f>IF(Sistema!U9="","",Sistema!U9)</f>
        <v/>
      </c>
      <c r="V9" t="str">
        <f>IF(Sistema!V9="","",Sistema!V9)</f>
        <v/>
      </c>
      <c r="W9" t="str">
        <f>IF(Sistema!W9="","",Sistema!W9)</f>
        <v/>
      </c>
      <c r="X9" s="6">
        <v>1</v>
      </c>
      <c r="Z9" t="str">
        <f>IF(Sistema!Z9="","",Sistema!Z9)</f>
        <v/>
      </c>
      <c r="AA9">
        <f>IF(Sistema!AA9="","",Sistema!AA9)</f>
        <v>200</v>
      </c>
      <c r="AB9" t="str">
        <f>IF(Sistema!AB9="","",IF(OR(ISNUMBER(SEARCH("MKP",E9)),ISNUMBER(SEARCH("MKP",C9))),"Marketplace &gt; "&amp;Sistema!AB9,Sistema!AB9))</f>
        <v>Marketplace &gt; Ciclismo &gt; Amortiguador &gt; Muelles para horquillas</v>
      </c>
      <c r="AC9" t="str">
        <f>IF(Sistema!AC9="","",Sistema!AC9)</f>
        <v/>
      </c>
      <c r="AE9" t="str">
        <f>IF(Sistema!AE9="","",Sistema!AE9)</f>
        <v>https://kuranko.pe/wp-content/uploads/2026/09/WhatsApp-Image-2026-09-19-at-2.31.29-PM.jpeg, https://kuranko.pe/wp-content/uploads/2026/09/WhatsApp-Image-2026-09-19-at-2.31.28-PM.jpeg</v>
      </c>
      <c r="AH9" t="str">
        <f>IF(Sistema!AH9="","",Sistema!AH9)</f>
        <v/>
      </c>
      <c r="AQ9" t="str">
        <f>IF(Sistema!AQ9="","",Sistema!AQ9)</f>
        <v/>
      </c>
      <c r="AR9" t="str">
        <f>IF(Sistema!AR9="","",Sistema!AR9)</f>
        <v/>
      </c>
      <c r="AS9" t="str">
        <f>IF(Sistema!AS9="","",Sistema!AS9)</f>
        <v/>
      </c>
      <c r="AT9" t="str">
        <f>IF(Sistema!AT9="","",Sistema!AT9)</f>
        <v/>
      </c>
      <c r="AU9" t="str">
        <f>IF(Sistema!AU9="","",Sistema!AU9)</f>
        <v/>
      </c>
      <c r="AV9" t="str">
        <f>IF(Sistema!AV9="","",Sistema!AV9)</f>
        <v/>
      </c>
      <c r="AW9" t="str">
        <f>IF(Sistema!AW9="","",Sistema!AW9)</f>
        <v/>
      </c>
      <c r="AX9" t="str">
        <f>IF(Sistema!AX9="","",Sistema!AX9)</f>
        <v/>
      </c>
      <c r="AY9" t="str">
        <f>IF(Sistema!AY9="","",Sistema!AY9)</f>
        <v/>
      </c>
      <c r="AZ9" t="str">
        <f>IF(Sistema!AZ9="","",Sistema!AZ9)</f>
        <v/>
      </c>
      <c r="BA9" t="str">
        <f>IF(Sistema!BA9="","",Sistema!BA9)</f>
        <v/>
      </c>
      <c r="BB9" t="str">
        <f>IF(Sistema!BB9="","",Sistema!BB9)</f>
        <v/>
      </c>
      <c r="BC9" t="str">
        <f>IF(Sistema!BC9="","",Sistema!BC9)</f>
        <v/>
      </c>
      <c r="BD9" t="str">
        <f>IF(Sistema!BD9="","",Sistema!BD9)</f>
        <v/>
      </c>
      <c r="BE9" t="str">
        <f>IF(Sistema!BE9="","",Sistema!BE9)</f>
        <v/>
      </c>
      <c r="BF9" t="str">
        <f>IF(Sistema!BF9="","",Sistema!BF9)</f>
        <v/>
      </c>
      <c r="BG9" t="str">
        <f>IF(Sistema!BG9="","",Sistema!BG9)</f>
        <v/>
      </c>
      <c r="BH9" t="str">
        <f>IF(Sistema!BH9="","",Sistema!BH9)</f>
        <v/>
      </c>
      <c r="BI9" t="str">
        <f>IF(Sistema!BI9="","",Sistema!BI9)</f>
        <v/>
      </c>
      <c r="BJ9" t="str">
        <f>IF(Sistema!BJ9="","",Sistema!BJ9)</f>
        <v/>
      </c>
      <c r="BK9" t="str">
        <f>IF(Sistema!BK9="","",Sistema!BK9)</f>
        <v/>
      </c>
      <c r="BL9" t="str">
        <f>IF(Sistema!BL9="","",Sistema!BL9)</f>
        <v/>
      </c>
      <c r="BM9" t="str">
        <f>IF(Sistema!BM9="","",Sistema!BM9)</f>
        <v/>
      </c>
      <c r="BN9" t="str">
        <f>IF(Sistema!BN9="","",Sistema!BN9)</f>
        <v/>
      </c>
      <c r="BO9" t="str">
        <f>IF(Sistema!BO9="","",Sistema!BO9)</f>
        <v/>
      </c>
      <c r="BP9" t="str">
        <f>IF(Sistema!BP9="","",Sistema!BP9)</f>
        <v/>
      </c>
      <c r="BQ9" t="str">
        <f>IF(Sistema!BQ9="","",Sistema!BQ9)</f>
        <v/>
      </c>
      <c r="BR9" t="str">
        <f>IF(Sistema!BR9="","",Sistema!BR9)</f>
        <v/>
      </c>
      <c r="BS9" t="str">
        <f>IF(Sistema!BS9="","",Sistema!BS9)</f>
        <v/>
      </c>
      <c r="BT9" t="str">
        <f>IF(Sistema!BT9="","",Sistema!BT9)</f>
        <v/>
      </c>
      <c r="BU9" t="str">
        <f>IF(Sistema!BU9="","",Sistema!BU9)</f>
        <v/>
      </c>
      <c r="BV9" t="str">
        <f>IF(Sistema!BV9="","",Sistema!BV9)</f>
        <v/>
      </c>
      <c r="BW9" t="str">
        <f>IF(Sistema!BW9="","",Sistema!BW9)</f>
        <v/>
      </c>
      <c r="BX9" t="str">
        <f>IF(Sistema!BX9="","",Sistema!BX9)</f>
        <v/>
      </c>
      <c r="BY9" t="str">
        <f>IF(Sistema!BY9="","",Sistema!BY9)</f>
        <v/>
      </c>
      <c r="BZ9" t="str">
        <f>IF(Sistema!BZ9="","",Sistema!BZ9)</f>
        <v/>
      </c>
      <c r="CA9" t="str">
        <f>IF(Sistema!CA9="","",Sistema!CA9)</f>
        <v/>
      </c>
      <c r="CB9" t="str">
        <f>IF(Sistema!CB9="","",Sistema!CB9)</f>
        <v/>
      </c>
      <c r="CC9" t="str">
        <f>IF(Sistema!CC9="","",Sistema!CC9)</f>
        <v/>
      </c>
      <c r="CD9" t="str">
        <f>IF(Sistema!CD9="","",Sistema!CD9)</f>
        <v/>
      </c>
    </row>
    <row r="10" spans="1:82" x14ac:dyDescent="0.25">
      <c r="A10">
        <f>IF(Sistema!A10="","",Sistema!A10)</f>
        <v>18023</v>
      </c>
      <c r="B10" t="str">
        <f>IF(Sistema!B10="","",Sistema!B10)</f>
        <v>simple</v>
      </c>
      <c r="C10" t="str">
        <f>IF(Sistema!C10="","",Sistema!C10)</f>
        <v>PRD-000009</v>
      </c>
      <c r="D10" t="str">
        <f>IF(Sistema!D10="","",Sistema!D10)</f>
        <v/>
      </c>
      <c r="E10" t="str">
        <f>IF(Sistema!E10="","",Sistema!E10)</f>
        <v>Shimano - Descarrilador - SLX M7100 Shadow+ SGS Black 12s / Max 51t - MKP - Usado</v>
      </c>
      <c r="F10">
        <f>IF(P10&gt;0,1,IF(Sistema!F10=0,-1,1))</f>
        <v>1</v>
      </c>
      <c r="G10">
        <f>Sistema!G10</f>
        <v>0</v>
      </c>
      <c r="H10" t="str">
        <f>IF(OR(R10="notify",R10=1),"visible",IF(OR(Sistema!F10=-1,Sistema!F10=0,ISNUMBER(SEARCH("PCK",E10))),"hidden",IF(P10&gt;0,"visible","hidden")))</f>
        <v>visible</v>
      </c>
      <c r="I10" t="str">
        <f>IF(B10="simple",IF(P10&gt;0,"",IF(R10="notify",Info!C$2,"")),IF(B10="variable",IF(P10&gt;0,"",IF(R10="notify",Info!C$4,"")),""))</f>
        <v/>
      </c>
      <c r="J10" t="str">
        <f>IF(Sistema!J10="","",Sistema!J10)</f>
        <v>&lt;p&gt;&lt;/p&gt;</v>
      </c>
      <c r="M10" t="str">
        <f>IF(Sistema!M10="","",Sistema!M10)</f>
        <v>taxable</v>
      </c>
      <c r="N10" s="6" t="s">
        <v>1557</v>
      </c>
      <c r="O10" s="6">
        <v>1</v>
      </c>
      <c r="P10">
        <f>Sistema!P10</f>
        <v>1</v>
      </c>
      <c r="Q10">
        <f>Sistema!Q10</f>
        <v>0</v>
      </c>
      <c r="R10">
        <f>IF(Sistema!R10=1,"notify",Sistema!R10)</f>
        <v>0</v>
      </c>
      <c r="T10" t="str">
        <f>IF(Sistema!T10="","",Sistema!T10)</f>
        <v/>
      </c>
      <c r="U10" t="str">
        <f>IF(Sistema!U10="","",Sistema!U10)</f>
        <v/>
      </c>
      <c r="V10" t="str">
        <f>IF(Sistema!V10="","",Sistema!V10)</f>
        <v/>
      </c>
      <c r="W10" t="str">
        <f>IF(Sistema!W10="","",Sistema!W10)</f>
        <v/>
      </c>
      <c r="X10" s="6">
        <v>1</v>
      </c>
      <c r="Z10" t="str">
        <f>IF(Sistema!Z10="","",Sistema!Z10)</f>
        <v/>
      </c>
      <c r="AA10">
        <f>IF(Sistema!AA10="","",Sistema!AA10)</f>
        <v>250</v>
      </c>
      <c r="AB10" t="str">
        <f>IF(Sistema!AB10="","",IF(OR(ISNUMBER(SEARCH("MKP",E10)),ISNUMBER(SEARCH("MKP",C10))),"Marketplace &gt; "&amp;Sistema!AB10,Sistema!AB10))</f>
        <v>Marketplace &gt; Ciclismo &gt; Transmisión &gt; Descarrilador</v>
      </c>
      <c r="AC10" t="str">
        <f>IF(Sistema!AC10="","",Sistema!AC10)</f>
        <v/>
      </c>
      <c r="AE10" t="str">
        <f>IF(Sistema!AE10="","",Sistema!AE10)</f>
        <v>https://kuranko.pe/wp-content/uploads/2026/07/WhatsApp-Image-2026-07-24-at-7.19.49-PM.jpeg, https://kuranko.pe/wp-content/uploads/2026/07/WhatsApp-Image-2026-07-24-at-7.19.48-PM-1.jpeg</v>
      </c>
      <c r="AH10" t="str">
        <f>IF(Sistema!AH10="","",Sistema!AH10)</f>
        <v/>
      </c>
      <c r="AQ10" t="str">
        <f>IF(Sistema!AQ10="","",Sistema!AQ10)</f>
        <v/>
      </c>
      <c r="AR10" t="str">
        <f>IF(Sistema!AR10="","",Sistema!AR10)</f>
        <v/>
      </c>
      <c r="AS10" t="str">
        <f>IF(Sistema!AS10="","",Sistema!AS10)</f>
        <v/>
      </c>
      <c r="AT10" t="str">
        <f>IF(Sistema!AT10="","",Sistema!AT10)</f>
        <v/>
      </c>
      <c r="AU10" t="str">
        <f>IF(Sistema!AU10="","",Sistema!AU10)</f>
        <v/>
      </c>
      <c r="AV10" t="str">
        <f>IF(Sistema!AV10="","",Sistema!AV10)</f>
        <v/>
      </c>
      <c r="AW10" t="str">
        <f>IF(Sistema!AW10="","",Sistema!AW10)</f>
        <v/>
      </c>
      <c r="AX10" t="str">
        <f>IF(Sistema!AX10="","",Sistema!AX10)</f>
        <v/>
      </c>
      <c r="AY10" t="str">
        <f>IF(Sistema!AY10="","",Sistema!AY10)</f>
        <v/>
      </c>
      <c r="AZ10" t="str">
        <f>IF(Sistema!AZ10="","",Sistema!AZ10)</f>
        <v/>
      </c>
      <c r="BA10" t="str">
        <f>IF(Sistema!BA10="","",Sistema!BA10)</f>
        <v/>
      </c>
      <c r="BB10" t="str">
        <f>IF(Sistema!BB10="","",Sistema!BB10)</f>
        <v/>
      </c>
      <c r="BC10" t="str">
        <f>IF(Sistema!BC10="","",Sistema!BC10)</f>
        <v/>
      </c>
      <c r="BD10" t="str">
        <f>IF(Sistema!BD10="","",Sistema!BD10)</f>
        <v/>
      </c>
      <c r="BE10" t="str">
        <f>IF(Sistema!BE10="","",Sistema!BE10)</f>
        <v/>
      </c>
      <c r="BF10" t="str">
        <f>IF(Sistema!BF10="","",Sistema!BF10)</f>
        <v/>
      </c>
      <c r="BG10" t="str">
        <f>IF(Sistema!BG10="","",Sistema!BG10)</f>
        <v/>
      </c>
      <c r="BH10" t="str">
        <f>IF(Sistema!BH10="","",Sistema!BH10)</f>
        <v/>
      </c>
      <c r="BI10" t="str">
        <f>IF(Sistema!BI10="","",Sistema!BI10)</f>
        <v/>
      </c>
      <c r="BJ10" t="str">
        <f>IF(Sistema!BJ10="","",Sistema!BJ10)</f>
        <v/>
      </c>
      <c r="BK10" t="str">
        <f>IF(Sistema!BK10="","",Sistema!BK10)</f>
        <v/>
      </c>
      <c r="BL10" t="str">
        <f>IF(Sistema!BL10="","",Sistema!BL10)</f>
        <v/>
      </c>
      <c r="BM10" t="str">
        <f>IF(Sistema!BM10="","",Sistema!BM10)</f>
        <v/>
      </c>
      <c r="BN10" t="str">
        <f>IF(Sistema!BN10="","",Sistema!BN10)</f>
        <v/>
      </c>
      <c r="BO10" t="str">
        <f>IF(Sistema!BO10="","",Sistema!BO10)</f>
        <v/>
      </c>
      <c r="BP10" t="str">
        <f>IF(Sistema!BP10="","",Sistema!BP10)</f>
        <v/>
      </c>
      <c r="BQ10" t="str">
        <f>IF(Sistema!BQ10="","",Sistema!BQ10)</f>
        <v/>
      </c>
      <c r="BR10" t="str">
        <f>IF(Sistema!BR10="","",Sistema!BR10)</f>
        <v/>
      </c>
      <c r="BS10" t="str">
        <f>IF(Sistema!BS10="","",Sistema!BS10)</f>
        <v/>
      </c>
      <c r="BT10" t="str">
        <f>IF(Sistema!BT10="","",Sistema!BT10)</f>
        <v/>
      </c>
      <c r="BU10" t="str">
        <f>IF(Sistema!BU10="","",Sistema!BU10)</f>
        <v/>
      </c>
      <c r="BV10" t="str">
        <f>IF(Sistema!BV10="","",Sistema!BV10)</f>
        <v/>
      </c>
      <c r="BW10" t="str">
        <f>IF(Sistema!BW10="","",Sistema!BW10)</f>
        <v/>
      </c>
      <c r="BX10" t="str">
        <f>IF(Sistema!BX10="","",Sistema!BX10)</f>
        <v/>
      </c>
      <c r="BY10" t="str">
        <f>IF(Sistema!BY10="","",Sistema!BY10)</f>
        <v/>
      </c>
      <c r="BZ10" t="str">
        <f>IF(Sistema!BZ10="","",Sistema!BZ10)</f>
        <v/>
      </c>
      <c r="CA10" t="str">
        <f>IF(Sistema!CA10="","",Sistema!CA10)</f>
        <v/>
      </c>
      <c r="CB10" t="str">
        <f>IF(Sistema!CB10="","",Sistema!CB10)</f>
        <v/>
      </c>
      <c r="CC10" t="str">
        <f>IF(Sistema!CC10="","",Sistema!CC10)</f>
        <v/>
      </c>
      <c r="CD10" t="str">
        <f>IF(Sistema!CD10="","",Sistema!CD10)</f>
        <v/>
      </c>
    </row>
    <row r="11" spans="1:82" x14ac:dyDescent="0.25">
      <c r="A11">
        <f>IF(Sistema!A11="","",Sistema!A11)</f>
        <v>18024</v>
      </c>
      <c r="B11" t="str">
        <f>IF(Sistema!B11="","",Sistema!B11)</f>
        <v>simple</v>
      </c>
      <c r="C11" t="str">
        <f>IF(Sistema!C11="","",Sistema!C11)</f>
        <v>MKP4550170451967</v>
      </c>
      <c r="D11" t="str">
        <f>IF(Sistema!D11="","",Sistema!D11)</f>
        <v/>
      </c>
      <c r="E11" t="str">
        <f>IF(Sistema!E11="","",Sistema!E11)</f>
        <v>Shimano - Disco - SLX SM-RT64 Center Lock 180mm - MKP - Usado, en buen estado</v>
      </c>
      <c r="F11">
        <f>IF(P11&gt;0,1,IF(Sistema!F11=0,-1,1))</f>
        <v>1</v>
      </c>
      <c r="G11">
        <f>Sistema!G11</f>
        <v>0</v>
      </c>
      <c r="H11" t="str">
        <f>IF(OR(R11="notify",R11=1),"visible",IF(OR(Sistema!F11=-1,Sistema!F11=0,ISNUMBER(SEARCH("PCK",E11))),"hidden",IF(P11&gt;0,"visible","hidden")))</f>
        <v>visible</v>
      </c>
      <c r="I11" t="str">
        <f>IF(B11="simple",IF(P11&gt;0,"",IF(R11="notify",Info!C$2,"")),IF(B11="variable",IF(P11&gt;0,"",IF(R11="notify",Info!C$4,"")),""))</f>
        <v/>
      </c>
      <c r="J11" t="str">
        <f>IF(Sistema!J11="","",Sistema!J11)</f>
        <v>&lt;p&gt;Disco Shimano SLX SM-RT64 Center LockLa superficie de frenada en acero inoxidable cortada con precisión garantiza la limpieza de la pastilla en condiciones de barro y ayuda al enfriamiento bajo esfuerzos elevados.&lt;br&gt;Se incrementa la durabilidad y las prestaciones de la pastilla de freno&lt;br&gt;La araña en aleación de aluminio hace de soporte a la superficie del rotor, aumentando la rigidez y reduciendo el peso.Peso: alrededor de 153 g. (160 mm)&lt;br&gt;12 g más ligero que el SM-RT62.&lt;/p&gt;</v>
      </c>
      <c r="M11" t="str">
        <f>IF(Sistema!M11="","",Sistema!M11)</f>
        <v>taxable</v>
      </c>
      <c r="N11" s="6" t="s">
        <v>1557</v>
      </c>
      <c r="O11" s="6">
        <v>1</v>
      </c>
      <c r="P11">
        <f>Sistema!P11</f>
        <v>1</v>
      </c>
      <c r="Q11">
        <f>Sistema!Q11</f>
        <v>0</v>
      </c>
      <c r="R11">
        <f>IF(Sistema!R11=1,"notify",Sistema!R11)</f>
        <v>0</v>
      </c>
      <c r="T11" t="str">
        <f>IF(Sistema!T11="","",Sistema!T11)</f>
        <v/>
      </c>
      <c r="U11" t="str">
        <f>IF(Sistema!U11="","",Sistema!U11)</f>
        <v/>
      </c>
      <c r="V11" t="str">
        <f>IF(Sistema!V11="","",Sistema!V11)</f>
        <v/>
      </c>
      <c r="W11" t="str">
        <f>IF(Sistema!W11="","",Sistema!W11)</f>
        <v/>
      </c>
      <c r="X11" s="6">
        <v>1</v>
      </c>
      <c r="Z11" t="str">
        <f>IF(Sistema!Z11="","",Sistema!Z11)</f>
        <v/>
      </c>
      <c r="AA11" t="str">
        <f>IF(Sistema!AA11="","",Sistema!AA11)</f>
        <v/>
      </c>
      <c r="AB11" t="str">
        <f>IF(Sistema!AB11="","",IF(OR(ISNUMBER(SEARCH("MKP",E11)),ISNUMBER(SEARCH("MKP",C11))),"Marketplace &gt; "&amp;Sistema!AB11,Sistema!AB11))</f>
        <v>Marketplace &gt; Ciclismo &gt; Frenos &gt; Discos para frenos</v>
      </c>
      <c r="AC11" t="str">
        <f>IF(Sistema!AC11="","",Sistema!AC11)</f>
        <v/>
      </c>
      <c r="AE11" t="str">
        <f>IF(Sistema!AE11="","",Sistema!AE11)</f>
        <v>https://kuranko.pe/wp-content/uploads/2026/09/WhatsApp-Image-2026-09-19-at-2.31.54-PM.jpeg, https://kuranko.pe/wp-content/uploads/2026/09/WhatsApp-Image-2026-09-19-at-2.31.49-PM.jpeg, https://kuranko.pe/wp-content/uploads/2026/09/WhatsApp-Image-2026-09-19-at-2.31.47-PM.jpeg, https://kuranko.pe/wp-content/uploads/2026/09/WhatsApp-Image-2026-09-19-at-2.31.45-PM.jpeg, https://kuranko.pe/wp-content/uploads/2026/09/WhatsApp-Image-2026-09-19-at-2.31.43-PM.jpeg</v>
      </c>
      <c r="AH11" t="str">
        <f>IF(Sistema!AH11="","",Sistema!AH11)</f>
        <v/>
      </c>
      <c r="AQ11" t="str">
        <f>IF(Sistema!AQ11="","",Sistema!AQ11)</f>
        <v/>
      </c>
      <c r="AR11" t="str">
        <f>IF(Sistema!AR11="","",Sistema!AR11)</f>
        <v/>
      </c>
      <c r="AS11" t="str">
        <f>IF(Sistema!AS11="","",Sistema!AS11)</f>
        <v/>
      </c>
      <c r="AT11" t="str">
        <f>IF(Sistema!AT11="","",Sistema!AT11)</f>
        <v/>
      </c>
      <c r="AU11" t="str">
        <f>IF(Sistema!AU11="","",Sistema!AU11)</f>
        <v/>
      </c>
      <c r="AV11" t="str">
        <f>IF(Sistema!AV11="","",Sistema!AV11)</f>
        <v/>
      </c>
      <c r="AW11" t="str">
        <f>IF(Sistema!AW11="","",Sistema!AW11)</f>
        <v/>
      </c>
      <c r="AX11" t="str">
        <f>IF(Sistema!AX11="","",Sistema!AX11)</f>
        <v/>
      </c>
      <c r="AY11" t="str">
        <f>IF(Sistema!AY11="","",Sistema!AY11)</f>
        <v/>
      </c>
      <c r="AZ11" t="str">
        <f>IF(Sistema!AZ11="","",Sistema!AZ11)</f>
        <v/>
      </c>
      <c r="BA11" t="str">
        <f>IF(Sistema!BA11="","",Sistema!BA11)</f>
        <v/>
      </c>
      <c r="BB11" t="str">
        <f>IF(Sistema!BB11="","",Sistema!BB11)</f>
        <v/>
      </c>
      <c r="BC11" t="str">
        <f>IF(Sistema!BC11="","",Sistema!BC11)</f>
        <v/>
      </c>
      <c r="BD11" t="str">
        <f>IF(Sistema!BD11="","",Sistema!BD11)</f>
        <v/>
      </c>
      <c r="BE11" t="str">
        <f>IF(Sistema!BE11="","",Sistema!BE11)</f>
        <v/>
      </c>
      <c r="BF11" t="str">
        <f>IF(Sistema!BF11="","",Sistema!BF11)</f>
        <v/>
      </c>
      <c r="BG11" t="str">
        <f>IF(Sistema!BG11="","",Sistema!BG11)</f>
        <v/>
      </c>
      <c r="BH11" t="str">
        <f>IF(Sistema!BH11="","",Sistema!BH11)</f>
        <v/>
      </c>
      <c r="BI11" t="str">
        <f>IF(Sistema!BI11="","",Sistema!BI11)</f>
        <v/>
      </c>
      <c r="BJ11" t="str">
        <f>IF(Sistema!BJ11="","",Sistema!BJ11)</f>
        <v/>
      </c>
      <c r="BK11" t="str">
        <f>IF(Sistema!BK11="","",Sistema!BK11)</f>
        <v/>
      </c>
      <c r="BL11" t="str">
        <f>IF(Sistema!BL11="","",Sistema!BL11)</f>
        <v/>
      </c>
      <c r="BM11" t="str">
        <f>IF(Sistema!BM11="","",Sistema!BM11)</f>
        <v/>
      </c>
      <c r="BN11" t="str">
        <f>IF(Sistema!BN11="","",Sistema!BN11)</f>
        <v/>
      </c>
      <c r="BO11" t="str">
        <f>IF(Sistema!BO11="","",Sistema!BO11)</f>
        <v/>
      </c>
      <c r="BP11" t="str">
        <f>IF(Sistema!BP11="","",Sistema!BP11)</f>
        <v/>
      </c>
      <c r="BQ11" t="str">
        <f>IF(Sistema!BQ11="","",Sistema!BQ11)</f>
        <v/>
      </c>
      <c r="BR11" t="str">
        <f>IF(Sistema!BR11="","",Sistema!BR11)</f>
        <v/>
      </c>
      <c r="BS11" t="str">
        <f>IF(Sistema!BS11="","",Sistema!BS11)</f>
        <v/>
      </c>
      <c r="BT11" t="str">
        <f>IF(Sistema!BT11="","",Sistema!BT11)</f>
        <v/>
      </c>
      <c r="BU11" t="str">
        <f>IF(Sistema!BU11="","",Sistema!BU11)</f>
        <v/>
      </c>
      <c r="BV11" t="str">
        <f>IF(Sistema!BV11="","",Sistema!BV11)</f>
        <v/>
      </c>
      <c r="BW11" t="str">
        <f>IF(Sistema!BW11="","",Sistema!BW11)</f>
        <v/>
      </c>
      <c r="BX11" t="str">
        <f>IF(Sistema!BX11="","",Sistema!BX11)</f>
        <v/>
      </c>
      <c r="BY11" t="str">
        <f>IF(Sistema!BY11="","",Sistema!BY11)</f>
        <v/>
      </c>
      <c r="BZ11" t="str">
        <f>IF(Sistema!BZ11="","",Sistema!BZ11)</f>
        <v/>
      </c>
      <c r="CA11" t="str">
        <f>IF(Sistema!CA11="","",Sistema!CA11)</f>
        <v/>
      </c>
      <c r="CB11" t="str">
        <f>IF(Sistema!CB11="","",Sistema!CB11)</f>
        <v/>
      </c>
      <c r="CC11" t="str">
        <f>IF(Sistema!CC11="","",Sistema!CC11)</f>
        <v/>
      </c>
      <c r="CD11" t="str">
        <f>IF(Sistema!CD11="","",Sistema!CD11)</f>
        <v/>
      </c>
    </row>
    <row r="12" spans="1:82" x14ac:dyDescent="0.25">
      <c r="A12">
        <f>IF(Sistema!A12="","",Sistema!A12)</f>
        <v>18025</v>
      </c>
      <c r="B12" t="str">
        <f>IF(Sistema!B12="","",Sistema!B12)</f>
        <v>simple</v>
      </c>
      <c r="C12" t="str">
        <f>IF(Sistema!C12="","",Sistema!C12)</f>
        <v>MKP0000000036</v>
      </c>
      <c r="D12" t="str">
        <f>IF(Sistema!D12="","",Sistema!D12)</f>
        <v/>
      </c>
      <c r="E12" t="str">
        <f>IF(Sistema!E12="","",Sistema!E12)</f>
        <v>Shimano - Freno - delantero Deore XT M8100, sin pastillas - MKP - Usado, en buen estado</v>
      </c>
      <c r="F12">
        <f>IF(P12&gt;0,1,IF(Sistema!F12=0,-1,1))</f>
        <v>1</v>
      </c>
      <c r="G12">
        <f>Sistema!G12</f>
        <v>0</v>
      </c>
      <c r="H12" t="str">
        <f>IF(OR(R12="notify",R12=1),"visible",IF(OR(Sistema!F12=-1,Sistema!F12=0,ISNUMBER(SEARCH("PCK",E12))),"hidden",IF(P12&gt;0,"visible","hidden")))</f>
        <v>visible</v>
      </c>
      <c r="I12" t="str">
        <f>IF(B12="simple",IF(P12&gt;0,"",IF(R12="notify",Info!C$2,"")),IF(B12="variable",IF(P12&gt;0,"",IF(R12="notify",Info!C$4,"")),""))</f>
        <v/>
      </c>
      <c r="J12" t="str">
        <f>IF(Sistema!J12="","",Sistema!J12)</f>
        <v>Freno hidráulico de alto rendimiento diseñado para MTB XC, trail y enduro ligero, ofreciendo excelente potencia, modulación y control en todo tipo de terrenos. La serie Deore XT M8100 destaca por su tacto preciso y respuesta consistente, ideal para ciclistas que buscan rendimiento confiable tanto en rutas técnicas como en largas jornadas de montaña.
La construcción ligera y resistente mejora la disipación de calor y mantiene un funcionamiento estable incluso en descensos exigentes. Esta unidad corresponde a una pieza MKP desmontada, usada y en buen estado funcional y estético. Se entrega sin pastillas de freno.
🛠️ Especificaciones:
Posición: Delantero
Serie: Shimano Deore XT M8100
Tipo: Freno hidráulico de disco
Color: Negro
Incluye maneta y caliper
No incluye pastillas
Estado: MKP – usado, en buen estado</v>
      </c>
      <c r="M12" t="str">
        <f>IF(Sistema!M12="","",Sistema!M12)</f>
        <v>taxable</v>
      </c>
      <c r="N12" s="6" t="s">
        <v>1557</v>
      </c>
      <c r="O12" s="6">
        <v>1</v>
      </c>
      <c r="P12">
        <f>Sistema!P12</f>
        <v>1</v>
      </c>
      <c r="Q12">
        <f>Sistema!Q12</f>
        <v>0</v>
      </c>
      <c r="R12">
        <f>IF(Sistema!R12=1,"notify",Sistema!R12)</f>
        <v>0</v>
      </c>
      <c r="T12" t="str">
        <f>IF(Sistema!T12="","",Sistema!T12)</f>
        <v/>
      </c>
      <c r="U12" t="str">
        <f>IF(Sistema!U12="","",Sistema!U12)</f>
        <v/>
      </c>
      <c r="V12" t="str">
        <f>IF(Sistema!V12="","",Sistema!V12)</f>
        <v/>
      </c>
      <c r="W12" t="str">
        <f>IF(Sistema!W12="","",Sistema!W12)</f>
        <v/>
      </c>
      <c r="X12" s="6">
        <v>1</v>
      </c>
      <c r="Z12">
        <f>IF(Sistema!Z12="","",Sistema!Z12)</f>
        <v>300</v>
      </c>
      <c r="AA12">
        <f>IF(Sistema!AA12="","",Sistema!AA12)</f>
        <v>300</v>
      </c>
      <c r="AB12" t="str">
        <f>IF(Sistema!AB12="","",IF(OR(ISNUMBER(SEARCH("MKP",E12)),ISNUMBER(SEARCH("MKP",C12))),"Marketplace &gt; "&amp;Sistema!AB12,Sistema!AB12))</f>
        <v>Marketplace &gt; Ciclismo &gt; Frenos &gt; Frenos de disco y aro</v>
      </c>
      <c r="AC12" t="str">
        <f>IF(Sistema!AC12="","",Sistema!AC12)</f>
        <v/>
      </c>
      <c r="AE12" t="str">
        <f>IF(Sistema!AE12="","",Sistema!AE12)</f>
        <v>https://kuranko.pe/wp-content/uploads/2026/07/WhatsApp-Image-2026-07-22-at-4.51.42-PM.jpeg, https://kuranko.pe/wp-content/uploads/2026/07/WhatsApp-Image-2026-07-22-at-4.51.41-PM-1.jpeg, https://kuranko.pe/wp-content/uploads/2026/07/WhatsApp-Image-2026-07-22-at-4.51.41-PM.jpeg, https://kuranko.pe/wp-content/uploads/2026/07/WhatsApp-Image-2026-07-22-at-4.51.40-PM-2.jpeg, https://kuranko.pe/wp-content/uploads/2026/07/WhatsApp-Image-2026-07-22-at-4.51.40-PM-1.jpeg, https://kuranko.pe/wp-content/uploads/2026/07/WhatsApp-Image-2026-07-22-at-4.51.40-PM.jpeg, https://kuranko.pe/wp-content/uploads/2026/07/WhatsApp-Image-2026-07-22-at-4.51.39-PM-1.jpeg</v>
      </c>
      <c r="AH12" t="str">
        <f>IF(Sistema!AH12="","",Sistema!AH12)</f>
        <v/>
      </c>
      <c r="AQ12" t="str">
        <f>IF(Sistema!AQ12="","",Sistema!AQ12)</f>
        <v/>
      </c>
      <c r="AR12" t="str">
        <f>IF(Sistema!AR12="","",Sistema!AR12)</f>
        <v/>
      </c>
      <c r="AS12" t="str">
        <f>IF(Sistema!AS12="","",Sistema!AS12)</f>
        <v/>
      </c>
      <c r="AT12" t="str">
        <f>IF(Sistema!AT12="","",Sistema!AT12)</f>
        <v/>
      </c>
      <c r="AU12" t="str">
        <f>IF(Sistema!AU12="","",Sistema!AU12)</f>
        <v/>
      </c>
      <c r="AV12" t="str">
        <f>IF(Sistema!AV12="","",Sistema!AV12)</f>
        <v/>
      </c>
      <c r="AW12" t="str">
        <f>IF(Sistema!AW12="","",Sistema!AW12)</f>
        <v/>
      </c>
      <c r="AX12" t="str">
        <f>IF(Sistema!AX12="","",Sistema!AX12)</f>
        <v/>
      </c>
      <c r="AY12" t="str">
        <f>IF(Sistema!AY12="","",Sistema!AY12)</f>
        <v/>
      </c>
      <c r="AZ12" t="str">
        <f>IF(Sistema!AZ12="","",Sistema!AZ12)</f>
        <v/>
      </c>
      <c r="BA12" t="str">
        <f>IF(Sistema!BA12="","",Sistema!BA12)</f>
        <v/>
      </c>
      <c r="BB12" t="str">
        <f>IF(Sistema!BB12="","",Sistema!BB12)</f>
        <v/>
      </c>
      <c r="BC12" t="str">
        <f>IF(Sistema!BC12="","",Sistema!BC12)</f>
        <v/>
      </c>
      <c r="BD12" t="str">
        <f>IF(Sistema!BD12="","",Sistema!BD12)</f>
        <v/>
      </c>
      <c r="BE12" t="str">
        <f>IF(Sistema!BE12="","",Sistema!BE12)</f>
        <v/>
      </c>
      <c r="BF12" t="str">
        <f>IF(Sistema!BF12="","",Sistema!BF12)</f>
        <v/>
      </c>
      <c r="BG12" t="str">
        <f>IF(Sistema!BG12="","",Sistema!BG12)</f>
        <v/>
      </c>
      <c r="BH12" t="str">
        <f>IF(Sistema!BH12="","",Sistema!BH12)</f>
        <v/>
      </c>
      <c r="BI12" t="str">
        <f>IF(Sistema!BI12="","",Sistema!BI12)</f>
        <v/>
      </c>
      <c r="BJ12" t="str">
        <f>IF(Sistema!BJ12="","",Sistema!BJ12)</f>
        <v/>
      </c>
      <c r="BK12" t="str">
        <f>IF(Sistema!BK12="","",Sistema!BK12)</f>
        <v/>
      </c>
      <c r="BL12" t="str">
        <f>IF(Sistema!BL12="","",Sistema!BL12)</f>
        <v/>
      </c>
      <c r="BM12" t="str">
        <f>IF(Sistema!BM12="","",Sistema!BM12)</f>
        <v/>
      </c>
      <c r="BN12" t="str">
        <f>IF(Sistema!BN12="","",Sistema!BN12)</f>
        <v/>
      </c>
      <c r="BO12" t="str">
        <f>IF(Sistema!BO12="","",Sistema!BO12)</f>
        <v/>
      </c>
      <c r="BP12" t="str">
        <f>IF(Sistema!BP12="","",Sistema!BP12)</f>
        <v/>
      </c>
      <c r="BQ12" t="str">
        <f>IF(Sistema!BQ12="","",Sistema!BQ12)</f>
        <v/>
      </c>
      <c r="BR12" t="str">
        <f>IF(Sistema!BR12="","",Sistema!BR12)</f>
        <v/>
      </c>
      <c r="BS12" t="str">
        <f>IF(Sistema!BS12="","",Sistema!BS12)</f>
        <v/>
      </c>
      <c r="BT12" t="str">
        <f>IF(Sistema!BT12="","",Sistema!BT12)</f>
        <v/>
      </c>
      <c r="BU12" t="str">
        <f>IF(Sistema!BU12="","",Sistema!BU12)</f>
        <v/>
      </c>
      <c r="BV12" t="str">
        <f>IF(Sistema!BV12="","",Sistema!BV12)</f>
        <v/>
      </c>
      <c r="BW12" t="str">
        <f>IF(Sistema!BW12="","",Sistema!BW12)</f>
        <v/>
      </c>
      <c r="BX12" t="str">
        <f>IF(Sistema!BX12="","",Sistema!BX12)</f>
        <v/>
      </c>
      <c r="BY12" t="str">
        <f>IF(Sistema!BY12="","",Sistema!BY12)</f>
        <v/>
      </c>
      <c r="BZ12" t="str">
        <f>IF(Sistema!BZ12="","",Sistema!BZ12)</f>
        <v/>
      </c>
      <c r="CA12" t="str">
        <f>IF(Sistema!CA12="","",Sistema!CA12)</f>
        <v/>
      </c>
      <c r="CB12" t="str">
        <f>IF(Sistema!CB12="","",Sistema!CB12)</f>
        <v/>
      </c>
      <c r="CC12" t="str">
        <f>IF(Sistema!CC12="","",Sistema!CC12)</f>
        <v/>
      </c>
      <c r="CD12" t="str">
        <f>IF(Sistema!CD12="","",Sistema!CD12)</f>
        <v/>
      </c>
    </row>
    <row r="13" spans="1:82" x14ac:dyDescent="0.25">
      <c r="A13">
        <f>IF(Sistema!A13="","",Sistema!A13)</f>
        <v>18026</v>
      </c>
      <c r="B13" t="str">
        <f>IF(Sistema!B13="","",Sistema!B13)</f>
        <v>simple</v>
      </c>
      <c r="C13" t="str">
        <f>IF(Sistema!C13="","",Sistema!C13)</f>
        <v>MKP0000000051</v>
      </c>
      <c r="D13" t="str">
        <f>IF(Sistema!D13="","",Sistema!D13)</f>
        <v/>
      </c>
      <c r="E13" t="str">
        <f>IF(Sistema!E13="","",Sistema!E13)</f>
        <v>Shimano - Frenos - Deore xt 4 pistones usados MKP</v>
      </c>
      <c r="F13">
        <f>IF(P13&gt;0,1,IF(Sistema!F13=0,-1,1))</f>
        <v>1</v>
      </c>
      <c r="G13">
        <f>Sistema!G13</f>
        <v>0</v>
      </c>
      <c r="H13" t="str">
        <f>IF(OR(R13="notify",R13=1),"visible",IF(OR(Sistema!F13=-1,Sistema!F13=0,ISNUMBER(SEARCH("PCK",E13))),"hidden",IF(P13&gt;0,"visible","hidden")))</f>
        <v>hidden</v>
      </c>
      <c r="I13" t="str">
        <f>IF(B13="simple",IF(P13&gt;0,"",IF(R13="notify",Info!C$2,"")),IF(B13="variable",IF(P13&gt;0,"",IF(R13="notify",Info!C$4,"")),""))</f>
        <v/>
      </c>
      <c r="J13" t="str">
        <f>IF(Sistema!J13="","",Sistema!J13)</f>
        <v/>
      </c>
      <c r="M13" t="str">
        <f>IF(Sistema!M13="","",Sistema!M13)</f>
        <v>taxable</v>
      </c>
      <c r="N13" s="6" t="s">
        <v>1557</v>
      </c>
      <c r="O13" s="6">
        <v>1</v>
      </c>
      <c r="P13">
        <f>Sistema!P13</f>
        <v>0</v>
      </c>
      <c r="Q13">
        <f>Sistema!Q13</f>
        <v>0</v>
      </c>
      <c r="R13">
        <f>IF(Sistema!R13=1,"notify",Sistema!R13)</f>
        <v>0</v>
      </c>
      <c r="T13" t="str">
        <f>IF(Sistema!T13="","",Sistema!T13)</f>
        <v/>
      </c>
      <c r="U13" t="str">
        <f>IF(Sistema!U13="","",Sistema!U13)</f>
        <v/>
      </c>
      <c r="V13" t="str">
        <f>IF(Sistema!V13="","",Sistema!V13)</f>
        <v/>
      </c>
      <c r="W13" t="str">
        <f>IF(Sistema!W13="","",Sistema!W13)</f>
        <v/>
      </c>
      <c r="X13" s="6">
        <v>1</v>
      </c>
      <c r="Z13" t="str">
        <f>IF(Sistema!Z13="","",Sistema!Z13)</f>
        <v/>
      </c>
      <c r="AA13" t="str">
        <f>IF(Sistema!AA13="","",Sistema!AA13)</f>
        <v/>
      </c>
      <c r="AB13" t="str">
        <f>IF(Sistema!AB13="","",IF(OR(ISNUMBER(SEARCH("MKP",E13)),ISNUMBER(SEARCH("MKP",C13))),"Marketplace &gt; "&amp;Sistema!AB13,Sistema!AB13))</f>
        <v>Marketplace &gt; Ciclismo &gt; Frenos &gt; Frenos de disco y aro</v>
      </c>
      <c r="AC13" t="str">
        <f>IF(Sistema!AC13="","",Sistema!AC13)</f>
        <v/>
      </c>
      <c r="AE13" t="str">
        <f>IF(Sistema!AE13="","",Sistema!AE13)</f>
        <v/>
      </c>
      <c r="AH13" t="str">
        <f>IF(Sistema!AH13="","",Sistema!AH13)</f>
        <v/>
      </c>
      <c r="AQ13" t="str">
        <f>IF(Sistema!AQ13="","",Sistema!AQ13)</f>
        <v/>
      </c>
      <c r="AR13" t="str">
        <f>IF(Sistema!AR13="","",Sistema!AR13)</f>
        <v/>
      </c>
      <c r="AS13" t="str">
        <f>IF(Sistema!AS13="","",Sistema!AS13)</f>
        <v/>
      </c>
      <c r="AT13" t="str">
        <f>IF(Sistema!AT13="","",Sistema!AT13)</f>
        <v/>
      </c>
      <c r="AU13" t="str">
        <f>IF(Sistema!AU13="","",Sistema!AU13)</f>
        <v/>
      </c>
      <c r="AV13" t="str">
        <f>IF(Sistema!AV13="","",Sistema!AV13)</f>
        <v/>
      </c>
      <c r="AW13" t="str">
        <f>IF(Sistema!AW13="","",Sistema!AW13)</f>
        <v/>
      </c>
      <c r="AX13" t="str">
        <f>IF(Sistema!AX13="","",Sistema!AX13)</f>
        <v/>
      </c>
      <c r="AY13" t="str">
        <f>IF(Sistema!AY13="","",Sistema!AY13)</f>
        <v/>
      </c>
      <c r="AZ13" t="str">
        <f>IF(Sistema!AZ13="","",Sistema!AZ13)</f>
        <v/>
      </c>
      <c r="BA13" t="str">
        <f>IF(Sistema!BA13="","",Sistema!BA13)</f>
        <v/>
      </c>
      <c r="BB13" t="str">
        <f>IF(Sistema!BB13="","",Sistema!BB13)</f>
        <v/>
      </c>
      <c r="BC13" t="str">
        <f>IF(Sistema!BC13="","",Sistema!BC13)</f>
        <v/>
      </c>
      <c r="BD13" t="str">
        <f>IF(Sistema!BD13="","",Sistema!BD13)</f>
        <v/>
      </c>
      <c r="BE13" t="str">
        <f>IF(Sistema!BE13="","",Sistema!BE13)</f>
        <v/>
      </c>
      <c r="BF13" t="str">
        <f>IF(Sistema!BF13="","",Sistema!BF13)</f>
        <v/>
      </c>
      <c r="BG13" t="str">
        <f>IF(Sistema!BG13="","",Sistema!BG13)</f>
        <v/>
      </c>
      <c r="BH13" t="str">
        <f>IF(Sistema!BH13="","",Sistema!BH13)</f>
        <v/>
      </c>
      <c r="BI13" t="str">
        <f>IF(Sistema!BI13="","",Sistema!BI13)</f>
        <v/>
      </c>
      <c r="BJ13" t="str">
        <f>IF(Sistema!BJ13="","",Sistema!BJ13)</f>
        <v/>
      </c>
      <c r="BK13" t="str">
        <f>IF(Sistema!BK13="","",Sistema!BK13)</f>
        <v/>
      </c>
      <c r="BL13" t="str">
        <f>IF(Sistema!BL13="","",Sistema!BL13)</f>
        <v/>
      </c>
      <c r="BM13" t="str">
        <f>IF(Sistema!BM13="","",Sistema!BM13)</f>
        <v/>
      </c>
      <c r="BN13" t="str">
        <f>IF(Sistema!BN13="","",Sistema!BN13)</f>
        <v/>
      </c>
      <c r="BO13" t="str">
        <f>IF(Sistema!BO13="","",Sistema!BO13)</f>
        <v/>
      </c>
      <c r="BP13" t="str">
        <f>IF(Sistema!BP13="","",Sistema!BP13)</f>
        <v/>
      </c>
      <c r="BQ13" t="str">
        <f>IF(Sistema!BQ13="","",Sistema!BQ13)</f>
        <v/>
      </c>
      <c r="BR13" t="str">
        <f>IF(Sistema!BR13="","",Sistema!BR13)</f>
        <v/>
      </c>
      <c r="BS13" t="str">
        <f>IF(Sistema!BS13="","",Sistema!BS13)</f>
        <v/>
      </c>
      <c r="BT13" t="str">
        <f>IF(Sistema!BT13="","",Sistema!BT13)</f>
        <v/>
      </c>
      <c r="BU13" t="str">
        <f>IF(Sistema!BU13="","",Sistema!BU13)</f>
        <v/>
      </c>
      <c r="BV13" t="str">
        <f>IF(Sistema!BV13="","",Sistema!BV13)</f>
        <v/>
      </c>
      <c r="BW13" t="str">
        <f>IF(Sistema!BW13="","",Sistema!BW13)</f>
        <v/>
      </c>
      <c r="BX13" t="str">
        <f>IF(Sistema!BX13="","",Sistema!BX13)</f>
        <v/>
      </c>
      <c r="BY13" t="str">
        <f>IF(Sistema!BY13="","",Sistema!BY13)</f>
        <v/>
      </c>
      <c r="BZ13" t="str">
        <f>IF(Sistema!BZ13="","",Sistema!BZ13)</f>
        <v/>
      </c>
      <c r="CA13" t="str">
        <f>IF(Sistema!CA13="","",Sistema!CA13)</f>
        <v/>
      </c>
      <c r="CB13" t="str">
        <f>IF(Sistema!CB13="","",Sistema!CB13)</f>
        <v/>
      </c>
      <c r="CC13" t="str">
        <f>IF(Sistema!CC13="","",Sistema!CC13)</f>
        <v/>
      </c>
      <c r="CD13" t="str">
        <f>IF(Sistema!CD13="","",Sistema!CD13)</f>
        <v/>
      </c>
    </row>
    <row r="14" spans="1:82" x14ac:dyDescent="0.25">
      <c r="A14">
        <f>IF(Sistema!A14="","",Sistema!A14)</f>
        <v>18027</v>
      </c>
      <c r="B14" t="str">
        <f>IF(Sistema!B14="","",Sistema!B14)</f>
        <v>simple</v>
      </c>
      <c r="C14" t="str">
        <f>IF(Sistema!C14="","",Sistema!C14)</f>
        <v>MKP0000000040</v>
      </c>
      <c r="D14" t="str">
        <f>IF(Sistema!D14="","",Sistema!D14)</f>
        <v/>
      </c>
      <c r="E14" t="str">
        <f>IF(Sistema!E14="","",Sistema!E14)</f>
        <v>Shimano - Piñon - SLX CS-M7100 Micro Spline 12V - MKP - Usado, en buen estado</v>
      </c>
      <c r="F14">
        <f>IF(P14&gt;0,1,IF(Sistema!F14=0,-1,1))</f>
        <v>1</v>
      </c>
      <c r="G14">
        <f>Sistema!G14</f>
        <v>0</v>
      </c>
      <c r="H14" t="str">
        <f>IF(OR(R14="notify",R14=1),"visible",IF(OR(Sistema!F14=-1,Sistema!F14=0,ISNUMBER(SEARCH("PCK",E14))),"hidden",IF(P14&gt;0,"visible","hidden")))</f>
        <v>visible</v>
      </c>
      <c r="I14" t="str">
        <f>IF(B14="simple",IF(P14&gt;0,"",IF(R14="notify",Info!C$2,"")),IF(B14="variable",IF(P14&gt;0,"",IF(R14="notify",Info!C$4,"")),""))</f>
        <v/>
      </c>
      <c r="J14" t="str">
        <f>IF(Sistema!J14="","",Sistema!J14)</f>
        <v>Cassette diseñado para transmisiones Shimano 12 velocidades, ofreciendo cambios suaves, rápidos y precisos gracias a la tecnología Hyperglide+. La serie SLX M7100 proporciona excelente rendimiento en XC, trail y enduro, manteniendo una buena relación entre durabilidad, peso y eficiencia de pedaleo.
Su construcción optimizada mejora la retención de cadena y permite cambios más fluidos incluso bajo carga en terrenos técnicos y subidas exigentes. Compatible con núcleos Micro Spline de Shimano para transmisiones MTB modernas.
Esta unidad corresponde a una pieza MKP desmontada, usada y en buen estado funcional y estético.
🛠️ Especificaciones:
Serie: Shimano SLX CS-M7100
Velocidades: 12V
Sistema: Hyperglide+
Núcleo compatible: Micro Spline
Uso recomendado: MTB / XC / Trail / Enduro
Color: Plata / Negro
Estado: MKP – usado, en buen estado</v>
      </c>
      <c r="M14" t="str">
        <f>IF(Sistema!M14="","",Sistema!M14)</f>
        <v>taxable</v>
      </c>
      <c r="N14" s="6" t="s">
        <v>1557</v>
      </c>
      <c r="O14" s="6">
        <v>1</v>
      </c>
      <c r="P14">
        <f>Sistema!P14</f>
        <v>1</v>
      </c>
      <c r="Q14">
        <f>Sistema!Q14</f>
        <v>0</v>
      </c>
      <c r="R14">
        <f>IF(Sistema!R14=1,"notify",Sistema!R14)</f>
        <v>0</v>
      </c>
      <c r="T14" t="str">
        <f>IF(Sistema!T14="","",Sistema!T14)</f>
        <v/>
      </c>
      <c r="U14" t="str">
        <f>IF(Sistema!U14="","",Sistema!U14)</f>
        <v/>
      </c>
      <c r="V14" t="str">
        <f>IF(Sistema!V14="","",Sistema!V14)</f>
        <v/>
      </c>
      <c r="W14" t="str">
        <f>IF(Sistema!W14="","",Sistema!W14)</f>
        <v/>
      </c>
      <c r="X14" s="6">
        <v>1</v>
      </c>
      <c r="Z14">
        <f>IF(Sistema!Z14="","",Sistema!Z14)</f>
        <v>280</v>
      </c>
      <c r="AA14">
        <f>IF(Sistema!AA14="","",Sistema!AA14)</f>
        <v>280</v>
      </c>
      <c r="AB14" t="str">
        <f>IF(Sistema!AB14="","",IF(OR(ISNUMBER(SEARCH("MKP",E14)),ISNUMBER(SEARCH("MKP",C14))),"Marketplace &gt; "&amp;Sistema!AB14,Sistema!AB14))</f>
        <v>Marketplace &gt; Ciclismo &gt; Transmisión &gt; Piñones</v>
      </c>
      <c r="AC14" t="str">
        <f>IF(Sistema!AC14="","",Sistema!AC14)</f>
        <v/>
      </c>
      <c r="AE14" t="str">
        <f>IF(Sistema!AE14="","",Sistema!AE14)</f>
        <v>https://kuranko.pe/wp-content/uploads/2026/07/WhatsApp-Image-2026-07-24-at-7.18.20-PM-3.jpeg, https://kuranko.pe/wp-content/uploads/2026/07/WhatsApp-Image-2026-07-24-at-7.18.21-PM.jpeg</v>
      </c>
      <c r="AH14" t="str">
        <f>IF(Sistema!AH14="","",Sistema!AH14)</f>
        <v/>
      </c>
      <c r="AQ14" t="str">
        <f>IF(Sistema!AQ14="","",Sistema!AQ14)</f>
        <v/>
      </c>
      <c r="AR14" t="str">
        <f>IF(Sistema!AR14="","",Sistema!AR14)</f>
        <v/>
      </c>
      <c r="AS14" t="str">
        <f>IF(Sistema!AS14="","",Sistema!AS14)</f>
        <v/>
      </c>
      <c r="AT14" t="str">
        <f>IF(Sistema!AT14="","",Sistema!AT14)</f>
        <v/>
      </c>
      <c r="AU14" t="str">
        <f>IF(Sistema!AU14="","",Sistema!AU14)</f>
        <v/>
      </c>
      <c r="AV14" t="str">
        <f>IF(Sistema!AV14="","",Sistema!AV14)</f>
        <v/>
      </c>
      <c r="AW14" t="str">
        <f>IF(Sistema!AW14="","",Sistema!AW14)</f>
        <v/>
      </c>
      <c r="AX14" t="str">
        <f>IF(Sistema!AX14="","",Sistema!AX14)</f>
        <v/>
      </c>
      <c r="AY14" t="str">
        <f>IF(Sistema!AY14="","",Sistema!AY14)</f>
        <v/>
      </c>
      <c r="AZ14" t="str">
        <f>IF(Sistema!AZ14="","",Sistema!AZ14)</f>
        <v/>
      </c>
      <c r="BA14" t="str">
        <f>IF(Sistema!BA14="","",Sistema!BA14)</f>
        <v/>
      </c>
      <c r="BB14" t="str">
        <f>IF(Sistema!BB14="","",Sistema!BB14)</f>
        <v/>
      </c>
      <c r="BC14" t="str">
        <f>IF(Sistema!BC14="","",Sistema!BC14)</f>
        <v/>
      </c>
      <c r="BD14" t="str">
        <f>IF(Sistema!BD14="","",Sistema!BD14)</f>
        <v/>
      </c>
      <c r="BE14" t="str">
        <f>IF(Sistema!BE14="","",Sistema!BE14)</f>
        <v/>
      </c>
      <c r="BF14" t="str">
        <f>IF(Sistema!BF14="","",Sistema!BF14)</f>
        <v/>
      </c>
      <c r="BG14" t="str">
        <f>IF(Sistema!BG14="","",Sistema!BG14)</f>
        <v/>
      </c>
      <c r="BH14" t="str">
        <f>IF(Sistema!BH14="","",Sistema!BH14)</f>
        <v/>
      </c>
      <c r="BI14" t="str">
        <f>IF(Sistema!BI14="","",Sistema!BI14)</f>
        <v/>
      </c>
      <c r="BJ14" t="str">
        <f>IF(Sistema!BJ14="","",Sistema!BJ14)</f>
        <v/>
      </c>
      <c r="BK14" t="str">
        <f>IF(Sistema!BK14="","",Sistema!BK14)</f>
        <v/>
      </c>
      <c r="BL14" t="str">
        <f>IF(Sistema!BL14="","",Sistema!BL14)</f>
        <v/>
      </c>
      <c r="BM14" t="str">
        <f>IF(Sistema!BM14="","",Sistema!BM14)</f>
        <v/>
      </c>
      <c r="BN14" t="str">
        <f>IF(Sistema!BN14="","",Sistema!BN14)</f>
        <v/>
      </c>
      <c r="BO14" t="str">
        <f>IF(Sistema!BO14="","",Sistema!BO14)</f>
        <v/>
      </c>
      <c r="BP14" t="str">
        <f>IF(Sistema!BP14="","",Sistema!BP14)</f>
        <v/>
      </c>
      <c r="BQ14" t="str">
        <f>IF(Sistema!BQ14="","",Sistema!BQ14)</f>
        <v/>
      </c>
      <c r="BR14" t="str">
        <f>IF(Sistema!BR14="","",Sistema!BR14)</f>
        <v/>
      </c>
      <c r="BS14" t="str">
        <f>IF(Sistema!BS14="","",Sistema!BS14)</f>
        <v/>
      </c>
      <c r="BT14" t="str">
        <f>IF(Sistema!BT14="","",Sistema!BT14)</f>
        <v/>
      </c>
      <c r="BU14" t="str">
        <f>IF(Sistema!BU14="","",Sistema!BU14)</f>
        <v/>
      </c>
      <c r="BV14" t="str">
        <f>IF(Sistema!BV14="","",Sistema!BV14)</f>
        <v/>
      </c>
      <c r="BW14" t="str">
        <f>IF(Sistema!BW14="","",Sistema!BW14)</f>
        <v/>
      </c>
      <c r="BX14" t="str">
        <f>IF(Sistema!BX14="","",Sistema!BX14)</f>
        <v/>
      </c>
      <c r="BY14" t="str">
        <f>IF(Sistema!BY14="","",Sistema!BY14)</f>
        <v/>
      </c>
      <c r="BZ14" t="str">
        <f>IF(Sistema!BZ14="","",Sistema!BZ14)</f>
        <v/>
      </c>
      <c r="CA14" t="str">
        <f>IF(Sistema!CA14="","",Sistema!CA14)</f>
        <v/>
      </c>
      <c r="CB14" t="str">
        <f>IF(Sistema!CB14="","",Sistema!CB14)</f>
        <v/>
      </c>
      <c r="CC14" t="str">
        <f>IF(Sistema!CC14="","",Sistema!CC14)</f>
        <v/>
      </c>
      <c r="CD14" t="str">
        <f>IF(Sistema!CD14="","",Sistema!CD14)</f>
        <v/>
      </c>
    </row>
    <row r="15" spans="1:82" x14ac:dyDescent="0.25">
      <c r="A15">
        <f>IF(Sistema!A15="","",Sistema!A15)</f>
        <v>18028</v>
      </c>
      <c r="B15" t="str">
        <f>IF(Sistema!B15="","",Sistema!B15)</f>
        <v>simple</v>
      </c>
      <c r="C15" t="str">
        <f>IF(Sistema!C15="","",Sistema!C15)</f>
        <v>MKP0000000017</v>
      </c>
      <c r="D15" t="str">
        <f>IF(Sistema!D15="","",Sistema!D15)</f>
        <v/>
      </c>
      <c r="E15" t="str">
        <f>IF(Sistema!E15="","",Sistema!E15)</f>
        <v>Shimano - Piñon - XT CS-M8100 Micro Spline 12V - MKP - Usado, en buen estado</v>
      </c>
      <c r="F15">
        <f>IF(P15&gt;0,1,IF(Sistema!F15=0,-1,1))</f>
        <v>1</v>
      </c>
      <c r="G15">
        <f>Sistema!G15</f>
        <v>0</v>
      </c>
      <c r="H15" t="str">
        <f>IF(OR(R15="notify",R15=1),"visible",IF(OR(Sistema!F15=-1,Sistema!F15=0,ISNUMBER(SEARCH("PCK",E15))),"hidden",IF(P15&gt;0,"visible","hidden")))</f>
        <v>visible</v>
      </c>
      <c r="I15" t="str">
        <f>IF(B15="simple",IF(P15&gt;0,"",IF(R15="notify",Info!C$2,"")),IF(B15="variable",IF(P15&gt;0,"",IF(R15="notify",Info!C$4,"")),""))</f>
        <v/>
      </c>
      <c r="J15" t="str">
        <f>IF(Sistema!J15="","",Sistema!J15)</f>
        <v>Para adaptar el amado XT al nuevo estándar de 12 velocidades y ofrecer el máximo rendimiento, Shimano presenta el piñón de cassette CS-M8100. Incorpora la tecnología del cuerpo de cassette Micro Spline del conocido XTR 12V y el perfil de los dientes Hyperglide+, lo que hace que el cambio sea aún más silencioso y eficiente.
Características
Los nuevos diseños de rampa de cambio brindan los cambios más rápidos y suaves con Hyperglide+
Construcción más ligera y más rígida.
Reduce la inercia del cassette, lo que origina una aceleración más rápida e incrementa la seguridad de la cadena.
El piñón inferior 10D realizado con la nueva construcción Freehub.
Compatibilidad: 12 velocidades.
No compatible con cuerpo de cassette Shimano Standard.
Diez primeros piñones en acero, últimos dos en aluminio anodizado negro.
Combinaciones disponibles: 10-45D, 10-51D.
Dientes:
10-51D: 10-12-14-16-18-21-24-28-33-39-45-51 (471 g)</v>
      </c>
      <c r="M15" t="str">
        <f>IF(Sistema!M15="","",Sistema!M15)</f>
        <v>taxable</v>
      </c>
      <c r="N15" s="6" t="s">
        <v>1557</v>
      </c>
      <c r="O15" s="6">
        <v>1</v>
      </c>
      <c r="P15">
        <f>Sistema!P15</f>
        <v>1</v>
      </c>
      <c r="Q15">
        <f>Sistema!Q15</f>
        <v>0</v>
      </c>
      <c r="R15">
        <f>IF(Sistema!R15=1,"notify",Sistema!R15)</f>
        <v>0</v>
      </c>
      <c r="T15" t="str">
        <f>IF(Sistema!T15="","",Sistema!T15)</f>
        <v/>
      </c>
      <c r="U15" t="str">
        <f>IF(Sistema!U15="","",Sistema!U15)</f>
        <v/>
      </c>
      <c r="V15" t="str">
        <f>IF(Sistema!V15="","",Sistema!V15)</f>
        <v/>
      </c>
      <c r="W15" t="str">
        <f>IF(Sistema!W15="","",Sistema!W15)</f>
        <v/>
      </c>
      <c r="X15" s="6">
        <v>1</v>
      </c>
      <c r="Z15">
        <f>IF(Sistema!Z15="","",Sistema!Z15)</f>
        <v>360</v>
      </c>
      <c r="AA15">
        <f>IF(Sistema!AA15="","",Sistema!AA15)</f>
        <v>400</v>
      </c>
      <c r="AB15" t="str">
        <f>IF(Sistema!AB15="","",IF(OR(ISNUMBER(SEARCH("MKP",E15)),ISNUMBER(SEARCH("MKP",C15))),"Marketplace &gt; "&amp;Sistema!AB15,Sistema!AB15))</f>
        <v>Marketplace &gt; Ciclismo &gt; Transmisión &gt; Piñones</v>
      </c>
      <c r="AC15" t="str">
        <f>IF(Sistema!AC15="","",Sistema!AC15)</f>
        <v/>
      </c>
      <c r="AE15" t="str">
        <f>IF(Sistema!AE15="","",Sistema!AE15)</f>
        <v>https://kuranko.pe/wp-content/uploads/2026/07/WhatsApp-Image-2026-07-22-at-4.51.52-PM-2.jpeg, https://kuranko.pe/wp-content/uploads/2026/07/WhatsApp-Image-2026-07-22-at-4.51.52-PM-1.jpeg, https://kuranko.pe/wp-content/uploads/2026/07/WhatsApp-Image-2026-07-22-at-4.51.52-PM.jpeg, https://kuranko.pe/wp-content/uploads/2026/07/WhatsApp-Image-2026-07-22-at-4.51.51-PM-2.jpeg, https://kuranko.pe/wp-content/uploads/2026/07/WhatsApp-Image-2026-07-22-at-4.51.51-PM-1.jpeg</v>
      </c>
      <c r="AH15" t="str">
        <f>IF(Sistema!AH15="","",Sistema!AH15)</f>
        <v/>
      </c>
      <c r="AQ15" t="str">
        <f>IF(Sistema!AQ15="","",Sistema!AQ15)</f>
        <v/>
      </c>
      <c r="AR15" t="str">
        <f>IF(Sistema!AR15="","",Sistema!AR15)</f>
        <v/>
      </c>
      <c r="AS15" t="str">
        <f>IF(Sistema!AS15="","",Sistema!AS15)</f>
        <v/>
      </c>
      <c r="AT15" t="str">
        <f>IF(Sistema!AT15="","",Sistema!AT15)</f>
        <v/>
      </c>
      <c r="AU15" t="str">
        <f>IF(Sistema!AU15="","",Sistema!AU15)</f>
        <v/>
      </c>
      <c r="AV15" t="str">
        <f>IF(Sistema!AV15="","",Sistema!AV15)</f>
        <v/>
      </c>
      <c r="AW15" t="str">
        <f>IF(Sistema!AW15="","",Sistema!AW15)</f>
        <v/>
      </c>
      <c r="AX15" t="str">
        <f>IF(Sistema!AX15="","",Sistema!AX15)</f>
        <v/>
      </c>
      <c r="AY15" t="str">
        <f>IF(Sistema!AY15="","",Sistema!AY15)</f>
        <v/>
      </c>
      <c r="AZ15" t="str">
        <f>IF(Sistema!AZ15="","",Sistema!AZ15)</f>
        <v/>
      </c>
      <c r="BA15" t="str">
        <f>IF(Sistema!BA15="","",Sistema!BA15)</f>
        <v/>
      </c>
      <c r="BB15" t="str">
        <f>IF(Sistema!BB15="","",Sistema!BB15)</f>
        <v/>
      </c>
      <c r="BC15" t="str">
        <f>IF(Sistema!BC15="","",Sistema!BC15)</f>
        <v/>
      </c>
      <c r="BD15" t="str">
        <f>IF(Sistema!BD15="","",Sistema!BD15)</f>
        <v/>
      </c>
      <c r="BE15" t="str">
        <f>IF(Sistema!BE15="","",Sistema!BE15)</f>
        <v/>
      </c>
      <c r="BF15" t="str">
        <f>IF(Sistema!BF15="","",Sistema!BF15)</f>
        <v/>
      </c>
      <c r="BG15" t="str">
        <f>IF(Sistema!BG15="","",Sistema!BG15)</f>
        <v/>
      </c>
      <c r="BH15" t="str">
        <f>IF(Sistema!BH15="","",Sistema!BH15)</f>
        <v/>
      </c>
      <c r="BI15" t="str">
        <f>IF(Sistema!BI15="","",Sistema!BI15)</f>
        <v/>
      </c>
      <c r="BJ15" t="str">
        <f>IF(Sistema!BJ15="","",Sistema!BJ15)</f>
        <v/>
      </c>
      <c r="BK15" t="str">
        <f>IF(Sistema!BK15="","",Sistema!BK15)</f>
        <v/>
      </c>
      <c r="BL15" t="str">
        <f>IF(Sistema!BL15="","",Sistema!BL15)</f>
        <v/>
      </c>
      <c r="BM15" t="str">
        <f>IF(Sistema!BM15="","",Sistema!BM15)</f>
        <v/>
      </c>
      <c r="BN15" t="str">
        <f>IF(Sistema!BN15="","",Sistema!BN15)</f>
        <v/>
      </c>
      <c r="BO15" t="str">
        <f>IF(Sistema!BO15="","",Sistema!BO15)</f>
        <v/>
      </c>
      <c r="BP15" t="str">
        <f>IF(Sistema!BP15="","",Sistema!BP15)</f>
        <v/>
      </c>
      <c r="BQ15" t="str">
        <f>IF(Sistema!BQ15="","",Sistema!BQ15)</f>
        <v/>
      </c>
      <c r="BR15" t="str">
        <f>IF(Sistema!BR15="","",Sistema!BR15)</f>
        <v/>
      </c>
      <c r="BS15" t="str">
        <f>IF(Sistema!BS15="","",Sistema!BS15)</f>
        <v/>
      </c>
      <c r="BT15" t="str">
        <f>IF(Sistema!BT15="","",Sistema!BT15)</f>
        <v/>
      </c>
      <c r="BU15" t="str">
        <f>IF(Sistema!BU15="","",Sistema!BU15)</f>
        <v/>
      </c>
      <c r="BV15" t="str">
        <f>IF(Sistema!BV15="","",Sistema!BV15)</f>
        <v/>
      </c>
      <c r="BW15" t="str">
        <f>IF(Sistema!BW15="","",Sistema!BW15)</f>
        <v/>
      </c>
      <c r="BX15" t="str">
        <f>IF(Sistema!BX15="","",Sistema!BX15)</f>
        <v/>
      </c>
      <c r="BY15" t="str">
        <f>IF(Sistema!BY15="","",Sistema!BY15)</f>
        <v/>
      </c>
      <c r="BZ15" t="str">
        <f>IF(Sistema!BZ15="","",Sistema!BZ15)</f>
        <v/>
      </c>
      <c r="CA15" t="str">
        <f>IF(Sistema!CA15="","",Sistema!CA15)</f>
        <v/>
      </c>
      <c r="CB15" t="str">
        <f>IF(Sistema!CB15="","",Sistema!CB15)</f>
        <v/>
      </c>
      <c r="CC15" t="str">
        <f>IF(Sistema!CC15="","",Sistema!CC15)</f>
        <v/>
      </c>
      <c r="CD15" t="str">
        <f>IF(Sistema!CD15="","",Sistema!CD15)</f>
        <v/>
      </c>
    </row>
    <row r="16" spans="1:82" x14ac:dyDescent="0.25">
      <c r="A16">
        <f>IF(Sistema!A16="","",Sistema!A16)</f>
        <v>18029</v>
      </c>
      <c r="B16" t="str">
        <f>IF(Sistema!B16="","",Sistema!B16)</f>
        <v>simple</v>
      </c>
      <c r="C16" t="str">
        <f>IF(Sistema!C16="","",Sistema!C16)</f>
        <v>MKP0000000020</v>
      </c>
      <c r="D16" t="str">
        <f>IF(Sistema!D16="","",Sistema!D16)</f>
        <v/>
      </c>
      <c r="E16" t="str">
        <f>IF(Sistema!E16="","",Sistema!E16)</f>
        <v>Shimano - shifter - SLX M7100 1x12v - MKP - Usado, en buen estado</v>
      </c>
      <c r="F16">
        <f>IF(P16&gt;0,1,IF(Sistema!F16=0,-1,1))</f>
        <v>1</v>
      </c>
      <c r="G16">
        <f>Sistema!G16</f>
        <v>0</v>
      </c>
      <c r="H16" t="str">
        <f>IF(OR(R16="notify",R16=1),"visible",IF(OR(Sistema!F16=-1,Sistema!F16=0,ISNUMBER(SEARCH("PCK",E16))),"hidden",IF(P16&gt;0,"visible","hidden")))</f>
        <v>visible</v>
      </c>
      <c r="I16" t="str">
        <f>IF(B16="simple",IF(P16&gt;0,"",IF(R16="notify",Info!C$2,"")),IF(B16="variable",IF(P16&gt;0,"",IF(R16="notify",Info!C$4,"")),""))</f>
        <v/>
      </c>
      <c r="J16" t="str">
        <f>IF(Sistema!J16="","",Sistema!J16)</f>
        <v>Maneta de cambios diseñada para transmisiones Shimano 12 velocidades, ofreciendo cambios rápidos, precisos y suaves incluso en terrenos exigentes. El SLX M7100 incorpora tecnología Rapidfire Plus con sistema 2-Way Release, permitiendo accionar los cambios con pulgar o índice para una respuesta más natural y eficiente en trail, enduro y XC.
Su diseño ergonómico mejora la sensación de control en el cockpit, mientras que el mecanismo Instant Release proporciona cambios más rápidos bajo carga. Compatible con transmisiones Shimano Hyperglide+ de 12 velocidades.
🛠️ Especificaciones:
Velocidades: 1x12v
Serie: Shimano SLX M7100
Tecnología: Rapidfire Plus
Función: 2-Way Release
Montaje: Abrazadera
Compatibilidad: Shimano 12 velocidades Hyperglide+
Color: Negro</v>
      </c>
      <c r="M16" t="str">
        <f>IF(Sistema!M16="","",Sistema!M16)</f>
        <v>taxable</v>
      </c>
      <c r="N16" s="6" t="s">
        <v>1557</v>
      </c>
      <c r="O16" s="6">
        <v>1</v>
      </c>
      <c r="P16">
        <f>Sistema!P16</f>
        <v>1</v>
      </c>
      <c r="Q16">
        <f>Sistema!Q16</f>
        <v>0</v>
      </c>
      <c r="R16">
        <f>IF(Sistema!R16=1,"notify",Sistema!R16)</f>
        <v>0</v>
      </c>
      <c r="T16" t="str">
        <f>IF(Sistema!T16="","",Sistema!T16)</f>
        <v/>
      </c>
      <c r="U16" t="str">
        <f>IF(Sistema!U16="","",Sistema!U16)</f>
        <v/>
      </c>
      <c r="V16" t="str">
        <f>IF(Sistema!V16="","",Sistema!V16)</f>
        <v/>
      </c>
      <c r="W16" t="str">
        <f>IF(Sistema!W16="","",Sistema!W16)</f>
        <v/>
      </c>
      <c r="X16" s="6">
        <v>1</v>
      </c>
      <c r="Z16">
        <f>IF(Sistema!Z16="","",Sistema!Z16)</f>
        <v>110</v>
      </c>
      <c r="AA16">
        <f>IF(Sistema!AA16="","",Sistema!AA16)</f>
        <v>200</v>
      </c>
      <c r="AB16" t="str">
        <f>IF(Sistema!AB16="","",IF(OR(ISNUMBER(SEARCH("MKP",E16)),ISNUMBER(SEARCH("MKP",C16))),"Marketplace &gt; "&amp;Sistema!AB16,Sistema!AB16))</f>
        <v>Marketplace &gt; Ciclismo &gt; Transmisión &gt; Shifter</v>
      </c>
      <c r="AC16" t="str">
        <f>IF(Sistema!AC16="","",Sistema!AC16)</f>
        <v/>
      </c>
      <c r="AE16" t="str">
        <f>IF(Sistema!AE16="","",Sistema!AE16)</f>
        <v/>
      </c>
      <c r="AH16" t="str">
        <f>IF(Sistema!AH16="","",Sistema!AH16)</f>
        <v/>
      </c>
      <c r="AQ16" t="str">
        <f>IF(Sistema!AQ16="","",Sistema!AQ16)</f>
        <v/>
      </c>
      <c r="AR16" t="str">
        <f>IF(Sistema!AR16="","",Sistema!AR16)</f>
        <v/>
      </c>
      <c r="AS16" t="str">
        <f>IF(Sistema!AS16="","",Sistema!AS16)</f>
        <v/>
      </c>
      <c r="AT16" t="str">
        <f>IF(Sistema!AT16="","",Sistema!AT16)</f>
        <v/>
      </c>
      <c r="AU16" t="str">
        <f>IF(Sistema!AU16="","",Sistema!AU16)</f>
        <v/>
      </c>
      <c r="AV16" t="str">
        <f>IF(Sistema!AV16="","",Sistema!AV16)</f>
        <v/>
      </c>
      <c r="AW16" t="str">
        <f>IF(Sistema!AW16="","",Sistema!AW16)</f>
        <v/>
      </c>
      <c r="AX16" t="str">
        <f>IF(Sistema!AX16="","",Sistema!AX16)</f>
        <v/>
      </c>
      <c r="AY16" t="str">
        <f>IF(Sistema!AY16="","",Sistema!AY16)</f>
        <v/>
      </c>
      <c r="AZ16" t="str">
        <f>IF(Sistema!AZ16="","",Sistema!AZ16)</f>
        <v/>
      </c>
      <c r="BA16" t="str">
        <f>IF(Sistema!BA16="","",Sistema!BA16)</f>
        <v/>
      </c>
      <c r="BB16" t="str">
        <f>IF(Sistema!BB16="","",Sistema!BB16)</f>
        <v/>
      </c>
      <c r="BC16" t="str">
        <f>IF(Sistema!BC16="","",Sistema!BC16)</f>
        <v/>
      </c>
      <c r="BD16" t="str">
        <f>IF(Sistema!BD16="","",Sistema!BD16)</f>
        <v/>
      </c>
      <c r="BE16" t="str">
        <f>IF(Sistema!BE16="","",Sistema!BE16)</f>
        <v/>
      </c>
      <c r="BF16" t="str">
        <f>IF(Sistema!BF16="","",Sistema!BF16)</f>
        <v/>
      </c>
      <c r="BG16" t="str">
        <f>IF(Sistema!BG16="","",Sistema!BG16)</f>
        <v/>
      </c>
      <c r="BH16" t="str">
        <f>IF(Sistema!BH16="","",Sistema!BH16)</f>
        <v/>
      </c>
      <c r="BI16" t="str">
        <f>IF(Sistema!BI16="","",Sistema!BI16)</f>
        <v/>
      </c>
      <c r="BJ16" t="str">
        <f>IF(Sistema!BJ16="","",Sistema!BJ16)</f>
        <v/>
      </c>
      <c r="BK16" t="str">
        <f>IF(Sistema!BK16="","",Sistema!BK16)</f>
        <v/>
      </c>
      <c r="BL16" t="str">
        <f>IF(Sistema!BL16="","",Sistema!BL16)</f>
        <v/>
      </c>
      <c r="BM16" t="str">
        <f>IF(Sistema!BM16="","",Sistema!BM16)</f>
        <v/>
      </c>
      <c r="BN16" t="str">
        <f>IF(Sistema!BN16="","",Sistema!BN16)</f>
        <v/>
      </c>
      <c r="BO16" t="str">
        <f>IF(Sistema!BO16="","",Sistema!BO16)</f>
        <v/>
      </c>
      <c r="BP16" t="str">
        <f>IF(Sistema!BP16="","",Sistema!BP16)</f>
        <v/>
      </c>
      <c r="BQ16" t="str">
        <f>IF(Sistema!BQ16="","",Sistema!BQ16)</f>
        <v/>
      </c>
      <c r="BR16" t="str">
        <f>IF(Sistema!BR16="","",Sistema!BR16)</f>
        <v/>
      </c>
      <c r="BS16" t="str">
        <f>IF(Sistema!BS16="","",Sistema!BS16)</f>
        <v/>
      </c>
      <c r="BT16" t="str">
        <f>IF(Sistema!BT16="","",Sistema!BT16)</f>
        <v/>
      </c>
      <c r="BU16" t="str">
        <f>IF(Sistema!BU16="","",Sistema!BU16)</f>
        <v/>
      </c>
      <c r="BV16" t="str">
        <f>IF(Sistema!BV16="","",Sistema!BV16)</f>
        <v/>
      </c>
      <c r="BW16" t="str">
        <f>IF(Sistema!BW16="","",Sistema!BW16)</f>
        <v/>
      </c>
      <c r="BX16" t="str">
        <f>IF(Sistema!BX16="","",Sistema!BX16)</f>
        <v/>
      </c>
      <c r="BY16" t="str">
        <f>IF(Sistema!BY16="","",Sistema!BY16)</f>
        <v/>
      </c>
      <c r="BZ16" t="str">
        <f>IF(Sistema!BZ16="","",Sistema!BZ16)</f>
        <v/>
      </c>
      <c r="CA16" t="str">
        <f>IF(Sistema!CA16="","",Sistema!CA16)</f>
        <v/>
      </c>
      <c r="CB16" t="str">
        <f>IF(Sistema!CB16="","",Sistema!CB16)</f>
        <v/>
      </c>
      <c r="CC16" t="str">
        <f>IF(Sistema!CC16="","",Sistema!CC16)</f>
        <v/>
      </c>
      <c r="CD16" t="str">
        <f>IF(Sistema!CD16="","",Sistema!CD16)</f>
        <v/>
      </c>
    </row>
    <row r="17" spans="1:82" x14ac:dyDescent="0.25">
      <c r="A17">
        <f>IF(Sistema!A17="","",Sistema!A17)</f>
        <v>18030</v>
      </c>
      <c r="B17" t="str">
        <f>IF(Sistema!B17="","",Sistema!B17)</f>
        <v>simple</v>
      </c>
      <c r="C17" t="str">
        <f>IF(Sistema!C17="","",Sistema!C17)</f>
        <v>MKP0000000021</v>
      </c>
      <c r="D17" t="str">
        <f>IF(Sistema!D17="","",Sistema!D17)</f>
        <v/>
      </c>
      <c r="E17" t="str">
        <f>IF(Sistema!E17="","",Sistema!E17)</f>
        <v>Shimano PRO - Manillar - Tharsis 35 Carbon 10 Rise, 780mm, negro - MKP - Usado, en buen estado</v>
      </c>
      <c r="F17">
        <f>IF(P17&gt;0,1,IF(Sistema!F17=0,-1,1))</f>
        <v>1</v>
      </c>
      <c r="G17">
        <f>Sistema!G17</f>
        <v>0</v>
      </c>
      <c r="H17" t="str">
        <f>IF(OR(R17="notify",R17=1),"visible",IF(OR(Sistema!F17=-1,Sistema!F17=0,ISNUMBER(SEARCH("PCK",E17))),"hidden",IF(P17&gt;0,"visible","hidden")))</f>
        <v>visible</v>
      </c>
      <c r="I17" t="str">
        <f>IF(B17="simple",IF(P17&gt;0,"",IF(R17="notify",Info!C$2,"")),IF(B17="variable",IF(P17&gt;0,"",IF(R17="notify",Info!C$4,"")),""))</f>
        <v/>
      </c>
      <c r="J17" t="str">
        <f>IF(Sistema!J17="","",Sistema!J17)</f>
        <v>Diseñado para brindarle una mejor experiencia en bicicleta deportiva, el manillar PRO Tharsis 3Five Carbon Mini Rise está fabricado con fibra de carbono que combina ahorro de peso, cumplimiento y rigidez de la dirección para carreras de cross country o trail. Tienen una elevación de 10 milímetros, un retroceso de 9 grados, un retroceso de 4 grados y miden 780 milímetros de ancho. Como todos los manillares Tharsis 3Five, también cuentan con un diámetro de sujeción sobredimensionado de 35 milímetros.
Especificaciones
Uso: All Mountain, Cross Country, Enduro
Diámetro de la abrazadera: 35 mm
Ancho del manillar: 780 mm
Rise: 10 mm
Backsweep: 9°
Upsweep: 4°
Material: Carbono
Peso: 195g</v>
      </c>
      <c r="M17" t="str">
        <f>IF(Sistema!M17="","",Sistema!M17)</f>
        <v>taxable</v>
      </c>
      <c r="N17" s="6" t="s">
        <v>1557</v>
      </c>
      <c r="O17" s="6">
        <v>1</v>
      </c>
      <c r="P17">
        <f>Sistema!P17</f>
        <v>1</v>
      </c>
      <c r="Q17">
        <f>Sistema!Q17</f>
        <v>0</v>
      </c>
      <c r="R17">
        <f>IF(Sistema!R17=1,"notify",Sistema!R17)</f>
        <v>0</v>
      </c>
      <c r="T17" t="str">
        <f>IF(Sistema!T17="","",Sistema!T17)</f>
        <v/>
      </c>
      <c r="U17" t="str">
        <f>IF(Sistema!U17="","",Sistema!U17)</f>
        <v/>
      </c>
      <c r="V17" t="str">
        <f>IF(Sistema!V17="","",Sistema!V17)</f>
        <v/>
      </c>
      <c r="W17" t="str">
        <f>IF(Sistema!W17="","",Sistema!W17)</f>
        <v/>
      </c>
      <c r="X17" s="6">
        <v>1</v>
      </c>
      <c r="Z17">
        <f>IF(Sistema!Z17="","",Sistema!Z17)</f>
        <v>450</v>
      </c>
      <c r="AA17">
        <f>IF(Sistema!AA17="","",Sistema!AA17)</f>
        <v>450</v>
      </c>
      <c r="AB17" t="str">
        <f>IF(Sistema!AB17="","",IF(OR(ISNUMBER(SEARCH("MKP",E17)),ISNUMBER(SEARCH("MKP",C17))),"Marketplace &gt; "&amp;Sistema!AB17,Sistema!AB17))</f>
        <v>Marketplace &gt; Ciclismo &gt; Dirección &gt; Manillares</v>
      </c>
      <c r="AC17" t="str">
        <f>IF(Sistema!AC17="","",Sistema!AC17)</f>
        <v/>
      </c>
      <c r="AE17" t="str">
        <f>IF(Sistema!AE17="","",Sistema!AE17)</f>
        <v>https://kuranko.pe/wp-content/uploads/2026/07/WhatsApp-Image-2026-07-24-at-7.19.45-PM-1.jpeg, https://kuranko.pe/wp-content/uploads/2026/07/WhatsApp-Image-2026-07-24-at-7.19.45-PM.jpeg, https://kuranko.pe/wp-content/uploads/2026/07/WhatsApp-Image-2026-07-24-at-7.19.44-PM-1.jpeg, https://kuranko.pe/wp-content/uploads/2026/07/WhatsApp-Image-2026-07-24-at-7.19.44-PM.jpeg, https://kuranko.pe/wp-content/uploads/2026/07/WhatsApp-Image-2026-07-24-at-7.19.43-PM-2.jpeg</v>
      </c>
      <c r="AH17" t="str">
        <f>IF(Sistema!AH17="","",Sistema!AH17)</f>
        <v/>
      </c>
      <c r="AQ17" t="str">
        <f>IF(Sistema!AQ17="","",Sistema!AQ17)</f>
        <v/>
      </c>
      <c r="AR17" t="str">
        <f>IF(Sistema!AR17="","",Sistema!AR17)</f>
        <v/>
      </c>
      <c r="AS17" t="str">
        <f>IF(Sistema!AS17="","",Sistema!AS17)</f>
        <v/>
      </c>
      <c r="AT17" t="str">
        <f>IF(Sistema!AT17="","",Sistema!AT17)</f>
        <v/>
      </c>
      <c r="AU17" t="str">
        <f>IF(Sistema!AU17="","",Sistema!AU17)</f>
        <v/>
      </c>
      <c r="AV17" t="str">
        <f>IF(Sistema!AV17="","",Sistema!AV17)</f>
        <v/>
      </c>
      <c r="AW17" t="str">
        <f>IF(Sistema!AW17="","",Sistema!AW17)</f>
        <v/>
      </c>
      <c r="AX17" t="str">
        <f>IF(Sistema!AX17="","",Sistema!AX17)</f>
        <v/>
      </c>
      <c r="AY17" t="str">
        <f>IF(Sistema!AY17="","",Sistema!AY17)</f>
        <v/>
      </c>
      <c r="AZ17" t="str">
        <f>IF(Sistema!AZ17="","",Sistema!AZ17)</f>
        <v/>
      </c>
      <c r="BA17" t="str">
        <f>IF(Sistema!BA17="","",Sistema!BA17)</f>
        <v/>
      </c>
      <c r="BB17" t="str">
        <f>IF(Sistema!BB17="","",Sistema!BB17)</f>
        <v/>
      </c>
      <c r="BC17" t="str">
        <f>IF(Sistema!BC17="","",Sistema!BC17)</f>
        <v/>
      </c>
      <c r="BD17" t="str">
        <f>IF(Sistema!BD17="","",Sistema!BD17)</f>
        <v/>
      </c>
      <c r="BE17" t="str">
        <f>IF(Sistema!BE17="","",Sistema!BE17)</f>
        <v/>
      </c>
      <c r="BF17" t="str">
        <f>IF(Sistema!BF17="","",Sistema!BF17)</f>
        <v/>
      </c>
      <c r="BG17" t="str">
        <f>IF(Sistema!BG17="","",Sistema!BG17)</f>
        <v/>
      </c>
      <c r="BH17" t="str">
        <f>IF(Sistema!BH17="","",Sistema!BH17)</f>
        <v/>
      </c>
      <c r="BI17" t="str">
        <f>IF(Sistema!BI17="","",Sistema!BI17)</f>
        <v/>
      </c>
      <c r="BJ17" t="str">
        <f>IF(Sistema!BJ17="","",Sistema!BJ17)</f>
        <v/>
      </c>
      <c r="BK17" t="str">
        <f>IF(Sistema!BK17="","",Sistema!BK17)</f>
        <v/>
      </c>
      <c r="BL17" t="str">
        <f>IF(Sistema!BL17="","",Sistema!BL17)</f>
        <v/>
      </c>
      <c r="BM17" t="str">
        <f>IF(Sistema!BM17="","",Sistema!BM17)</f>
        <v/>
      </c>
      <c r="BN17" t="str">
        <f>IF(Sistema!BN17="","",Sistema!BN17)</f>
        <v/>
      </c>
      <c r="BO17" t="str">
        <f>IF(Sistema!BO17="","",Sistema!BO17)</f>
        <v/>
      </c>
      <c r="BP17" t="str">
        <f>IF(Sistema!BP17="","",Sistema!BP17)</f>
        <v/>
      </c>
      <c r="BQ17" t="str">
        <f>IF(Sistema!BQ17="","",Sistema!BQ17)</f>
        <v/>
      </c>
      <c r="BR17" t="str">
        <f>IF(Sistema!BR17="","",Sistema!BR17)</f>
        <v/>
      </c>
      <c r="BS17" t="str">
        <f>IF(Sistema!BS17="","",Sistema!BS17)</f>
        <v/>
      </c>
      <c r="BT17" t="str">
        <f>IF(Sistema!BT17="","",Sistema!BT17)</f>
        <v/>
      </c>
      <c r="BU17" t="str">
        <f>IF(Sistema!BU17="","",Sistema!BU17)</f>
        <v/>
      </c>
      <c r="BV17" t="str">
        <f>IF(Sistema!BV17="","",Sistema!BV17)</f>
        <v/>
      </c>
      <c r="BW17" t="str">
        <f>IF(Sistema!BW17="","",Sistema!BW17)</f>
        <v/>
      </c>
      <c r="BX17" t="str">
        <f>IF(Sistema!BX17="","",Sistema!BX17)</f>
        <v/>
      </c>
      <c r="BY17" t="str">
        <f>IF(Sistema!BY17="","",Sistema!BY17)</f>
        <v/>
      </c>
      <c r="BZ17" t="str">
        <f>IF(Sistema!BZ17="","",Sistema!BZ17)</f>
        <v/>
      </c>
      <c r="CA17" t="str">
        <f>IF(Sistema!CA17="","",Sistema!CA17)</f>
        <v/>
      </c>
      <c r="CB17" t="str">
        <f>IF(Sistema!CB17="","",Sistema!CB17)</f>
        <v/>
      </c>
      <c r="CC17" t="str">
        <f>IF(Sistema!CC17="","",Sistema!CC17)</f>
        <v/>
      </c>
      <c r="CD17" t="str">
        <f>IF(Sistema!CD17="","",Sistema!CD17)</f>
        <v/>
      </c>
    </row>
    <row r="18" spans="1:82" x14ac:dyDescent="0.25">
      <c r="A18">
        <f>IF(Sistema!A18="","",Sistema!A18)</f>
        <v>18031</v>
      </c>
      <c r="B18" t="str">
        <f>IF(Sistema!B18="","",Sistema!B18)</f>
        <v>simple</v>
      </c>
      <c r="C18" t="str">
        <f>IF(Sistema!C18="","",Sistema!C18)</f>
        <v>MKP0000000027</v>
      </c>
      <c r="D18" t="str">
        <f>IF(Sistema!D18="","",Sistema!D18)</f>
        <v/>
      </c>
      <c r="E18" t="str">
        <f>IF(Sistema!E18="","",Sistema!E18)</f>
        <v>Sin marca - cámara - MTB 29 Universal MKP</v>
      </c>
      <c r="F18">
        <f>IF(P18&gt;0,1,IF(Sistema!F18=0,-1,1))</f>
        <v>1</v>
      </c>
      <c r="G18">
        <f>Sistema!G18</f>
        <v>0</v>
      </c>
      <c r="H18" t="str">
        <f>IF(OR(R18="notify",R18=1),"visible",IF(OR(Sistema!F18=-1,Sistema!F18=0,ISNUMBER(SEARCH("PCK",E18))),"hidden",IF(P18&gt;0,"visible","hidden")))</f>
        <v>visible</v>
      </c>
      <c r="I18" t="str">
        <f>IF(B18="simple",IF(P18&gt;0,"",IF(R18="notify",Info!C$2,"")),IF(B18="variable",IF(P18&gt;0,"",IF(R18="notify",Info!C$4,"")),""))</f>
        <v/>
      </c>
      <c r="J18" t="str">
        <f>IF(Sistema!J18="","",Sistema!J18)</f>
        <v>Cámara diseñada para bicicletas de montaña aro 29, ideal para uso recreativo, XC, trail y enduro. Fabricada en caucho resistente para ofrecer buena retención de aire y durabilidad en diferentes condiciones de terreno.
Compatible con una amplia variedad de neumáticos MTB aro 29 y disponible para válvula Presta o Schrader según la configuración de la bicicleta. Su construcción flexible facilita la instalación y el transporte como repuesto durante rutas y competencias.
🛠️ Especificaciones:
Medida: Aro 29
Uso: MTB / XC / Trail / Enduro
Material: Caucho / butilo
Compatible con neumáticos MTB 29”
Fácil instalación
Buena resistencia a pinchazos y deformaciones</v>
      </c>
      <c r="M18" t="str">
        <f>IF(Sistema!M18="","",Sistema!M18)</f>
        <v>taxable</v>
      </c>
      <c r="N18" s="6" t="s">
        <v>1557</v>
      </c>
      <c r="O18" s="6">
        <v>1</v>
      </c>
      <c r="P18">
        <f>Sistema!P18</f>
        <v>2</v>
      </c>
      <c r="Q18">
        <f>Sistema!Q18</f>
        <v>0</v>
      </c>
      <c r="R18">
        <f>IF(Sistema!R18=1,"notify",Sistema!R18)</f>
        <v>0</v>
      </c>
      <c r="T18" t="str">
        <f>IF(Sistema!T18="","",Sistema!T18)</f>
        <v/>
      </c>
      <c r="U18" t="str">
        <f>IF(Sistema!U18="","",Sistema!U18)</f>
        <v/>
      </c>
      <c r="V18" t="str">
        <f>IF(Sistema!V18="","",Sistema!V18)</f>
        <v/>
      </c>
      <c r="W18" t="str">
        <f>IF(Sistema!W18="","",Sistema!W18)</f>
        <v/>
      </c>
      <c r="X18" s="6">
        <v>1</v>
      </c>
      <c r="Z18">
        <f>IF(Sistema!Z18="","",Sistema!Z18)</f>
        <v>20</v>
      </c>
      <c r="AA18">
        <f>IF(Sistema!AA18="","",Sistema!AA18)</f>
        <v>20</v>
      </c>
      <c r="AB18" t="str">
        <f>IF(Sistema!AB18="","",IF(OR(ISNUMBER(SEARCH("MKP",E18)),ISNUMBER(SEARCH("MKP",C18))),"Marketplace &gt; "&amp;Sistema!AB18,Sistema!AB18))</f>
        <v>Marketplace &gt; Ciclismo &gt; Ruedas &gt; Cámaras</v>
      </c>
      <c r="AC18" t="str">
        <f>IF(Sistema!AC18="","",Sistema!AC18)</f>
        <v/>
      </c>
      <c r="AE18" t="str">
        <f>IF(Sistema!AE18="","",Sistema!AE18)</f>
        <v/>
      </c>
      <c r="AH18" t="str">
        <f>IF(Sistema!AH18="","",Sistema!AH18)</f>
        <v/>
      </c>
      <c r="AQ18" t="str">
        <f>IF(Sistema!AQ18="","",Sistema!AQ18)</f>
        <v/>
      </c>
      <c r="AR18" t="str">
        <f>IF(Sistema!AR18="","",Sistema!AR18)</f>
        <v/>
      </c>
      <c r="AS18" t="str">
        <f>IF(Sistema!AS18="","",Sistema!AS18)</f>
        <v/>
      </c>
      <c r="AT18" t="str">
        <f>IF(Sistema!AT18="","",Sistema!AT18)</f>
        <v/>
      </c>
      <c r="AU18" t="str">
        <f>IF(Sistema!AU18="","",Sistema!AU18)</f>
        <v/>
      </c>
      <c r="AV18" t="str">
        <f>IF(Sistema!AV18="","",Sistema!AV18)</f>
        <v/>
      </c>
      <c r="AW18" t="str">
        <f>IF(Sistema!AW18="","",Sistema!AW18)</f>
        <v/>
      </c>
      <c r="AX18" t="str">
        <f>IF(Sistema!AX18="","",Sistema!AX18)</f>
        <v/>
      </c>
      <c r="AY18" t="str">
        <f>IF(Sistema!AY18="","",Sistema!AY18)</f>
        <v/>
      </c>
      <c r="AZ18" t="str">
        <f>IF(Sistema!AZ18="","",Sistema!AZ18)</f>
        <v/>
      </c>
      <c r="BA18" t="str">
        <f>IF(Sistema!BA18="","",Sistema!BA18)</f>
        <v/>
      </c>
      <c r="BB18" t="str">
        <f>IF(Sistema!BB18="","",Sistema!BB18)</f>
        <v/>
      </c>
      <c r="BC18" t="str">
        <f>IF(Sistema!BC18="","",Sistema!BC18)</f>
        <v/>
      </c>
      <c r="BD18" t="str">
        <f>IF(Sistema!BD18="","",Sistema!BD18)</f>
        <v/>
      </c>
      <c r="BE18" t="str">
        <f>IF(Sistema!BE18="","",Sistema!BE18)</f>
        <v/>
      </c>
      <c r="BF18" t="str">
        <f>IF(Sistema!BF18="","",Sistema!BF18)</f>
        <v/>
      </c>
      <c r="BG18" t="str">
        <f>IF(Sistema!BG18="","",Sistema!BG18)</f>
        <v/>
      </c>
      <c r="BH18" t="str">
        <f>IF(Sistema!BH18="","",Sistema!BH18)</f>
        <v/>
      </c>
      <c r="BI18" t="str">
        <f>IF(Sistema!BI18="","",Sistema!BI18)</f>
        <v/>
      </c>
      <c r="BJ18" t="str">
        <f>IF(Sistema!BJ18="","",Sistema!BJ18)</f>
        <v/>
      </c>
      <c r="BK18" t="str">
        <f>IF(Sistema!BK18="","",Sistema!BK18)</f>
        <v/>
      </c>
      <c r="BL18" t="str">
        <f>IF(Sistema!BL18="","",Sistema!BL18)</f>
        <v/>
      </c>
      <c r="BM18" t="str">
        <f>IF(Sistema!BM18="","",Sistema!BM18)</f>
        <v/>
      </c>
      <c r="BN18" t="str">
        <f>IF(Sistema!BN18="","",Sistema!BN18)</f>
        <v/>
      </c>
      <c r="BO18" t="str">
        <f>IF(Sistema!BO18="","",Sistema!BO18)</f>
        <v/>
      </c>
      <c r="BP18" t="str">
        <f>IF(Sistema!BP18="","",Sistema!BP18)</f>
        <v/>
      </c>
      <c r="BQ18" t="str">
        <f>IF(Sistema!BQ18="","",Sistema!BQ18)</f>
        <v/>
      </c>
      <c r="BR18" t="str">
        <f>IF(Sistema!BR18="","",Sistema!BR18)</f>
        <v/>
      </c>
      <c r="BS18" t="str">
        <f>IF(Sistema!BS18="","",Sistema!BS18)</f>
        <v/>
      </c>
      <c r="BT18" t="str">
        <f>IF(Sistema!BT18="","",Sistema!BT18)</f>
        <v/>
      </c>
      <c r="BU18" t="str">
        <f>IF(Sistema!BU18="","",Sistema!BU18)</f>
        <v/>
      </c>
      <c r="BV18" t="str">
        <f>IF(Sistema!BV18="","",Sistema!BV18)</f>
        <v/>
      </c>
      <c r="BW18" t="str">
        <f>IF(Sistema!BW18="","",Sistema!BW18)</f>
        <v/>
      </c>
      <c r="BX18" t="str">
        <f>IF(Sistema!BX18="","",Sistema!BX18)</f>
        <v/>
      </c>
      <c r="BY18" t="str">
        <f>IF(Sistema!BY18="","",Sistema!BY18)</f>
        <v/>
      </c>
      <c r="BZ18" t="str">
        <f>IF(Sistema!BZ18="","",Sistema!BZ18)</f>
        <v/>
      </c>
      <c r="CA18" t="str">
        <f>IF(Sistema!CA18="","",Sistema!CA18)</f>
        <v/>
      </c>
      <c r="CB18" t="str">
        <f>IF(Sistema!CB18="","",Sistema!CB18)</f>
        <v/>
      </c>
      <c r="CC18" t="str">
        <f>IF(Sistema!CC18="","",Sistema!CC18)</f>
        <v/>
      </c>
      <c r="CD18" t="str">
        <f>IF(Sistema!CD18="","",Sistema!CD18)</f>
        <v/>
      </c>
    </row>
    <row r="19" spans="1:82" x14ac:dyDescent="0.25">
      <c r="A19">
        <f>IF(Sistema!A19="","",Sistema!A19)</f>
        <v>18034</v>
      </c>
      <c r="B19" t="str">
        <f>IF(Sistema!B19="","",Sistema!B19)</f>
        <v>simple</v>
      </c>
      <c r="C19" t="str">
        <f>IF(Sistema!C19="","",Sistema!C19)</f>
        <v>MKP0000000023</v>
      </c>
      <c r="D19" t="str">
        <f>IF(Sistema!D19="","",Sistema!D19)</f>
        <v/>
      </c>
      <c r="E19" t="str">
        <f>IF(Sistema!E19="","",Sistema!E19)</f>
        <v>Specialized - Portabotella - Zee Cage integrada - MKP - Usado, en buen estado</v>
      </c>
      <c r="F19">
        <f>IF(P19&gt;0,1,IF(Sistema!F19=0,-1,1))</f>
        <v>1</v>
      </c>
      <c r="G19">
        <f>Sistema!G19</f>
        <v>0</v>
      </c>
      <c r="H19" t="str">
        <f>IF(OR(R19="notify",R19=1),"visible",IF(OR(Sistema!F19=-1,Sistema!F19=0,ISNUMBER(SEARCH("PCK",E19))),"hidden",IF(P19&gt;0,"visible","hidden")))</f>
        <v>visible</v>
      </c>
      <c r="I19" t="str">
        <f>IF(B19="simple",IF(P19&gt;0,"",IF(R19="notify",Info!C$2,"")),IF(B19="variable",IF(P19&gt;0,"",IF(R19="notify",Info!C$4,"")),""))</f>
        <v/>
      </c>
      <c r="J19" t="str">
        <f>IF(Sistema!J19="","",Sistema!J19)</f>
        <v>Portabidón diseñado para MTB y gravel que combina un diseño compacto con una multiherramienta integrada EMT, ideal para realizar ajustes rápidos durante la ruta. Su sistema de carga lateral facilita extraer e insertar el bidón en cuadros con espacio reducido, especialmente en bicicletas de suspensión completa o cuadros pequeños.
Fabricado en material compuesto reforzado, ofrece excelente resistencia y durabilidad manteniendo un peso contenido. El diseño minimalista y deportivo se integra perfectamente con bicicletas modernas de trail, enduro y XC.
Diseño de carga lateral
Carga derecha para tubo inferior y carga izquierda para tubo de sillín
Construcción en composite reforzado
Diseño compacto y minimalista
Gráficos modernos estilo Specialized</v>
      </c>
      <c r="M19" t="str">
        <f>IF(Sistema!M19="","",Sistema!M19)</f>
        <v>taxable</v>
      </c>
      <c r="N19" s="6" t="s">
        <v>1557</v>
      </c>
      <c r="O19" s="6">
        <v>1</v>
      </c>
      <c r="P19">
        <f>Sistema!P19</f>
        <v>1</v>
      </c>
      <c r="Q19">
        <f>Sistema!Q19</f>
        <v>0</v>
      </c>
      <c r="R19">
        <f>IF(Sistema!R19=1,"notify",Sistema!R19)</f>
        <v>0</v>
      </c>
      <c r="T19" t="str">
        <f>IF(Sistema!T19="","",Sistema!T19)</f>
        <v/>
      </c>
      <c r="U19" t="str">
        <f>IF(Sistema!U19="","",Sistema!U19)</f>
        <v/>
      </c>
      <c r="V19" t="str">
        <f>IF(Sistema!V19="","",Sistema!V19)</f>
        <v/>
      </c>
      <c r="W19" t="str">
        <f>IF(Sistema!W19="","",Sistema!W19)</f>
        <v/>
      </c>
      <c r="X19" s="6">
        <v>1</v>
      </c>
      <c r="Z19">
        <f>IF(Sistema!Z19="","",Sistema!Z19)</f>
        <v>40</v>
      </c>
      <c r="AA19">
        <f>IF(Sistema!AA19="","",Sistema!AA19)</f>
        <v>40</v>
      </c>
      <c r="AB19" t="str">
        <f>IF(Sistema!AB19="","",IF(OR(ISNUMBER(SEARCH("MKP",E19)),ISNUMBER(SEARCH("MKP",C19))),"Marketplace &gt; "&amp;Sistema!AB19,Sistema!AB19))</f>
        <v>Marketplace &gt; Ciclismo &gt; Accesorios &gt; Bidones &amp; portabidones</v>
      </c>
      <c r="AC19" t="str">
        <f>IF(Sistema!AC19="","",Sistema!AC19)</f>
        <v/>
      </c>
      <c r="AE19" t="str">
        <f>IF(Sistema!AE19="","",Sistema!AE19)</f>
        <v>https://kuranko.pe/wp-content/uploads/2026/07/WhatsApp-Image-2026-07-22-at-4.51.33-PM-1.jpeg, https://kuranko.pe/wp-content/uploads/2026/07/WhatsApp-Image-2026-07-22-at-4.51.33-PM.jpeg, https://kuranko.pe/wp-content/uploads/2026/07/WhatsApp-Image-2026-07-22-at-4.51.32-PM-3.jpeg, https://kuranko.pe/wp-content/uploads/2026/07/WhatsApp-Image-2026-07-22-at-4.51.32-PM-2.jpeg</v>
      </c>
      <c r="AH19" t="str">
        <f>IF(Sistema!AH19="","",Sistema!AH19)</f>
        <v/>
      </c>
      <c r="AQ19" t="str">
        <f>IF(Sistema!AQ19="","",Sistema!AQ19)</f>
        <v/>
      </c>
      <c r="AR19" t="str">
        <f>IF(Sistema!AR19="","",Sistema!AR19)</f>
        <v/>
      </c>
      <c r="AS19" t="str">
        <f>IF(Sistema!AS19="","",Sistema!AS19)</f>
        <v/>
      </c>
      <c r="AT19" t="str">
        <f>IF(Sistema!AT19="","",Sistema!AT19)</f>
        <v/>
      </c>
      <c r="AU19" t="str">
        <f>IF(Sistema!AU19="","",Sistema!AU19)</f>
        <v/>
      </c>
      <c r="AV19" t="str">
        <f>IF(Sistema!AV19="","",Sistema!AV19)</f>
        <v/>
      </c>
      <c r="AW19" t="str">
        <f>IF(Sistema!AW19="","",Sistema!AW19)</f>
        <v/>
      </c>
      <c r="AX19" t="str">
        <f>IF(Sistema!AX19="","",Sistema!AX19)</f>
        <v/>
      </c>
      <c r="AY19" t="str">
        <f>IF(Sistema!AY19="","",Sistema!AY19)</f>
        <v/>
      </c>
      <c r="AZ19" t="str">
        <f>IF(Sistema!AZ19="","",Sistema!AZ19)</f>
        <v/>
      </c>
      <c r="BA19" t="str">
        <f>IF(Sistema!BA19="","",Sistema!BA19)</f>
        <v/>
      </c>
      <c r="BB19" t="str">
        <f>IF(Sistema!BB19="","",Sistema!BB19)</f>
        <v/>
      </c>
      <c r="BC19" t="str">
        <f>IF(Sistema!BC19="","",Sistema!BC19)</f>
        <v/>
      </c>
      <c r="BD19" t="str">
        <f>IF(Sistema!BD19="","",Sistema!BD19)</f>
        <v/>
      </c>
      <c r="BE19" t="str">
        <f>IF(Sistema!BE19="","",Sistema!BE19)</f>
        <v/>
      </c>
      <c r="BF19" t="str">
        <f>IF(Sistema!BF19="","",Sistema!BF19)</f>
        <v/>
      </c>
      <c r="BG19" t="str">
        <f>IF(Sistema!BG19="","",Sistema!BG19)</f>
        <v/>
      </c>
      <c r="BH19" t="str">
        <f>IF(Sistema!BH19="","",Sistema!BH19)</f>
        <v/>
      </c>
      <c r="BI19" t="str">
        <f>IF(Sistema!BI19="","",Sistema!BI19)</f>
        <v/>
      </c>
      <c r="BJ19" t="str">
        <f>IF(Sistema!BJ19="","",Sistema!BJ19)</f>
        <v/>
      </c>
      <c r="BK19" t="str">
        <f>IF(Sistema!BK19="","",Sistema!BK19)</f>
        <v/>
      </c>
      <c r="BL19" t="str">
        <f>IF(Sistema!BL19="","",Sistema!BL19)</f>
        <v/>
      </c>
      <c r="BM19" t="str">
        <f>IF(Sistema!BM19="","",Sistema!BM19)</f>
        <v/>
      </c>
      <c r="BN19" t="str">
        <f>IF(Sistema!BN19="","",Sistema!BN19)</f>
        <v/>
      </c>
      <c r="BO19" t="str">
        <f>IF(Sistema!BO19="","",Sistema!BO19)</f>
        <v/>
      </c>
      <c r="BP19" t="str">
        <f>IF(Sistema!BP19="","",Sistema!BP19)</f>
        <v/>
      </c>
      <c r="BQ19" t="str">
        <f>IF(Sistema!BQ19="","",Sistema!BQ19)</f>
        <v/>
      </c>
      <c r="BR19" t="str">
        <f>IF(Sistema!BR19="","",Sistema!BR19)</f>
        <v/>
      </c>
      <c r="BS19" t="str">
        <f>IF(Sistema!BS19="","",Sistema!BS19)</f>
        <v/>
      </c>
      <c r="BT19" t="str">
        <f>IF(Sistema!BT19="","",Sistema!BT19)</f>
        <v/>
      </c>
      <c r="BU19" t="str">
        <f>IF(Sistema!BU19="","",Sistema!BU19)</f>
        <v/>
      </c>
      <c r="BV19" t="str">
        <f>IF(Sistema!BV19="","",Sistema!BV19)</f>
        <v/>
      </c>
      <c r="BW19" t="str">
        <f>IF(Sistema!BW19="","",Sistema!BW19)</f>
        <v/>
      </c>
      <c r="BX19" t="str">
        <f>IF(Sistema!BX19="","",Sistema!BX19)</f>
        <v/>
      </c>
      <c r="BY19" t="str">
        <f>IF(Sistema!BY19="","",Sistema!BY19)</f>
        <v/>
      </c>
      <c r="BZ19" t="str">
        <f>IF(Sistema!BZ19="","",Sistema!BZ19)</f>
        <v/>
      </c>
      <c r="CA19" t="str">
        <f>IF(Sistema!CA19="","",Sistema!CA19)</f>
        <v/>
      </c>
      <c r="CB19" t="str">
        <f>IF(Sistema!CB19="","",Sistema!CB19)</f>
        <v/>
      </c>
      <c r="CC19" t="str">
        <f>IF(Sistema!CC19="","",Sistema!CC19)</f>
        <v/>
      </c>
      <c r="CD19" t="str">
        <f>IF(Sistema!CD19="","",Sistema!CD19)</f>
        <v/>
      </c>
    </row>
    <row r="20" spans="1:82" x14ac:dyDescent="0.25">
      <c r="A20">
        <f>IF(Sistema!A20="","",Sistema!A20)</f>
        <v>18035</v>
      </c>
      <c r="B20" t="str">
        <f>IF(Sistema!B20="","",Sistema!B20)</f>
        <v>simple</v>
      </c>
      <c r="C20" t="str">
        <f>IF(Sistema!C20="","",Sistema!C20)</f>
        <v>MKP0000000033</v>
      </c>
      <c r="D20" t="str">
        <f>IF(Sistema!D20="","",Sistema!D20)</f>
        <v/>
      </c>
      <c r="E20" t="str">
        <f>IF(Sistema!E20="","",Sistema!E20)</f>
        <v>Specialized - Tronchacadenas - SWAT para tubo de dirección, aluminio - MKP - Usado, en buen estado</v>
      </c>
      <c r="F20">
        <f>IF(P20&gt;0,1,IF(Sistema!F20=0,-1,1))</f>
        <v>1</v>
      </c>
      <c r="G20">
        <f>Sistema!G20</f>
        <v>0</v>
      </c>
      <c r="H20" t="str">
        <f>IF(OR(R20="notify",R20=1),"visible",IF(OR(Sistema!F20=-1,Sistema!F20=0,ISNUMBER(SEARCH("PCK",E20))),"hidden",IF(P20&gt;0,"visible","hidden")))</f>
        <v>visible</v>
      </c>
      <c r="I20" t="str">
        <f>IF(B20="simple",IF(P20&gt;0,"",IF(R20="notify",Info!C$2,"")),IF(B20="variable",IF(P20&gt;0,"",IF(R20="notify",Info!C$4,"")),""))</f>
        <v/>
      </c>
      <c r="J20" t="str">
        <f>IF(Sistema!J20="","",Sistema!J20)</f>
        <v>Herramienta compacta y práctica diseñada para integrarse discretamente dentro del tubo de dirección de la bicicleta, permitiendo llevar un tronchacadenas siempre disponible durante la ruta. El sistema SWAT (Storage, Water, Air, Tools) de Specialized ofrece una solución limpia y minimalista para reparaciones de emergencia sin ocupar espacio adicional en bolsillos o mochila.
Fabricado en aluminio para mayor resistencia y durabilidad, este tronchacadenas es compatible con la mayoría de transmisiones modernas y está pensado para ciclistas de MTB, gravel y trail que buscan una configuración más ordenada y funcional.</v>
      </c>
      <c r="M20" t="str">
        <f>IF(Sistema!M20="","",Sistema!M20)</f>
        <v>taxable</v>
      </c>
      <c r="N20" s="6" t="s">
        <v>1557</v>
      </c>
      <c r="O20" s="6">
        <v>1</v>
      </c>
      <c r="P20">
        <f>Sistema!P20</f>
        <v>1</v>
      </c>
      <c r="Q20">
        <f>Sistema!Q20</f>
        <v>0</v>
      </c>
      <c r="R20">
        <f>IF(Sistema!R20=1,"notify",Sistema!R20)</f>
        <v>0</v>
      </c>
      <c r="T20" t="str">
        <f>IF(Sistema!T20="","",Sistema!T20)</f>
        <v/>
      </c>
      <c r="U20" t="str">
        <f>IF(Sistema!U20="","",Sistema!U20)</f>
        <v/>
      </c>
      <c r="V20" t="str">
        <f>IF(Sistema!V20="","",Sistema!V20)</f>
        <v/>
      </c>
      <c r="W20" t="str">
        <f>IF(Sistema!W20="","",Sistema!W20)</f>
        <v/>
      </c>
      <c r="X20" s="6">
        <v>1</v>
      </c>
      <c r="Z20">
        <f>IF(Sistema!Z20="","",Sistema!Z20)</f>
        <v>100</v>
      </c>
      <c r="AA20">
        <f>IF(Sistema!AA20="","",Sistema!AA20)</f>
        <v>100</v>
      </c>
      <c r="AB20" t="str">
        <f>IF(Sistema!AB20="","",IF(OR(ISNUMBER(SEARCH("MKP",E20)),ISNUMBER(SEARCH("MKP",C20))),"Marketplace &gt; "&amp;Sistema!AB20,Sistema!AB20))</f>
        <v>Marketplace &gt; Ciclismo &gt; Taller &gt; Herramientas generales</v>
      </c>
      <c r="AC20" t="str">
        <f>IF(Sistema!AC20="","",Sistema!AC20)</f>
        <v/>
      </c>
      <c r="AE20" t="str">
        <f>IF(Sistema!AE20="","",Sistema!AE20)</f>
        <v>https://kuranko.pe/wp-content/uploads/2026/07/WhatsApp-Image-2026-07-22-at-4.51.31-PM.jpeg, https://kuranko.pe/wp-content/uploads/2026/07/WhatsApp-Image-2026-07-22-at-4.51.30-PM.jpeg, https://kuranko.pe/wp-content/uploads/2026/07/WhatsApp-Image-2026-07-22-at-4.51.29-PM.jpeg</v>
      </c>
      <c r="AH20" t="str">
        <f>IF(Sistema!AH20="","",Sistema!AH20)</f>
        <v/>
      </c>
      <c r="AQ20" t="str">
        <f>IF(Sistema!AQ20="","",Sistema!AQ20)</f>
        <v/>
      </c>
      <c r="AR20" t="str">
        <f>IF(Sistema!AR20="","",Sistema!AR20)</f>
        <v/>
      </c>
      <c r="AS20" t="str">
        <f>IF(Sistema!AS20="","",Sistema!AS20)</f>
        <v/>
      </c>
      <c r="AT20" t="str">
        <f>IF(Sistema!AT20="","",Sistema!AT20)</f>
        <v/>
      </c>
      <c r="AU20" t="str">
        <f>IF(Sistema!AU20="","",Sistema!AU20)</f>
        <v/>
      </c>
      <c r="AV20" t="str">
        <f>IF(Sistema!AV20="","",Sistema!AV20)</f>
        <v/>
      </c>
      <c r="AW20" t="str">
        <f>IF(Sistema!AW20="","",Sistema!AW20)</f>
        <v/>
      </c>
      <c r="AX20" t="str">
        <f>IF(Sistema!AX20="","",Sistema!AX20)</f>
        <v/>
      </c>
      <c r="AY20" t="str">
        <f>IF(Sistema!AY20="","",Sistema!AY20)</f>
        <v/>
      </c>
      <c r="AZ20" t="str">
        <f>IF(Sistema!AZ20="","",Sistema!AZ20)</f>
        <v/>
      </c>
      <c r="BA20" t="str">
        <f>IF(Sistema!BA20="","",Sistema!BA20)</f>
        <v/>
      </c>
      <c r="BB20" t="str">
        <f>IF(Sistema!BB20="","",Sistema!BB20)</f>
        <v/>
      </c>
      <c r="BC20" t="str">
        <f>IF(Sistema!BC20="","",Sistema!BC20)</f>
        <v/>
      </c>
      <c r="BD20" t="str">
        <f>IF(Sistema!BD20="","",Sistema!BD20)</f>
        <v/>
      </c>
      <c r="BE20" t="str">
        <f>IF(Sistema!BE20="","",Sistema!BE20)</f>
        <v/>
      </c>
      <c r="BF20" t="str">
        <f>IF(Sistema!BF20="","",Sistema!BF20)</f>
        <v/>
      </c>
      <c r="BG20" t="str">
        <f>IF(Sistema!BG20="","",Sistema!BG20)</f>
        <v/>
      </c>
      <c r="BH20" t="str">
        <f>IF(Sistema!BH20="","",Sistema!BH20)</f>
        <v/>
      </c>
      <c r="BI20" t="str">
        <f>IF(Sistema!BI20="","",Sistema!BI20)</f>
        <v/>
      </c>
      <c r="BJ20" t="str">
        <f>IF(Sistema!BJ20="","",Sistema!BJ20)</f>
        <v/>
      </c>
      <c r="BK20" t="str">
        <f>IF(Sistema!BK20="","",Sistema!BK20)</f>
        <v/>
      </c>
      <c r="BL20" t="str">
        <f>IF(Sistema!BL20="","",Sistema!BL20)</f>
        <v/>
      </c>
      <c r="BM20" t="str">
        <f>IF(Sistema!BM20="","",Sistema!BM20)</f>
        <v/>
      </c>
      <c r="BN20" t="str">
        <f>IF(Sistema!BN20="","",Sistema!BN20)</f>
        <v/>
      </c>
      <c r="BO20" t="str">
        <f>IF(Sistema!BO20="","",Sistema!BO20)</f>
        <v/>
      </c>
      <c r="BP20" t="str">
        <f>IF(Sistema!BP20="","",Sistema!BP20)</f>
        <v/>
      </c>
      <c r="BQ20" t="str">
        <f>IF(Sistema!BQ20="","",Sistema!BQ20)</f>
        <v/>
      </c>
      <c r="BR20" t="str">
        <f>IF(Sistema!BR20="","",Sistema!BR20)</f>
        <v/>
      </c>
      <c r="BS20" t="str">
        <f>IF(Sistema!BS20="","",Sistema!BS20)</f>
        <v/>
      </c>
      <c r="BT20" t="str">
        <f>IF(Sistema!BT20="","",Sistema!BT20)</f>
        <v/>
      </c>
      <c r="BU20" t="str">
        <f>IF(Sistema!BU20="","",Sistema!BU20)</f>
        <v/>
      </c>
      <c r="BV20" t="str">
        <f>IF(Sistema!BV20="","",Sistema!BV20)</f>
        <v/>
      </c>
      <c r="BW20" t="str">
        <f>IF(Sistema!BW20="","",Sistema!BW20)</f>
        <v/>
      </c>
      <c r="BX20" t="str">
        <f>IF(Sistema!BX20="","",Sistema!BX20)</f>
        <v/>
      </c>
      <c r="BY20" t="str">
        <f>IF(Sistema!BY20="","",Sistema!BY20)</f>
        <v/>
      </c>
      <c r="BZ20" t="str">
        <f>IF(Sistema!BZ20="","",Sistema!BZ20)</f>
        <v/>
      </c>
      <c r="CA20" t="str">
        <f>IF(Sistema!CA20="","",Sistema!CA20)</f>
        <v/>
      </c>
      <c r="CB20" t="str">
        <f>IF(Sistema!CB20="","",Sistema!CB20)</f>
        <v/>
      </c>
      <c r="CC20" t="str">
        <f>IF(Sistema!CC20="","",Sistema!CC20)</f>
        <v/>
      </c>
      <c r="CD20" t="str">
        <f>IF(Sistema!CD20="","",Sistema!CD20)</f>
        <v/>
      </c>
    </row>
    <row r="21" spans="1:82" x14ac:dyDescent="0.25">
      <c r="A21">
        <f>IF(Sistema!A21="","",Sistema!A21)</f>
        <v>18038</v>
      </c>
      <c r="B21" t="str">
        <f>IF(Sistema!B21="","",Sistema!B21)</f>
        <v>simple</v>
      </c>
      <c r="C21" t="str">
        <f>IF(Sistema!C21="","",Sistema!C21)</f>
        <v>MKPT01BIE01SR0002</v>
      </c>
      <c r="D21" t="str">
        <f>IF(Sistema!D21="","",Sistema!D21)</f>
        <v/>
      </c>
      <c r="E21" t="str">
        <f>IF(Sistema!E21="","",Sistema!E21)</f>
        <v>Sram - Bielas - SX Eagle Boost, eje DUB, plato Direct Mount, CL 55, 175 mm - MKP</v>
      </c>
      <c r="F21">
        <f>IF(P21&gt;0,1,IF(Sistema!F21=0,-1,1))</f>
        <v>1</v>
      </c>
      <c r="G21">
        <f>Sistema!G21</f>
        <v>0</v>
      </c>
      <c r="H21" t="str">
        <f>IF(OR(R21="notify",R21=1),"visible",IF(OR(Sistema!F21=-1,Sistema!F21=0,ISNUMBER(SEARCH("PCK",E21))),"hidden",IF(P21&gt;0,"visible","hidden")))</f>
        <v>visible</v>
      </c>
      <c r="I21" t="str">
        <f>IF(B21="simple",IF(P21&gt;0,"",IF(R21="notify",Info!C$2,"")),IF(B21="variable",IF(P21&gt;0,"",IF(R21="notify",Info!C$4,"")),""))</f>
        <v/>
      </c>
      <c r="J21" t="str">
        <f>IF(Sistema!J21="","",Sistema!J21)</f>
        <v>Sram Bielas SX Eagle Boost, eje DUB, plato Direct Mount, CL 55, 175 mm
Bielas diseñadas para transmisiones SRAM Eagle 12 velocidades, ofreciendo un rendimiento confiable y resistente para MTB. Fabricadas en aluminio, brindan una buena relación entre durabilidad y peso, ideales para uso en Trail y All-Mountain.
Incorporan eje DUB, que mejora la rigidez y la durabilidad del sistema, además de simplificar la compatibilidad con distintos tipos de cajas de centro. El sistema Direct Mount permite una instalación directa del plato, facilitando el mantenimiento y el cambio de configuración.
Con línea de cadena de 55 mm (Boost), están optimizadas para cuadros modernos, mejorando la alineación de la transmisión y el rendimiento general.
Características:
Longitud: 175 mm
Sistema: SRAM Eagle 12v
Eje: DUB
Montaje de plato: Direct Mount
Línea de cadena: 55 mm (Boost)
Material: Aluminio
Una opción sólida para riders que buscan fiabilidad, compatibilidad y buen rendimiento en su transmisión Eagle.</v>
      </c>
      <c r="M21" t="str">
        <f>IF(Sistema!M21="","",Sistema!M21)</f>
        <v>taxable</v>
      </c>
      <c r="N21" s="6" t="s">
        <v>1557</v>
      </c>
      <c r="O21" s="6">
        <v>1</v>
      </c>
      <c r="P21">
        <f>Sistema!P21</f>
        <v>1</v>
      </c>
      <c r="Q21">
        <f>Sistema!Q21</f>
        <v>0</v>
      </c>
      <c r="R21">
        <f>IF(Sistema!R21=1,"notify",Sistema!R21)</f>
        <v>0</v>
      </c>
      <c r="T21" t="str">
        <f>IF(Sistema!T21="","",Sistema!T21)</f>
        <v/>
      </c>
      <c r="U21" t="str">
        <f>IF(Sistema!U21="","",Sistema!U21)</f>
        <v/>
      </c>
      <c r="V21" t="str">
        <f>IF(Sistema!V21="","",Sistema!V21)</f>
        <v/>
      </c>
      <c r="W21" t="str">
        <f>IF(Sistema!W21="","",Sistema!W21)</f>
        <v/>
      </c>
      <c r="X21" s="6">
        <v>1</v>
      </c>
      <c r="Z21">
        <f>IF(Sistema!Z21="","",Sistema!Z21)</f>
        <v>350</v>
      </c>
      <c r="AA21">
        <f>IF(Sistema!AA21="","",Sistema!AA21)</f>
        <v>430</v>
      </c>
      <c r="AB21" t="str">
        <f>IF(Sistema!AB21="","",IF(OR(ISNUMBER(SEARCH("MKP",E21)),ISNUMBER(SEARCH("MKP",C21))),"Marketplace &gt; "&amp;Sistema!AB21,Sistema!AB21))</f>
        <v>Marketplace &gt; Ciclismo &gt; Transmisión &gt; Bielas</v>
      </c>
      <c r="AC21" t="str">
        <f>IF(Sistema!AC21="","",Sistema!AC21)</f>
        <v/>
      </c>
      <c r="AE21" t="str">
        <f>IF(Sistema!AE21="","",Sistema!AE21)</f>
        <v>https://www.cyclingboutique.in/cdn/shop/files/SRAM-Crankset-SX-Eagle-Dub-12-Speed-2_2048x2048.jpg, https://kuranko.pe/wp-content/uploads/2026/07/WhatsApp-Image-2026-07-24-at-7.19.43-PM-1.jpeg, https://www.cyclingboutique.in/cdn/shop/files/SRAM-Crankset-SX-Eagle-Dub-12-Speed-1_1024x1024.jpg, https://kuranko.pe/wp-content/uploads/2026/07/WhatsApp-Image-2026-07-24-at-7.19.43-PM.jpeg, https://kuranko.pe/wp-content/uploads/2026/07/WhatsApp-Image-2026-07-24-at-7.19.33-PM.jpeg, https://kuranko.pe/wp-content/uploads/2026/07/WhatsApp-Image-2026-07-24-at-7.19.32-PM.jpeg</v>
      </c>
      <c r="AH21" t="str">
        <f>IF(Sistema!AH21="","",Sistema!AH21)</f>
        <v/>
      </c>
      <c r="AQ21" t="str">
        <f>IF(Sistema!AQ21="","",Sistema!AQ21)</f>
        <v/>
      </c>
      <c r="AR21" t="str">
        <f>IF(Sistema!AR21="","",Sistema!AR21)</f>
        <v/>
      </c>
      <c r="AS21" t="str">
        <f>IF(Sistema!AS21="","",Sistema!AS21)</f>
        <v/>
      </c>
      <c r="AT21" t="str">
        <f>IF(Sistema!AT21="","",Sistema!AT21)</f>
        <v/>
      </c>
      <c r="AU21" t="str">
        <f>IF(Sistema!AU21="","",Sistema!AU21)</f>
        <v/>
      </c>
      <c r="AV21" t="str">
        <f>IF(Sistema!AV21="","",Sistema!AV21)</f>
        <v/>
      </c>
      <c r="AW21" t="str">
        <f>IF(Sistema!AW21="","",Sistema!AW21)</f>
        <v/>
      </c>
      <c r="AX21" t="str">
        <f>IF(Sistema!AX21="","",Sistema!AX21)</f>
        <v/>
      </c>
      <c r="AY21" t="str">
        <f>IF(Sistema!AY21="","",Sistema!AY21)</f>
        <v/>
      </c>
      <c r="AZ21" t="str">
        <f>IF(Sistema!AZ21="","",Sistema!AZ21)</f>
        <v/>
      </c>
      <c r="BA21" t="str">
        <f>IF(Sistema!BA21="","",Sistema!BA21)</f>
        <v/>
      </c>
      <c r="BB21" t="str">
        <f>IF(Sistema!BB21="","",Sistema!BB21)</f>
        <v/>
      </c>
      <c r="BC21" t="str">
        <f>IF(Sistema!BC21="","",Sistema!BC21)</f>
        <v/>
      </c>
      <c r="BD21" t="str">
        <f>IF(Sistema!BD21="","",Sistema!BD21)</f>
        <v/>
      </c>
      <c r="BE21" t="str">
        <f>IF(Sistema!BE21="","",Sistema!BE21)</f>
        <v/>
      </c>
      <c r="BF21" t="str">
        <f>IF(Sistema!BF21="","",Sistema!BF21)</f>
        <v/>
      </c>
      <c r="BG21" t="str">
        <f>IF(Sistema!BG21="","",Sistema!BG21)</f>
        <v/>
      </c>
      <c r="BH21" t="str">
        <f>IF(Sistema!BH21="","",Sistema!BH21)</f>
        <v/>
      </c>
      <c r="BI21" t="str">
        <f>IF(Sistema!BI21="","",Sistema!BI21)</f>
        <v/>
      </c>
      <c r="BJ21" t="str">
        <f>IF(Sistema!BJ21="","",Sistema!BJ21)</f>
        <v/>
      </c>
      <c r="BK21" t="str">
        <f>IF(Sistema!BK21="","",Sistema!BK21)</f>
        <v/>
      </c>
      <c r="BL21" t="str">
        <f>IF(Sistema!BL21="","",Sistema!BL21)</f>
        <v/>
      </c>
      <c r="BM21" t="str">
        <f>IF(Sistema!BM21="","",Sistema!BM21)</f>
        <v/>
      </c>
      <c r="BN21" t="str">
        <f>IF(Sistema!BN21="","",Sistema!BN21)</f>
        <v/>
      </c>
      <c r="BO21" t="str">
        <f>IF(Sistema!BO21="","",Sistema!BO21)</f>
        <v/>
      </c>
      <c r="BP21" t="str">
        <f>IF(Sistema!BP21="","",Sistema!BP21)</f>
        <v/>
      </c>
      <c r="BQ21" t="str">
        <f>IF(Sistema!BQ21="","",Sistema!BQ21)</f>
        <v/>
      </c>
      <c r="BR21" t="str">
        <f>IF(Sistema!BR21="","",Sistema!BR21)</f>
        <v/>
      </c>
      <c r="BS21" t="str">
        <f>IF(Sistema!BS21="","",Sistema!BS21)</f>
        <v/>
      </c>
      <c r="BT21" t="str">
        <f>IF(Sistema!BT21="","",Sistema!BT21)</f>
        <v/>
      </c>
      <c r="BU21" t="str">
        <f>IF(Sistema!BU21="","",Sistema!BU21)</f>
        <v/>
      </c>
      <c r="BV21" t="str">
        <f>IF(Sistema!BV21="","",Sistema!BV21)</f>
        <v/>
      </c>
      <c r="BW21" t="str">
        <f>IF(Sistema!BW21="","",Sistema!BW21)</f>
        <v/>
      </c>
      <c r="BX21" t="str">
        <f>IF(Sistema!BX21="","",Sistema!BX21)</f>
        <v/>
      </c>
      <c r="BY21" t="str">
        <f>IF(Sistema!BY21="","",Sistema!BY21)</f>
        <v/>
      </c>
      <c r="BZ21" t="str">
        <f>IF(Sistema!BZ21="","",Sistema!BZ21)</f>
        <v/>
      </c>
      <c r="CA21" t="str">
        <f>IF(Sistema!CA21="","",Sistema!CA21)</f>
        <v/>
      </c>
      <c r="CB21" t="str">
        <f>IF(Sistema!CB21="","",Sistema!CB21)</f>
        <v/>
      </c>
      <c r="CC21" t="str">
        <f>IF(Sistema!CC21="","",Sistema!CC21)</f>
        <v/>
      </c>
      <c r="CD21" t="str">
        <f>IF(Sistema!CD21="","",Sistema!CD21)</f>
        <v/>
      </c>
    </row>
    <row r="22" spans="1:82" x14ac:dyDescent="0.25">
      <c r="A22">
        <f>IF(Sistema!A22="","",Sistema!A22)</f>
        <v>18042</v>
      </c>
      <c r="B22" t="str">
        <f>IF(Sistema!B22="","",Sistema!B22)</f>
        <v>simple</v>
      </c>
      <c r="C22" t="str">
        <f>IF(Sistema!C22="","",Sistema!C22)</f>
        <v>MKP0000000025</v>
      </c>
      <c r="D22" t="str">
        <f>IF(Sistema!D22="","",Sistema!D22)</f>
        <v/>
      </c>
      <c r="E22" t="str">
        <f>IF(Sistema!E22="","",Sistema!E22)</f>
        <v>Sram - Bottom Bracket - DUB BSA, rodamientos sellados, 73mm - MKP - Desmontado, nunca usado</v>
      </c>
      <c r="F22">
        <f>IF(P22&gt;0,1,IF(Sistema!F22=0,-1,1))</f>
        <v>1</v>
      </c>
      <c r="G22">
        <f>Sistema!G22</f>
        <v>0</v>
      </c>
      <c r="H22" t="str">
        <f>IF(OR(R22="notify",R22=1),"visible",IF(OR(Sistema!F22=-1,Sistema!F22=0,ISNUMBER(SEARCH("PCK",E22))),"hidden",IF(P22&gt;0,"visible","hidden")))</f>
        <v>visible</v>
      </c>
      <c r="I22" t="str">
        <f>IF(B22="simple",IF(P22&gt;0,"",IF(R22="notify",Info!C$2,"")),IF(B22="variable",IF(P22&gt;0,"",IF(R22="notify",Info!C$4,"")),""))</f>
        <v/>
      </c>
      <c r="J22" t="str">
        <f>IF(Sistema!J22="","",Sistema!J22)</f>
        <v>Caja de centro diseñada para bielas SRAM con eje DUB, ofreciendo una excelente combinación entre durabilidad, suavidad y compatibilidad. El sistema DUB utiliza un eje sobredimensionado de 28.99 mm que mejora la rigidez y simplifica la compatibilidad entre distintos estándares de cuadro.
La construcción con rodamientos sellados y tecnología Gutter Seal mejora la protección contra agua, barro y polvo, ideal para MTB, trail y enduro. Su interfaz BSA roscada proporciona una instalación segura y fácil mantenimiento.
🛠️ Especificaciones:
Sistema: SRAM DUB
Tipo de caja: BSA / English Threaded
Ancho compatible: 73 mm
Rodamientos sellados
Material de copas: Aluminio
Compatible con ejes SRAM DUB 28.99 mm
Color: Negro</v>
      </c>
      <c r="M22" t="str">
        <f>IF(Sistema!M22="","",Sistema!M22)</f>
        <v>taxable</v>
      </c>
      <c r="N22" s="6" t="s">
        <v>1557</v>
      </c>
      <c r="O22" s="6">
        <v>1</v>
      </c>
      <c r="P22">
        <f>Sistema!P22</f>
        <v>1</v>
      </c>
      <c r="Q22">
        <f>Sistema!Q22</f>
        <v>0</v>
      </c>
      <c r="R22">
        <f>IF(Sistema!R22=1,"notify",Sistema!R22)</f>
        <v>0</v>
      </c>
      <c r="T22" t="str">
        <f>IF(Sistema!T22="","",Sistema!T22)</f>
        <v/>
      </c>
      <c r="U22" t="str">
        <f>IF(Sistema!U22="","",Sistema!U22)</f>
        <v/>
      </c>
      <c r="V22" t="str">
        <f>IF(Sistema!V22="","",Sistema!V22)</f>
        <v/>
      </c>
      <c r="W22" t="str">
        <f>IF(Sistema!W22="","",Sistema!W22)</f>
        <v/>
      </c>
      <c r="X22" s="6">
        <v>1</v>
      </c>
      <c r="Z22">
        <f>IF(Sistema!Z22="","",Sistema!Z22)</f>
        <v>120</v>
      </c>
      <c r="AA22">
        <f>IF(Sistema!AA22="","",Sistema!AA22)</f>
        <v>150</v>
      </c>
      <c r="AB22" t="str">
        <f>IF(Sistema!AB22="","",IF(OR(ISNUMBER(SEARCH("MKP",E22)),ISNUMBER(SEARCH("MKP",C22))),"Marketplace &gt; "&amp;Sistema!AB22,Sistema!AB22))</f>
        <v>Marketplace &gt; Ciclismo &gt; Transmisión &gt; Pedalier</v>
      </c>
      <c r="AC22" t="str">
        <f>IF(Sistema!AC22="","",Sistema!AC22)</f>
        <v/>
      </c>
      <c r="AE22" t="str">
        <f>IF(Sistema!AE22="","",Sistema!AE22)</f>
        <v>https://kuranko.pe/wp-content/uploads/2026/07/WhatsApp-Image-2026-07-24-at-7.19.31-PM.jpeg, https://kuranko.pe/wp-content/uploads/2026/07/WhatsApp-Image-2026-07-24-at-7.18.21-PM-1.jpeg</v>
      </c>
      <c r="AH22" t="str">
        <f>IF(Sistema!AH22="","",Sistema!AH22)</f>
        <v/>
      </c>
      <c r="AQ22" t="str">
        <f>IF(Sistema!AQ22="","",Sistema!AQ22)</f>
        <v/>
      </c>
      <c r="AR22" t="str">
        <f>IF(Sistema!AR22="","",Sistema!AR22)</f>
        <v/>
      </c>
      <c r="AS22" t="str">
        <f>IF(Sistema!AS22="","",Sistema!AS22)</f>
        <v/>
      </c>
      <c r="AT22" t="str">
        <f>IF(Sistema!AT22="","",Sistema!AT22)</f>
        <v/>
      </c>
      <c r="AU22" t="str">
        <f>IF(Sistema!AU22="","",Sistema!AU22)</f>
        <v/>
      </c>
      <c r="AV22" t="str">
        <f>IF(Sistema!AV22="","",Sistema!AV22)</f>
        <v/>
      </c>
      <c r="AW22" t="str">
        <f>IF(Sistema!AW22="","",Sistema!AW22)</f>
        <v/>
      </c>
      <c r="AX22" t="str">
        <f>IF(Sistema!AX22="","",Sistema!AX22)</f>
        <v/>
      </c>
      <c r="AY22" t="str">
        <f>IF(Sistema!AY22="","",Sistema!AY22)</f>
        <v/>
      </c>
      <c r="AZ22" t="str">
        <f>IF(Sistema!AZ22="","",Sistema!AZ22)</f>
        <v/>
      </c>
      <c r="BA22" t="str">
        <f>IF(Sistema!BA22="","",Sistema!BA22)</f>
        <v/>
      </c>
      <c r="BB22" t="str">
        <f>IF(Sistema!BB22="","",Sistema!BB22)</f>
        <v/>
      </c>
      <c r="BC22" t="str">
        <f>IF(Sistema!BC22="","",Sistema!BC22)</f>
        <v/>
      </c>
      <c r="BD22" t="str">
        <f>IF(Sistema!BD22="","",Sistema!BD22)</f>
        <v/>
      </c>
      <c r="BE22" t="str">
        <f>IF(Sistema!BE22="","",Sistema!BE22)</f>
        <v/>
      </c>
      <c r="BF22" t="str">
        <f>IF(Sistema!BF22="","",Sistema!BF22)</f>
        <v/>
      </c>
      <c r="BG22" t="str">
        <f>IF(Sistema!BG22="","",Sistema!BG22)</f>
        <v/>
      </c>
      <c r="BH22" t="str">
        <f>IF(Sistema!BH22="","",Sistema!BH22)</f>
        <v/>
      </c>
      <c r="BI22" t="str">
        <f>IF(Sistema!BI22="","",Sistema!BI22)</f>
        <v/>
      </c>
      <c r="BJ22" t="str">
        <f>IF(Sistema!BJ22="","",Sistema!BJ22)</f>
        <v/>
      </c>
      <c r="BK22" t="str">
        <f>IF(Sistema!BK22="","",Sistema!BK22)</f>
        <v/>
      </c>
      <c r="BL22" t="str">
        <f>IF(Sistema!BL22="","",Sistema!BL22)</f>
        <v/>
      </c>
      <c r="BM22" t="str">
        <f>IF(Sistema!BM22="","",Sistema!BM22)</f>
        <v/>
      </c>
      <c r="BN22" t="str">
        <f>IF(Sistema!BN22="","",Sistema!BN22)</f>
        <v/>
      </c>
      <c r="BO22" t="str">
        <f>IF(Sistema!BO22="","",Sistema!BO22)</f>
        <v/>
      </c>
      <c r="BP22" t="str">
        <f>IF(Sistema!BP22="","",Sistema!BP22)</f>
        <v/>
      </c>
      <c r="BQ22" t="str">
        <f>IF(Sistema!BQ22="","",Sistema!BQ22)</f>
        <v/>
      </c>
      <c r="BR22" t="str">
        <f>IF(Sistema!BR22="","",Sistema!BR22)</f>
        <v/>
      </c>
      <c r="BS22" t="str">
        <f>IF(Sistema!BS22="","",Sistema!BS22)</f>
        <v/>
      </c>
      <c r="BT22" t="str">
        <f>IF(Sistema!BT22="","",Sistema!BT22)</f>
        <v/>
      </c>
      <c r="BU22" t="str">
        <f>IF(Sistema!BU22="","",Sistema!BU22)</f>
        <v/>
      </c>
      <c r="BV22" t="str">
        <f>IF(Sistema!BV22="","",Sistema!BV22)</f>
        <v/>
      </c>
      <c r="BW22" t="str">
        <f>IF(Sistema!BW22="","",Sistema!BW22)</f>
        <v/>
      </c>
      <c r="BX22" t="str">
        <f>IF(Sistema!BX22="","",Sistema!BX22)</f>
        <v/>
      </c>
      <c r="BY22" t="str">
        <f>IF(Sistema!BY22="","",Sistema!BY22)</f>
        <v/>
      </c>
      <c r="BZ22" t="str">
        <f>IF(Sistema!BZ22="","",Sistema!BZ22)</f>
        <v/>
      </c>
      <c r="CA22" t="str">
        <f>IF(Sistema!CA22="","",Sistema!CA22)</f>
        <v/>
      </c>
      <c r="CB22" t="str">
        <f>IF(Sistema!CB22="","",Sistema!CB22)</f>
        <v/>
      </c>
      <c r="CC22" t="str">
        <f>IF(Sistema!CC22="","",Sistema!CC22)</f>
        <v/>
      </c>
      <c r="CD22" t="str">
        <f>IF(Sistema!CD22="","",Sistema!CD22)</f>
        <v/>
      </c>
    </row>
    <row r="23" spans="1:82" x14ac:dyDescent="0.25">
      <c r="A23">
        <f>IF(Sistema!A23="","",Sistema!A23)</f>
        <v>18044</v>
      </c>
      <c r="B23" t="str">
        <f>IF(Sistema!B23="","",Sistema!B23)</f>
        <v>simple</v>
      </c>
      <c r="C23" t="str">
        <f>IF(Sistema!C23="","",Sistema!C23)</f>
        <v>MKP0000000005</v>
      </c>
      <c r="D23" t="str">
        <f>IF(Sistema!D23="","",Sistema!D23)</f>
        <v/>
      </c>
      <c r="E23" t="str">
        <f>IF(Sistema!E23="","",Sistema!E23)</f>
        <v>Sram - Cadena - SX 12s - MKP - Desmontado, nunca usado</v>
      </c>
      <c r="F23">
        <f>IF(P23&gt;0,1,IF(Sistema!F23=0,-1,1))</f>
        <v>1</v>
      </c>
      <c r="G23">
        <f>Sistema!G23</f>
        <v>0</v>
      </c>
      <c r="H23" t="str">
        <f>IF(OR(R23="notify",R23=1),"visible",IF(OR(Sistema!F23=-1,Sistema!F23=0,ISNUMBER(SEARCH("PCK",E23))),"hidden",IF(P23&gt;0,"visible","hidden")))</f>
        <v>visible</v>
      </c>
      <c r="I23" t="str">
        <f>IF(B23="simple",IF(P23&gt;0,"",IF(R23="notify",Info!C$2,"")),IF(B23="variable",IF(P23&gt;0,"",IF(R23="notify",Info!C$4,"")),""))</f>
        <v/>
      </c>
      <c r="J23" t="str">
        <f>IF(Sistema!J23="","",Sistema!J23)</f>
        <v>La Sram SX Eagle 12s es una cadena diseñada para ofrecer rendimiento confiable, durabilidad y cambios suaves, siendo la puerta de entrada al ecosistema Eagle de 12 velocidades.
Basada en la misma arquitectura de las gamas superiores (GX, X01, XX1), garantiza un funcionamiento eficiente en transmisiones 1x12, con una excelente relación entre rendimiento y precio.
Su construcción con pasadores sólidos proporciona mayor resistencia al desgaste, mientras que el sistema PowerLock permite una instalación rápida y segura sin necesidad de herramientas.
Características:
Compatible con transmisiones SRAM Eagle 12 velocidades
Cambios suaves y eficientes
Alta durabilidad para uso MTB
Sistema PowerLock (cierre rápido sin herramientas)
Diseño optimizado para transmisiones 1x
Especificaciones:
Velocidades: 12s
Longitud: según versión (114 a 126 eslabones aprox.)
Tipo de pasador: Sólido
Peso aprox.: 260 g
Una opción ideal para riders que buscan una cadena resistente, compatible y accesible dentro del sistema SRAM Eagle.
*Sacado de una bicicleta NUEVA</v>
      </c>
      <c r="M23" t="str">
        <f>IF(Sistema!M23="","",Sistema!M23)</f>
        <v>taxable</v>
      </c>
      <c r="N23" s="6" t="s">
        <v>1557</v>
      </c>
      <c r="O23" s="6">
        <v>1</v>
      </c>
      <c r="P23">
        <f>Sistema!P23</f>
        <v>1</v>
      </c>
      <c r="Q23">
        <f>Sistema!Q23</f>
        <v>0</v>
      </c>
      <c r="R23">
        <f>IF(Sistema!R23=1,"notify",Sistema!R23)</f>
        <v>0</v>
      </c>
      <c r="T23" t="str">
        <f>IF(Sistema!T23="","",Sistema!T23)</f>
        <v/>
      </c>
      <c r="U23" t="str">
        <f>IF(Sistema!U23="","",Sistema!U23)</f>
        <v/>
      </c>
      <c r="V23" t="str">
        <f>IF(Sistema!V23="","",Sistema!V23)</f>
        <v/>
      </c>
      <c r="W23" t="str">
        <f>IF(Sistema!W23="","",Sistema!W23)</f>
        <v/>
      </c>
      <c r="X23" s="6">
        <v>1</v>
      </c>
      <c r="Z23">
        <f>IF(Sistema!Z23="","",Sistema!Z23)</f>
        <v>85</v>
      </c>
      <c r="AA23">
        <f>IF(Sistema!AA23="","",Sistema!AA23)</f>
        <v>85</v>
      </c>
      <c r="AB23" t="str">
        <f>IF(Sistema!AB23="","",IF(OR(ISNUMBER(SEARCH("MKP",E23)),ISNUMBER(SEARCH("MKP",C23))),"Marketplace &gt; "&amp;Sistema!AB23,Sistema!AB23))</f>
        <v>Marketplace &gt; Ciclismo &gt; Transmisión &gt; Cadenas</v>
      </c>
      <c r="AC23" t="str">
        <f>IF(Sistema!AC23="","",Sistema!AC23)</f>
        <v/>
      </c>
      <c r="AE23" t="str">
        <f>IF(Sistema!AE23="","",Sistema!AE23)</f>
        <v>https://s.alicdn.com/@sc04/kf/H1c016320c7864097984a2258f1069557G.jpg, https://kuranko.pe/wp-content/uploads/2026/07/WhatsApp-Image-2026-07-22-at-4.52.15-PM-2.jpeg, https://kuranko.pe/wp-content/uploads/2026/07/WhatsApp-Image-2026-07-22-at-4.52.15-PM-1.jpeg</v>
      </c>
      <c r="AH23" t="str">
        <f>IF(Sistema!AH23="","",Sistema!AH23)</f>
        <v/>
      </c>
      <c r="AQ23" t="str">
        <f>IF(Sistema!AQ23="","",Sistema!AQ23)</f>
        <v/>
      </c>
      <c r="AR23" t="str">
        <f>IF(Sistema!AR23="","",Sistema!AR23)</f>
        <v/>
      </c>
      <c r="AS23" t="str">
        <f>IF(Sistema!AS23="","",Sistema!AS23)</f>
        <v/>
      </c>
      <c r="AT23" t="str">
        <f>IF(Sistema!AT23="","",Sistema!AT23)</f>
        <v/>
      </c>
      <c r="AU23" t="str">
        <f>IF(Sistema!AU23="","",Sistema!AU23)</f>
        <v/>
      </c>
      <c r="AV23" t="str">
        <f>IF(Sistema!AV23="","",Sistema!AV23)</f>
        <v/>
      </c>
      <c r="AW23" t="str">
        <f>IF(Sistema!AW23="","",Sistema!AW23)</f>
        <v/>
      </c>
      <c r="AX23" t="str">
        <f>IF(Sistema!AX23="","",Sistema!AX23)</f>
        <v/>
      </c>
      <c r="AY23" t="str">
        <f>IF(Sistema!AY23="","",Sistema!AY23)</f>
        <v/>
      </c>
      <c r="AZ23" t="str">
        <f>IF(Sistema!AZ23="","",Sistema!AZ23)</f>
        <v/>
      </c>
      <c r="BA23" t="str">
        <f>IF(Sistema!BA23="","",Sistema!BA23)</f>
        <v/>
      </c>
      <c r="BB23" t="str">
        <f>IF(Sistema!BB23="","",Sistema!BB23)</f>
        <v/>
      </c>
      <c r="BC23" t="str">
        <f>IF(Sistema!BC23="","",Sistema!BC23)</f>
        <v/>
      </c>
      <c r="BD23" t="str">
        <f>IF(Sistema!BD23="","",Sistema!BD23)</f>
        <v/>
      </c>
      <c r="BE23" t="str">
        <f>IF(Sistema!BE23="","",Sistema!BE23)</f>
        <v/>
      </c>
      <c r="BF23" t="str">
        <f>IF(Sistema!BF23="","",Sistema!BF23)</f>
        <v/>
      </c>
      <c r="BG23" t="str">
        <f>IF(Sistema!BG23="","",Sistema!BG23)</f>
        <v/>
      </c>
      <c r="BH23" t="str">
        <f>IF(Sistema!BH23="","",Sistema!BH23)</f>
        <v/>
      </c>
      <c r="BI23" t="str">
        <f>IF(Sistema!BI23="","",Sistema!BI23)</f>
        <v/>
      </c>
      <c r="BJ23" t="str">
        <f>IF(Sistema!BJ23="","",Sistema!BJ23)</f>
        <v/>
      </c>
      <c r="BK23" t="str">
        <f>IF(Sistema!BK23="","",Sistema!BK23)</f>
        <v/>
      </c>
      <c r="BL23" t="str">
        <f>IF(Sistema!BL23="","",Sistema!BL23)</f>
        <v/>
      </c>
      <c r="BM23" t="str">
        <f>IF(Sistema!BM23="","",Sistema!BM23)</f>
        <v/>
      </c>
      <c r="BN23" t="str">
        <f>IF(Sistema!BN23="","",Sistema!BN23)</f>
        <v/>
      </c>
      <c r="BO23" t="str">
        <f>IF(Sistema!BO23="","",Sistema!BO23)</f>
        <v/>
      </c>
      <c r="BP23" t="str">
        <f>IF(Sistema!BP23="","",Sistema!BP23)</f>
        <v/>
      </c>
      <c r="BQ23" t="str">
        <f>IF(Sistema!BQ23="","",Sistema!BQ23)</f>
        <v/>
      </c>
      <c r="BR23" t="str">
        <f>IF(Sistema!BR23="","",Sistema!BR23)</f>
        <v/>
      </c>
      <c r="BS23" t="str">
        <f>IF(Sistema!BS23="","",Sistema!BS23)</f>
        <v/>
      </c>
      <c r="BT23" t="str">
        <f>IF(Sistema!BT23="","",Sistema!BT23)</f>
        <v/>
      </c>
      <c r="BU23" t="str">
        <f>IF(Sistema!BU23="","",Sistema!BU23)</f>
        <v/>
      </c>
      <c r="BV23" t="str">
        <f>IF(Sistema!BV23="","",Sistema!BV23)</f>
        <v/>
      </c>
      <c r="BW23" t="str">
        <f>IF(Sistema!BW23="","",Sistema!BW23)</f>
        <v/>
      </c>
      <c r="BX23" t="str">
        <f>IF(Sistema!BX23="","",Sistema!BX23)</f>
        <v/>
      </c>
      <c r="BY23" t="str">
        <f>IF(Sistema!BY23="","",Sistema!BY23)</f>
        <v/>
      </c>
      <c r="BZ23" t="str">
        <f>IF(Sistema!BZ23="","",Sistema!BZ23)</f>
        <v/>
      </c>
      <c r="CA23" t="str">
        <f>IF(Sistema!CA23="","",Sistema!CA23)</f>
        <v/>
      </c>
      <c r="CB23" t="str">
        <f>IF(Sistema!CB23="","",Sistema!CB23)</f>
        <v/>
      </c>
      <c r="CC23" t="str">
        <f>IF(Sistema!CC23="","",Sistema!CC23)</f>
        <v/>
      </c>
      <c r="CD23" t="str">
        <f>IF(Sistema!CD23="","",Sistema!CD23)</f>
        <v/>
      </c>
    </row>
    <row r="24" spans="1:82" x14ac:dyDescent="0.25">
      <c r="A24">
        <f>IF(Sistema!A24="","",Sistema!A24)</f>
        <v>18045</v>
      </c>
      <c r="B24" t="str">
        <f>IF(Sistema!B24="","",Sistema!B24)</f>
        <v>simple</v>
      </c>
      <c r="C24" t="str">
        <f>IF(Sistema!C24="","",Sistema!C24)</f>
        <v>MKP00.3018.117.000</v>
      </c>
      <c r="D24" t="str">
        <f>IF(Sistema!D24="","",Sistema!D24)</f>
        <v/>
      </c>
      <c r="E24" t="str">
        <f>IF(Sistema!E24="","",Sistema!E24)</f>
        <v>SRAM - Cargador - de Batería eTap / AXS con Cable USB - MKP - Nuevo, nunca usado</v>
      </c>
      <c r="F24">
        <f>IF(P24&gt;0,1,IF(Sistema!F24=0,-1,1))</f>
        <v>1</v>
      </c>
      <c r="G24">
        <f>Sistema!G24</f>
        <v>0</v>
      </c>
      <c r="H24" t="str">
        <f>IF(OR(R24="notify",R24=1),"visible",IF(OR(Sistema!F24=-1,Sistema!F24=0,ISNUMBER(SEARCH("PCK",E24))),"hidden",IF(P24&gt;0,"visible","hidden")))</f>
        <v>visible</v>
      </c>
      <c r="I24" t="str">
        <f>IF(B24="simple",IF(P24&gt;0,"",IF(R24="notify",Info!C$2,"")),IF(B24="variable",IF(P24&gt;0,"",IF(R24="notify",Info!C$4,"")),""))</f>
        <v/>
      </c>
      <c r="J24" t="str">
        <f>IF(Sistema!J24="","",Sistema!J24)</f>
        <v>&lt;p&gt;Cargador &lt;strong&gt;SRAM para baterías eTap / AXS&lt;/strong&gt;, diseñado para cargar de forma rápida y sencilla las baterías extraíbles de los sistemas electrónicos SRAM. El cargador funciona mediante conexión USB y permite cargar una batería completamente en aproximadamente &lt;strong&gt;45 minutos&lt;/strong&gt;.&lt;/p&gt;&lt;p&gt;La batería se retira fácilmente del componente sin herramientas y se coloca directamente en la estación de carga. El cargador puede conectarse a una fuente de alimentación USB o a un adaptador USB A/C.&lt;/p&gt;&lt;p&gt;&lt;strong&gt;Contenido:&lt;/strong&gt;&lt;/p&gt;&lt;ul&gt;&lt;li&gt;&lt;p&gt;&lt;strong&gt;Cargador SRAM para batería eTap / AXS:&lt;/strong&gt; 1 unidad&lt;/p&gt;&lt;/li&gt;&lt;li&gt;&lt;p&gt;&lt;strong&gt;Cable USB:&lt;/strong&gt; 1 unidad&lt;/p&gt;&lt;/li&gt;&lt;/ul&gt;&lt;p&gt;&lt;strong&gt;Especificaciones:&lt;/strong&gt;&lt;/p&gt;&lt;ul&gt;&lt;li&gt;&lt;p&gt;Marca: &lt;strong&gt;SRAM&lt;/strong&gt;&lt;/p&gt;&lt;/li&gt;&lt;li&gt;&lt;p&gt;Compatibilidad: &lt;strong&gt;Baterías SRAM eTap / AXS&lt;/strong&gt;&lt;/p&gt;&lt;/li&gt;&lt;li&gt;&lt;p&gt;Tiempo de carga completa: &lt;strong&gt;aprox. 45 minutos&lt;/strong&gt;&lt;/p&gt;&lt;/li&gt;&lt;li&gt;&lt;p&gt;Conexión: &lt;strong&gt;USB&lt;/strong&gt;&lt;/p&gt;&lt;/li&gt;&lt;li&gt;&lt;p&gt;Referencia: &lt;strong&gt;00.3018.117.000&lt;/strong&gt;&lt;/p&gt;&lt;/li&gt;&lt;li&gt;&lt;p&gt;Presentación: &lt;strong&gt;1 cargador + 1 cable USB&lt;/strong&gt;&lt;/p&gt;&lt;/li&gt;&lt;/ul&gt;&lt;p&gt;&lt;strong&gt;Nota:&lt;/strong&gt; No incluye batería. La batería mostrada en imágenes es únicamente ilustrativa.&lt;/p&gt;</v>
      </c>
      <c r="M24" t="str">
        <f>IF(Sistema!M24="","",Sistema!M24)</f>
        <v>taxable</v>
      </c>
      <c r="N24" s="6" t="s">
        <v>1557</v>
      </c>
      <c r="O24" s="6">
        <v>1</v>
      </c>
      <c r="P24">
        <f>Sistema!P24</f>
        <v>1</v>
      </c>
      <c r="Q24">
        <f>Sistema!Q24</f>
        <v>0</v>
      </c>
      <c r="R24">
        <f>IF(Sistema!R24=1,"notify",Sistema!R24)</f>
        <v>0</v>
      </c>
      <c r="T24" t="str">
        <f>IF(Sistema!T24="","",Sistema!T24)</f>
        <v/>
      </c>
      <c r="U24" t="str">
        <f>IF(Sistema!U24="","",Sistema!U24)</f>
        <v/>
      </c>
      <c r="V24" t="str">
        <f>IF(Sistema!V24="","",Sistema!V24)</f>
        <v/>
      </c>
      <c r="W24" t="str">
        <f>IF(Sistema!W24="","",Sistema!W24)</f>
        <v/>
      </c>
      <c r="X24" s="6">
        <v>1</v>
      </c>
      <c r="Z24" t="str">
        <f>IF(Sistema!Z24="","",Sistema!Z24)</f>
        <v/>
      </c>
      <c r="AA24">
        <f>IF(Sistema!AA24="","",Sistema!AA24)</f>
        <v>250</v>
      </c>
      <c r="AB24" t="str">
        <f>IF(Sistema!AB24="","",IF(OR(ISNUMBER(SEARCH("MKP",E24)),ISNUMBER(SEARCH("MKP",C24))),"Marketplace &gt; "&amp;Sistema!AB24,Sistema!AB24))</f>
        <v>Marketplace &gt; Ciclismo &gt; Transmisión &gt; Repuestos</v>
      </c>
      <c r="AC24" t="str">
        <f>IF(Sistema!AC24="","",Sistema!AC24)</f>
        <v/>
      </c>
      <c r="AE24" t="str">
        <f>IF(Sistema!AE24="","",Sistema!AE24)</f>
        <v>https://kuranko.pe/wp-content/uploads/2026/09/WhatsApp-Image-2026-09-19-at-2.34.53-PM.jpeg, https://kuranko.pe/wp-content/uploads/2026/09/WhatsApp-Image-2026-09-19-at-2.34.52-PM.jpeg</v>
      </c>
      <c r="AH24" t="str">
        <f>IF(Sistema!AH24="","",Sistema!AH24)</f>
        <v/>
      </c>
      <c r="AQ24" t="str">
        <f>IF(Sistema!AQ24="","",Sistema!AQ24)</f>
        <v/>
      </c>
      <c r="AR24" t="str">
        <f>IF(Sistema!AR24="","",Sistema!AR24)</f>
        <v/>
      </c>
      <c r="AS24" t="str">
        <f>IF(Sistema!AS24="","",Sistema!AS24)</f>
        <v/>
      </c>
      <c r="AT24" t="str">
        <f>IF(Sistema!AT24="","",Sistema!AT24)</f>
        <v/>
      </c>
      <c r="AU24" t="str">
        <f>IF(Sistema!AU24="","",Sistema!AU24)</f>
        <v/>
      </c>
      <c r="AV24" t="str">
        <f>IF(Sistema!AV24="","",Sistema!AV24)</f>
        <v/>
      </c>
      <c r="AW24" t="str">
        <f>IF(Sistema!AW24="","",Sistema!AW24)</f>
        <v/>
      </c>
      <c r="AX24" t="str">
        <f>IF(Sistema!AX24="","",Sistema!AX24)</f>
        <v/>
      </c>
      <c r="AY24" t="str">
        <f>IF(Sistema!AY24="","",Sistema!AY24)</f>
        <v/>
      </c>
      <c r="AZ24" t="str">
        <f>IF(Sistema!AZ24="","",Sistema!AZ24)</f>
        <v/>
      </c>
      <c r="BA24" t="str">
        <f>IF(Sistema!BA24="","",Sistema!BA24)</f>
        <v/>
      </c>
      <c r="BB24" t="str">
        <f>IF(Sistema!BB24="","",Sistema!BB24)</f>
        <v/>
      </c>
      <c r="BC24" t="str">
        <f>IF(Sistema!BC24="","",Sistema!BC24)</f>
        <v/>
      </c>
      <c r="BD24" t="str">
        <f>IF(Sistema!BD24="","",Sistema!BD24)</f>
        <v/>
      </c>
      <c r="BE24" t="str">
        <f>IF(Sistema!BE24="","",Sistema!BE24)</f>
        <v/>
      </c>
      <c r="BF24" t="str">
        <f>IF(Sistema!BF24="","",Sistema!BF24)</f>
        <v/>
      </c>
      <c r="BG24" t="str">
        <f>IF(Sistema!BG24="","",Sistema!BG24)</f>
        <v/>
      </c>
      <c r="BH24" t="str">
        <f>IF(Sistema!BH24="","",Sistema!BH24)</f>
        <v/>
      </c>
      <c r="BI24" t="str">
        <f>IF(Sistema!BI24="","",Sistema!BI24)</f>
        <v/>
      </c>
      <c r="BJ24" t="str">
        <f>IF(Sistema!BJ24="","",Sistema!BJ24)</f>
        <v/>
      </c>
      <c r="BK24" t="str">
        <f>IF(Sistema!BK24="","",Sistema!BK24)</f>
        <v/>
      </c>
      <c r="BL24" t="str">
        <f>IF(Sistema!BL24="","",Sistema!BL24)</f>
        <v/>
      </c>
      <c r="BM24" t="str">
        <f>IF(Sistema!BM24="","",Sistema!BM24)</f>
        <v/>
      </c>
      <c r="BN24" t="str">
        <f>IF(Sistema!BN24="","",Sistema!BN24)</f>
        <v/>
      </c>
      <c r="BO24" t="str">
        <f>IF(Sistema!BO24="","",Sistema!BO24)</f>
        <v/>
      </c>
      <c r="BP24" t="str">
        <f>IF(Sistema!BP24="","",Sistema!BP24)</f>
        <v/>
      </c>
      <c r="BQ24" t="str">
        <f>IF(Sistema!BQ24="","",Sistema!BQ24)</f>
        <v/>
      </c>
      <c r="BR24" t="str">
        <f>IF(Sistema!BR24="","",Sistema!BR24)</f>
        <v/>
      </c>
      <c r="BS24" t="str">
        <f>IF(Sistema!BS24="","",Sistema!BS24)</f>
        <v/>
      </c>
      <c r="BT24" t="str">
        <f>IF(Sistema!BT24="","",Sistema!BT24)</f>
        <v/>
      </c>
      <c r="BU24" t="str">
        <f>IF(Sistema!BU24="","",Sistema!BU24)</f>
        <v/>
      </c>
      <c r="BV24" t="str">
        <f>IF(Sistema!BV24="","",Sistema!BV24)</f>
        <v/>
      </c>
      <c r="BW24" t="str">
        <f>IF(Sistema!BW24="","",Sistema!BW24)</f>
        <v/>
      </c>
      <c r="BX24" t="str">
        <f>IF(Sistema!BX24="","",Sistema!BX24)</f>
        <v/>
      </c>
      <c r="BY24" t="str">
        <f>IF(Sistema!BY24="","",Sistema!BY24)</f>
        <v/>
      </c>
      <c r="BZ24" t="str">
        <f>IF(Sistema!BZ24="","",Sistema!BZ24)</f>
        <v/>
      </c>
      <c r="CA24" t="str">
        <f>IF(Sistema!CA24="","",Sistema!CA24)</f>
        <v/>
      </c>
      <c r="CB24" t="str">
        <f>IF(Sistema!CB24="","",Sistema!CB24)</f>
        <v/>
      </c>
      <c r="CC24" t="str">
        <f>IF(Sistema!CC24="","",Sistema!CC24)</f>
        <v/>
      </c>
      <c r="CD24" t="str">
        <f>IF(Sistema!CD24="","",Sistema!CD24)</f>
        <v/>
      </c>
    </row>
    <row r="25" spans="1:82" x14ac:dyDescent="0.25">
      <c r="A25">
        <f>IF(Sistema!A25="","",Sistema!A25)</f>
        <v>18046</v>
      </c>
      <c r="B25" t="str">
        <f>IF(Sistema!B25="","",Sistema!B25)</f>
        <v>simple</v>
      </c>
      <c r="C25" t="str">
        <f>IF(Sistema!C25="","",Sistema!C25)</f>
        <v>MKP0000000012</v>
      </c>
      <c r="D25" t="str">
        <f>IF(Sistema!D25="","",Sistema!D25)</f>
        <v/>
      </c>
      <c r="E25" t="str">
        <f>IF(Sistema!E25="","",Sistema!E25)</f>
        <v>Sram - Descarrilador - NX Black 12s / Max 50t - MKP - Desmontado, nunca usado</v>
      </c>
      <c r="F25">
        <f>IF(P25&gt;0,1,IF(Sistema!F25=0,-1,1))</f>
        <v>1</v>
      </c>
      <c r="G25">
        <f>Sistema!G25</f>
        <v>0</v>
      </c>
      <c r="H25" t="str">
        <f>IF(OR(R25="notify",R25=1),"visible",IF(OR(Sistema!F25=-1,Sistema!F25=0,ISNUMBER(SEARCH("PCK",E25))),"hidden",IF(P25&gt;0,"visible","hidden")))</f>
        <v>visible</v>
      </c>
      <c r="I25" t="str">
        <f>IF(B25="simple",IF(P25&gt;0,"",IF(R25="notify",Info!C$2,"")),IF(B25="variable",IF(P25&gt;0,"",IF(R25="notify",Info!C$4,"")),""))</f>
        <v/>
      </c>
      <c r="J25" t="str">
        <f>IF(Sistema!J25="","",Sistema!J25)</f>
        <v>El descarrilador Sram NX Eagle de 12 velocidades ofrece cambios precisos, silenciosos y confiables para transmisiones MTB 1x12. Su diseño X-HORIZON™ mejora la estabilidad de la cadena y reduce movimientos no deseados, mientras que el sistema Roller Bearing Clutch™ minimiza el golpeteo en terrenos exigentes. Compatible con cassettes de hasta 50 dientes, es una excelente opción para rutas de trail, enduro y uso diario en montaña.
*Sacado de una bicicleta NUEVA</v>
      </c>
      <c r="M25" t="str">
        <f>IF(Sistema!M25="","",Sistema!M25)</f>
        <v>taxable</v>
      </c>
      <c r="N25" s="6" t="s">
        <v>1557</v>
      </c>
      <c r="O25" s="6">
        <v>1</v>
      </c>
      <c r="P25">
        <f>Sistema!P25</f>
        <v>1</v>
      </c>
      <c r="Q25">
        <f>Sistema!Q25</f>
        <v>0</v>
      </c>
      <c r="R25">
        <f>IF(Sistema!R25=1,"notify",Sistema!R25)</f>
        <v>0</v>
      </c>
      <c r="T25" t="str">
        <f>IF(Sistema!T25="","",Sistema!T25)</f>
        <v/>
      </c>
      <c r="U25" t="str">
        <f>IF(Sistema!U25="","",Sistema!U25)</f>
        <v/>
      </c>
      <c r="V25" t="str">
        <f>IF(Sistema!V25="","",Sistema!V25)</f>
        <v/>
      </c>
      <c r="W25" t="str">
        <f>IF(Sistema!W25="","",Sistema!W25)</f>
        <v/>
      </c>
      <c r="X25" s="6">
        <v>1</v>
      </c>
      <c r="Z25">
        <f>IF(Sistema!Z25="","",Sistema!Z25)</f>
        <v>350</v>
      </c>
      <c r="AA25">
        <f>IF(Sistema!AA25="","",Sistema!AA25)</f>
        <v>350</v>
      </c>
      <c r="AB25" t="str">
        <f>IF(Sistema!AB25="","",IF(OR(ISNUMBER(SEARCH("MKP",E25)),ISNUMBER(SEARCH("MKP",C25))),"Marketplace &gt; "&amp;Sistema!AB25,Sistema!AB25))</f>
        <v>Marketplace &gt; Ciclismo &gt; Transmisión &gt; Descarrilador</v>
      </c>
      <c r="AC25" t="str">
        <f>IF(Sistema!AC25="","",Sistema!AC25)</f>
        <v/>
      </c>
      <c r="AE25" t="str">
        <f>IF(Sistema!AE25="","",Sistema!AE25)</f>
        <v>https://kuranko.pe/wp-content/uploads/2026/07/WhatsApp-Image-2026-07-22-at-4.51.54-PM-1.jpeg, https://kuranko.pe/wp-content/uploads/2026/07/WhatsApp-Image-2026-07-22-at-4.51.54-PM.jpeg, https://kuranko.pe/wp-content/uploads/2026/07/WhatsApp-Image-2026-07-22-at-4.51.53-PM-3.jpeg, https://kuranko.pe/wp-content/uploads/2026/07/WhatsApp-Image-2026-07-22-at-4.51.53-PM-2.jpeg, https://kuranko.pe/wp-content/uploads/2026/07/WhatsApp-Image-2026-07-22-at-4.51.53-PM-1.jpeg</v>
      </c>
      <c r="AH25" t="str">
        <f>IF(Sistema!AH25="","",Sistema!AH25)</f>
        <v/>
      </c>
      <c r="AQ25" t="str">
        <f>IF(Sistema!AQ25="","",Sistema!AQ25)</f>
        <v/>
      </c>
      <c r="AR25" t="str">
        <f>IF(Sistema!AR25="","",Sistema!AR25)</f>
        <v/>
      </c>
      <c r="AS25" t="str">
        <f>IF(Sistema!AS25="","",Sistema!AS25)</f>
        <v/>
      </c>
      <c r="AT25" t="str">
        <f>IF(Sistema!AT25="","",Sistema!AT25)</f>
        <v/>
      </c>
      <c r="AU25" t="str">
        <f>IF(Sistema!AU25="","",Sistema!AU25)</f>
        <v/>
      </c>
      <c r="AV25" t="str">
        <f>IF(Sistema!AV25="","",Sistema!AV25)</f>
        <v/>
      </c>
      <c r="AW25" t="str">
        <f>IF(Sistema!AW25="","",Sistema!AW25)</f>
        <v/>
      </c>
      <c r="AX25" t="str">
        <f>IF(Sistema!AX25="","",Sistema!AX25)</f>
        <v/>
      </c>
      <c r="AY25" t="str">
        <f>IF(Sistema!AY25="","",Sistema!AY25)</f>
        <v/>
      </c>
      <c r="AZ25" t="str">
        <f>IF(Sistema!AZ25="","",Sistema!AZ25)</f>
        <v/>
      </c>
      <c r="BA25" t="str">
        <f>IF(Sistema!BA25="","",Sistema!BA25)</f>
        <v/>
      </c>
      <c r="BB25" t="str">
        <f>IF(Sistema!BB25="","",Sistema!BB25)</f>
        <v/>
      </c>
      <c r="BC25" t="str">
        <f>IF(Sistema!BC25="","",Sistema!BC25)</f>
        <v/>
      </c>
      <c r="BD25" t="str">
        <f>IF(Sistema!BD25="","",Sistema!BD25)</f>
        <v/>
      </c>
      <c r="BE25" t="str">
        <f>IF(Sistema!BE25="","",Sistema!BE25)</f>
        <v/>
      </c>
      <c r="BF25" t="str">
        <f>IF(Sistema!BF25="","",Sistema!BF25)</f>
        <v/>
      </c>
      <c r="BG25" t="str">
        <f>IF(Sistema!BG25="","",Sistema!BG25)</f>
        <v/>
      </c>
      <c r="BH25" t="str">
        <f>IF(Sistema!BH25="","",Sistema!BH25)</f>
        <v/>
      </c>
      <c r="BI25" t="str">
        <f>IF(Sistema!BI25="","",Sistema!BI25)</f>
        <v/>
      </c>
      <c r="BJ25" t="str">
        <f>IF(Sistema!BJ25="","",Sistema!BJ25)</f>
        <v/>
      </c>
      <c r="BK25" t="str">
        <f>IF(Sistema!BK25="","",Sistema!BK25)</f>
        <v/>
      </c>
      <c r="BL25" t="str">
        <f>IF(Sistema!BL25="","",Sistema!BL25)</f>
        <v/>
      </c>
      <c r="BM25" t="str">
        <f>IF(Sistema!BM25="","",Sistema!BM25)</f>
        <v/>
      </c>
      <c r="BN25" t="str">
        <f>IF(Sistema!BN25="","",Sistema!BN25)</f>
        <v/>
      </c>
      <c r="BO25" t="str">
        <f>IF(Sistema!BO25="","",Sistema!BO25)</f>
        <v/>
      </c>
      <c r="BP25" t="str">
        <f>IF(Sistema!BP25="","",Sistema!BP25)</f>
        <v/>
      </c>
      <c r="BQ25" t="str">
        <f>IF(Sistema!BQ25="","",Sistema!BQ25)</f>
        <v/>
      </c>
      <c r="BR25" t="str">
        <f>IF(Sistema!BR25="","",Sistema!BR25)</f>
        <v/>
      </c>
      <c r="BS25" t="str">
        <f>IF(Sistema!BS25="","",Sistema!BS25)</f>
        <v/>
      </c>
      <c r="BT25" t="str">
        <f>IF(Sistema!BT25="","",Sistema!BT25)</f>
        <v/>
      </c>
      <c r="BU25" t="str">
        <f>IF(Sistema!BU25="","",Sistema!BU25)</f>
        <v/>
      </c>
      <c r="BV25" t="str">
        <f>IF(Sistema!BV25="","",Sistema!BV25)</f>
        <v/>
      </c>
      <c r="BW25" t="str">
        <f>IF(Sistema!BW25="","",Sistema!BW25)</f>
        <v/>
      </c>
      <c r="BX25" t="str">
        <f>IF(Sistema!BX25="","",Sistema!BX25)</f>
        <v/>
      </c>
      <c r="BY25" t="str">
        <f>IF(Sistema!BY25="","",Sistema!BY25)</f>
        <v/>
      </c>
      <c r="BZ25" t="str">
        <f>IF(Sistema!BZ25="","",Sistema!BZ25)</f>
        <v/>
      </c>
      <c r="CA25" t="str">
        <f>IF(Sistema!CA25="","",Sistema!CA25)</f>
        <v/>
      </c>
      <c r="CB25" t="str">
        <f>IF(Sistema!CB25="","",Sistema!CB25)</f>
        <v/>
      </c>
      <c r="CC25" t="str">
        <f>IF(Sistema!CC25="","",Sistema!CC25)</f>
        <v/>
      </c>
      <c r="CD25" t="str">
        <f>IF(Sistema!CD25="","",Sistema!CD25)</f>
        <v/>
      </c>
    </row>
    <row r="26" spans="1:82" x14ac:dyDescent="0.25">
      <c r="A26">
        <f>IF(Sistema!A26="","",Sistema!A26)</f>
        <v>18048</v>
      </c>
      <c r="B26" t="str">
        <f>IF(Sistema!B26="","",Sistema!B26)</f>
        <v>simple</v>
      </c>
      <c r="C26" t="str">
        <f>IF(Sistema!C26="","",Sistema!C26)</f>
        <v>MKP0000000004</v>
      </c>
      <c r="D26" t="str">
        <f>IF(Sistema!D26="","",Sistema!D26)</f>
        <v/>
      </c>
      <c r="E26" t="str">
        <f>IF(Sistema!E26="","",Sistema!E26)</f>
        <v>Sram - Disco - de freno Centerline, 160mm, 6 tornillos - MKP - Desmontado, nunca usado</v>
      </c>
      <c r="F26">
        <f>IF(P26&gt;0,1,IF(Sistema!F26=0,-1,1))</f>
        <v>1</v>
      </c>
      <c r="G26">
        <f>Sistema!G26</f>
        <v>0</v>
      </c>
      <c r="H26" t="str">
        <f>IF(OR(R26="notify",R26=1),"visible",IF(OR(Sistema!F26=-1,Sistema!F26=0,ISNUMBER(SEARCH("PCK",E26))),"hidden",IF(P26&gt;0,"visible","hidden")))</f>
        <v>visible</v>
      </c>
      <c r="I26" t="str">
        <f>IF(B26="simple",IF(P26&gt;0,"",IF(R26="notify",Info!C$2,"")),IF(B26="variable",IF(P26&gt;0,"",IF(R26="notify",Info!C$4,"")),""))</f>
        <v/>
      </c>
      <c r="J26" t="str">
        <f>IF(Sistema!J26="","",Sistema!J26)</f>
        <v>El Sram Centerline 160 mm está diseñado para ofrecer una frenada suave, consistente y silenciosa, ideal tanto para MTB como para ruta o gravel. Su pista de frenado optimizada reduce vibraciones y mejora la modulación, logrando un rendimiento estable en todo momento.
Fabricado en acero de alta calidad, proporciona una excelente disipación de calor, ayudando a mantener la potencia de frenado incluso en uso prolongado. Sus bordes redondeados facilitan la instalación de la rueda y cumplen con normativas internacionales.
Características:
Diámetro: 160 mm
Montaje: 6 tornillos
Frenada suave, silenciosa y consistente
Excelente disipación de calor
Bordes redondeados para fácil instalación
Compatible con MTB, ruta y gravel
Una opción equilibrada para riders que buscan control, bajo ruido y rendimiento confiable.
*Sacado de una bicicleta NUEVA</v>
      </c>
      <c r="M26" t="str">
        <f>IF(Sistema!M26="","",Sistema!M26)</f>
        <v>taxable</v>
      </c>
      <c r="N26" s="6" t="s">
        <v>1557</v>
      </c>
      <c r="O26" s="6">
        <v>1</v>
      </c>
      <c r="P26">
        <f>Sistema!P26</f>
        <v>2</v>
      </c>
      <c r="Q26">
        <f>Sistema!Q26</f>
        <v>0</v>
      </c>
      <c r="R26">
        <f>IF(Sistema!R26=1,"notify",Sistema!R26)</f>
        <v>0</v>
      </c>
      <c r="T26" t="str">
        <f>IF(Sistema!T26="","",Sistema!T26)</f>
        <v/>
      </c>
      <c r="U26" t="str">
        <f>IF(Sistema!U26="","",Sistema!U26)</f>
        <v/>
      </c>
      <c r="V26" t="str">
        <f>IF(Sistema!V26="","",Sistema!V26)</f>
        <v/>
      </c>
      <c r="W26" t="str">
        <f>IF(Sistema!W26="","",Sistema!W26)</f>
        <v/>
      </c>
      <c r="X26" s="6">
        <v>1</v>
      </c>
      <c r="Z26">
        <f>IF(Sistema!Z26="","",Sistema!Z26)</f>
        <v>50</v>
      </c>
      <c r="AA26">
        <f>IF(Sistema!AA26="","",Sistema!AA26)</f>
        <v>80</v>
      </c>
      <c r="AB26" t="str">
        <f>IF(Sistema!AB26="","",IF(OR(ISNUMBER(SEARCH("MKP",E26)),ISNUMBER(SEARCH("MKP",C26))),"Marketplace &gt; "&amp;Sistema!AB26,Sistema!AB26))</f>
        <v>Marketplace &gt; Ciclismo &gt; Frenos &gt; Discos para frenos</v>
      </c>
      <c r="AC26" t="str">
        <f>IF(Sistema!AC26="","",Sistema!AC26)</f>
        <v/>
      </c>
      <c r="AE26" t="str">
        <f>IF(Sistema!AE26="","",Sistema!AE26)</f>
        <v>https://www.monark.com.pe/static/monark-pe/uploads/products/images/e53e2e7f-732210005.jpg, https://kuranko.pe/wp-content/uploads/2026/07/WhatsApp-Image-2026-07-24-at-7.19.59-PM-1.jpeg, https://kuranko.pe/wp-content/uploads/2026/07/WhatsApp-Image-2026-07-24-at-7.19.59-PM-2.jpeg</v>
      </c>
      <c r="AH26" t="str">
        <f>IF(Sistema!AH26="","",Sistema!AH26)</f>
        <v/>
      </c>
      <c r="AQ26" t="str">
        <f>IF(Sistema!AQ26="","",Sistema!AQ26)</f>
        <v/>
      </c>
      <c r="AR26" t="str">
        <f>IF(Sistema!AR26="","",Sistema!AR26)</f>
        <v/>
      </c>
      <c r="AS26" t="str">
        <f>IF(Sistema!AS26="","",Sistema!AS26)</f>
        <v/>
      </c>
      <c r="AT26" t="str">
        <f>IF(Sistema!AT26="","",Sistema!AT26)</f>
        <v/>
      </c>
      <c r="AU26" t="str">
        <f>IF(Sistema!AU26="","",Sistema!AU26)</f>
        <v/>
      </c>
      <c r="AV26" t="str">
        <f>IF(Sistema!AV26="","",Sistema!AV26)</f>
        <v/>
      </c>
      <c r="AW26" t="str">
        <f>IF(Sistema!AW26="","",Sistema!AW26)</f>
        <v/>
      </c>
      <c r="AX26" t="str">
        <f>IF(Sistema!AX26="","",Sistema!AX26)</f>
        <v/>
      </c>
      <c r="AY26" t="str">
        <f>IF(Sistema!AY26="","",Sistema!AY26)</f>
        <v/>
      </c>
      <c r="AZ26" t="str">
        <f>IF(Sistema!AZ26="","",Sistema!AZ26)</f>
        <v/>
      </c>
      <c r="BA26" t="str">
        <f>IF(Sistema!BA26="","",Sistema!BA26)</f>
        <v/>
      </c>
      <c r="BB26" t="str">
        <f>IF(Sistema!BB26="","",Sistema!BB26)</f>
        <v/>
      </c>
      <c r="BC26" t="str">
        <f>IF(Sistema!BC26="","",Sistema!BC26)</f>
        <v/>
      </c>
      <c r="BD26" t="str">
        <f>IF(Sistema!BD26="","",Sistema!BD26)</f>
        <v/>
      </c>
      <c r="BE26" t="str">
        <f>IF(Sistema!BE26="","",Sistema!BE26)</f>
        <v/>
      </c>
      <c r="BF26" t="str">
        <f>IF(Sistema!BF26="","",Sistema!BF26)</f>
        <v/>
      </c>
      <c r="BG26" t="str">
        <f>IF(Sistema!BG26="","",Sistema!BG26)</f>
        <v/>
      </c>
      <c r="BH26" t="str">
        <f>IF(Sistema!BH26="","",Sistema!BH26)</f>
        <v/>
      </c>
      <c r="BI26" t="str">
        <f>IF(Sistema!BI26="","",Sistema!BI26)</f>
        <v/>
      </c>
      <c r="BJ26" t="str">
        <f>IF(Sistema!BJ26="","",Sistema!BJ26)</f>
        <v/>
      </c>
      <c r="BK26" t="str">
        <f>IF(Sistema!BK26="","",Sistema!BK26)</f>
        <v/>
      </c>
      <c r="BL26" t="str">
        <f>IF(Sistema!BL26="","",Sistema!BL26)</f>
        <v/>
      </c>
      <c r="BM26" t="str">
        <f>IF(Sistema!BM26="","",Sistema!BM26)</f>
        <v/>
      </c>
      <c r="BN26" t="str">
        <f>IF(Sistema!BN26="","",Sistema!BN26)</f>
        <v/>
      </c>
      <c r="BO26" t="str">
        <f>IF(Sistema!BO26="","",Sistema!BO26)</f>
        <v/>
      </c>
      <c r="BP26" t="str">
        <f>IF(Sistema!BP26="","",Sistema!BP26)</f>
        <v/>
      </c>
      <c r="BQ26" t="str">
        <f>IF(Sistema!BQ26="","",Sistema!BQ26)</f>
        <v/>
      </c>
      <c r="BR26" t="str">
        <f>IF(Sistema!BR26="","",Sistema!BR26)</f>
        <v/>
      </c>
      <c r="BS26" t="str">
        <f>IF(Sistema!BS26="","",Sistema!BS26)</f>
        <v/>
      </c>
      <c r="BT26" t="str">
        <f>IF(Sistema!BT26="","",Sistema!BT26)</f>
        <v/>
      </c>
      <c r="BU26" t="str">
        <f>IF(Sistema!BU26="","",Sistema!BU26)</f>
        <v/>
      </c>
      <c r="BV26" t="str">
        <f>IF(Sistema!BV26="","",Sistema!BV26)</f>
        <v/>
      </c>
      <c r="BW26" t="str">
        <f>IF(Sistema!BW26="","",Sistema!BW26)</f>
        <v/>
      </c>
      <c r="BX26" t="str">
        <f>IF(Sistema!BX26="","",Sistema!BX26)</f>
        <v/>
      </c>
      <c r="BY26" t="str">
        <f>IF(Sistema!BY26="","",Sistema!BY26)</f>
        <v/>
      </c>
      <c r="BZ26" t="str">
        <f>IF(Sistema!BZ26="","",Sistema!BZ26)</f>
        <v/>
      </c>
      <c r="CA26" t="str">
        <f>IF(Sistema!CA26="","",Sistema!CA26)</f>
        <v/>
      </c>
      <c r="CB26" t="str">
        <f>IF(Sistema!CB26="","",Sistema!CB26)</f>
        <v/>
      </c>
      <c r="CC26" t="str">
        <f>IF(Sistema!CC26="","",Sistema!CC26)</f>
        <v/>
      </c>
      <c r="CD26" t="str">
        <f>IF(Sistema!CD26="","",Sistema!CD26)</f>
        <v/>
      </c>
    </row>
    <row r="27" spans="1:82" x14ac:dyDescent="0.25">
      <c r="A27">
        <f>IF(Sistema!A27="","",Sistema!A27)</f>
        <v>18049</v>
      </c>
      <c r="B27" t="str">
        <f>IF(Sistema!B27="","",Sistema!B27)</f>
        <v>simple</v>
      </c>
      <c r="C27" t="str">
        <f>IF(Sistema!C27="","",Sistema!C27)</f>
        <v>MKP00.5018.111.001</v>
      </c>
      <c r="D27" t="str">
        <f>IF(Sistema!D27="","",Sistema!D27)</f>
        <v/>
      </c>
      <c r="E27" t="str">
        <f>IF(Sistema!E27="","",Sistema!E27)</f>
        <v>Sram - Disco - de freno Centerline, 160mm, 6 tornillos - MKP - Usado</v>
      </c>
      <c r="F27">
        <f>IF(P27&gt;0,1,IF(Sistema!F27=0,-1,1))</f>
        <v>1</v>
      </c>
      <c r="G27">
        <f>Sistema!G27</f>
        <v>0</v>
      </c>
      <c r="H27" t="str">
        <f>IF(OR(R27="notify",R27=1),"visible",IF(OR(Sistema!F27=-1,Sistema!F27=0,ISNUMBER(SEARCH("PCK",E27))),"hidden",IF(P27&gt;0,"visible","hidden")))</f>
        <v>visible</v>
      </c>
      <c r="I27" t="str">
        <f>IF(B27="simple",IF(P27&gt;0,"",IF(R27="notify",Info!C$2,"")),IF(B27="variable",IF(P27&gt;0,"",IF(R27="notify",Info!C$4,"")),""))</f>
        <v/>
      </c>
      <c r="J27" t="str">
        <f>IF(Sistema!J27="","",Sistema!J27)</f>
        <v>&lt;p&gt;El Sram Centerline 160 mm está diseñado para ofrecer una frenada suave, consistente y silenciosa, ideal tanto para MTB como para ruta o gravel. Su pista de frenado optimizada reduce vibraciones y mejora la modulación, logrando un rendimiento estable en todo momento.Fabricado en acero de alta calidad, proporciona una excelente disipación de calor, ayudando a mantener la potencia de frenado incluso en uso prolongado. Sus bordes redondeados facilitan la instalación de la rueda y cumplen con normativas internacionales.Características:Diámetro: 160 mm&lt;br&gt;Montaje: 6 tornillos&lt;br&gt;Frenada suave, silenciosa y consistente&lt;br&gt;Excelente disipación de calor&lt;br&gt;Bordes redondeados para fácil instalación&lt;br&gt;Compatible con MTB, ruta y gravelUna opción equilibrada para riders que buscan control, bajo ruido y rendimiento confiable.&lt;br&gt;*Sacado de una bicicleta NUEVA&lt;/p&gt;</v>
      </c>
      <c r="M27" t="str">
        <f>IF(Sistema!M27="","",Sistema!M27)</f>
        <v>taxable</v>
      </c>
      <c r="N27" s="6" t="s">
        <v>1557</v>
      </c>
      <c r="O27" s="6">
        <v>1</v>
      </c>
      <c r="P27">
        <f>Sistema!P27</f>
        <v>2</v>
      </c>
      <c r="Q27">
        <f>Sistema!Q27</f>
        <v>0</v>
      </c>
      <c r="R27">
        <f>IF(Sistema!R27=1,"notify",Sistema!R27)</f>
        <v>0</v>
      </c>
      <c r="T27" t="str">
        <f>IF(Sistema!T27="","",Sistema!T27)</f>
        <v/>
      </c>
      <c r="U27" t="str">
        <f>IF(Sistema!U27="","",Sistema!U27)</f>
        <v/>
      </c>
      <c r="V27" t="str">
        <f>IF(Sistema!V27="","",Sistema!V27)</f>
        <v/>
      </c>
      <c r="W27" t="str">
        <f>IF(Sistema!W27="","",Sistema!W27)</f>
        <v/>
      </c>
      <c r="X27" s="6">
        <v>1</v>
      </c>
      <c r="Z27" t="str">
        <f>IF(Sistema!Z27="","",Sistema!Z27)</f>
        <v/>
      </c>
      <c r="AA27">
        <f>IF(Sistema!AA27="","",Sistema!AA27)</f>
        <v>40</v>
      </c>
      <c r="AB27" t="str">
        <f>IF(Sistema!AB27="","",IF(OR(ISNUMBER(SEARCH("MKP",E27)),ISNUMBER(SEARCH("MKP",C27))),"Marketplace &gt; "&amp;Sistema!AB27,Sistema!AB27))</f>
        <v>Marketplace &gt; Ciclismo &gt; Frenos &gt; Discos para frenos</v>
      </c>
      <c r="AC27" t="str">
        <f>IF(Sistema!AC27="","",Sistema!AC27)</f>
        <v/>
      </c>
      <c r="AE27" t="str">
        <f>IF(Sistema!AE27="","",Sistema!AE27)</f>
        <v>https://kuranko.pe/wp-content/uploads/2026/07/WhatsApp-Image-2026-07-24-at-7.19.59-PM-1.jpeg, https://kuranko.pe/wp-content/uploads/2026/07/WhatsApp-Image-2026-07-24-at-7.19.59-PM-2.jpeg</v>
      </c>
      <c r="AH27" t="str">
        <f>IF(Sistema!AH27="","",Sistema!AH27)</f>
        <v/>
      </c>
      <c r="AQ27" t="str">
        <f>IF(Sistema!AQ27="","",Sistema!AQ27)</f>
        <v/>
      </c>
      <c r="AR27" t="str">
        <f>IF(Sistema!AR27="","",Sistema!AR27)</f>
        <v/>
      </c>
      <c r="AS27" t="str">
        <f>IF(Sistema!AS27="","",Sistema!AS27)</f>
        <v/>
      </c>
      <c r="AT27" t="str">
        <f>IF(Sistema!AT27="","",Sistema!AT27)</f>
        <v/>
      </c>
      <c r="AU27" t="str">
        <f>IF(Sistema!AU27="","",Sistema!AU27)</f>
        <v/>
      </c>
      <c r="AV27" t="str">
        <f>IF(Sistema!AV27="","",Sistema!AV27)</f>
        <v/>
      </c>
      <c r="AW27" t="str">
        <f>IF(Sistema!AW27="","",Sistema!AW27)</f>
        <v/>
      </c>
      <c r="AX27" t="str">
        <f>IF(Sistema!AX27="","",Sistema!AX27)</f>
        <v/>
      </c>
      <c r="AY27" t="str">
        <f>IF(Sistema!AY27="","",Sistema!AY27)</f>
        <v/>
      </c>
      <c r="AZ27" t="str">
        <f>IF(Sistema!AZ27="","",Sistema!AZ27)</f>
        <v/>
      </c>
      <c r="BA27" t="str">
        <f>IF(Sistema!BA27="","",Sistema!BA27)</f>
        <v/>
      </c>
      <c r="BB27" t="str">
        <f>IF(Sistema!BB27="","",Sistema!BB27)</f>
        <v/>
      </c>
      <c r="BC27" t="str">
        <f>IF(Sistema!BC27="","",Sistema!BC27)</f>
        <v/>
      </c>
      <c r="BD27" t="str">
        <f>IF(Sistema!BD27="","",Sistema!BD27)</f>
        <v/>
      </c>
      <c r="BE27" t="str">
        <f>IF(Sistema!BE27="","",Sistema!BE27)</f>
        <v/>
      </c>
      <c r="BF27" t="str">
        <f>IF(Sistema!BF27="","",Sistema!BF27)</f>
        <v/>
      </c>
      <c r="BG27" t="str">
        <f>IF(Sistema!BG27="","",Sistema!BG27)</f>
        <v/>
      </c>
      <c r="BH27" t="str">
        <f>IF(Sistema!BH27="","",Sistema!BH27)</f>
        <v/>
      </c>
      <c r="BI27" t="str">
        <f>IF(Sistema!BI27="","",Sistema!BI27)</f>
        <v/>
      </c>
      <c r="BJ27" t="str">
        <f>IF(Sistema!BJ27="","",Sistema!BJ27)</f>
        <v/>
      </c>
      <c r="BK27" t="str">
        <f>IF(Sistema!BK27="","",Sistema!BK27)</f>
        <v/>
      </c>
      <c r="BL27" t="str">
        <f>IF(Sistema!BL27="","",Sistema!BL27)</f>
        <v/>
      </c>
      <c r="BM27" t="str">
        <f>IF(Sistema!BM27="","",Sistema!BM27)</f>
        <v/>
      </c>
      <c r="BN27" t="str">
        <f>IF(Sistema!BN27="","",Sistema!BN27)</f>
        <v/>
      </c>
      <c r="BO27" t="str">
        <f>IF(Sistema!BO27="","",Sistema!BO27)</f>
        <v/>
      </c>
      <c r="BP27" t="str">
        <f>IF(Sistema!BP27="","",Sistema!BP27)</f>
        <v/>
      </c>
      <c r="BQ27" t="str">
        <f>IF(Sistema!BQ27="","",Sistema!BQ27)</f>
        <v/>
      </c>
      <c r="BR27" t="str">
        <f>IF(Sistema!BR27="","",Sistema!BR27)</f>
        <v/>
      </c>
      <c r="BS27" t="str">
        <f>IF(Sistema!BS27="","",Sistema!BS27)</f>
        <v/>
      </c>
      <c r="BT27" t="str">
        <f>IF(Sistema!BT27="","",Sistema!BT27)</f>
        <v/>
      </c>
      <c r="BU27" t="str">
        <f>IF(Sistema!BU27="","",Sistema!BU27)</f>
        <v/>
      </c>
      <c r="BV27" t="str">
        <f>IF(Sistema!BV27="","",Sistema!BV27)</f>
        <v/>
      </c>
      <c r="BW27" t="str">
        <f>IF(Sistema!BW27="","",Sistema!BW27)</f>
        <v/>
      </c>
      <c r="BX27" t="str">
        <f>IF(Sistema!BX27="","",Sistema!BX27)</f>
        <v/>
      </c>
      <c r="BY27" t="str">
        <f>IF(Sistema!BY27="","",Sistema!BY27)</f>
        <v/>
      </c>
      <c r="BZ27" t="str">
        <f>IF(Sistema!BZ27="","",Sistema!BZ27)</f>
        <v/>
      </c>
      <c r="CA27" t="str">
        <f>IF(Sistema!CA27="","",Sistema!CA27)</f>
        <v/>
      </c>
      <c r="CB27" t="str">
        <f>IF(Sistema!CB27="","",Sistema!CB27)</f>
        <v/>
      </c>
      <c r="CC27" t="str">
        <f>IF(Sistema!CC27="","",Sistema!CC27)</f>
        <v/>
      </c>
      <c r="CD27" t="str">
        <f>IF(Sistema!CD27="","",Sistema!CD27)</f>
        <v/>
      </c>
    </row>
    <row r="28" spans="1:82" x14ac:dyDescent="0.25">
      <c r="A28">
        <f>IF(Sistema!A28="","",Sistema!A28)</f>
        <v>18052</v>
      </c>
      <c r="B28" t="str">
        <f>IF(Sistema!B28="","",Sistema!B28)</f>
        <v>simple</v>
      </c>
      <c r="C28" t="str">
        <f>IF(Sistema!C28="","",Sistema!C28)</f>
        <v>MKP0000000003</v>
      </c>
      <c r="D28" t="str">
        <f>IF(Sistema!D28="","",Sistema!D28)</f>
        <v/>
      </c>
      <c r="E28" t="str">
        <f>IF(Sistema!E28="","",Sistema!E28)</f>
        <v>Sram - Disco - de freno Centerline, 180mm, 6 tornillos - MKP - Desmontado, nunca usado</v>
      </c>
      <c r="F28">
        <f>IF(P28&gt;0,1,IF(Sistema!F28=0,-1,1))</f>
        <v>1</v>
      </c>
      <c r="G28">
        <f>Sistema!G28</f>
        <v>0</v>
      </c>
      <c r="H28" t="str">
        <f>IF(OR(R28="notify",R28=1),"visible",IF(OR(Sistema!F28=-1,Sistema!F28=0,ISNUMBER(SEARCH("PCK",E28))),"hidden",IF(P28&gt;0,"visible","hidden")))</f>
        <v>visible</v>
      </c>
      <c r="I28" t="str">
        <f>IF(B28="simple",IF(P28&gt;0,"",IF(R28="notify",Info!C$2,"")),IF(B28="variable",IF(P28&gt;0,"",IF(R28="notify",Info!C$4,"")),""))</f>
        <v/>
      </c>
      <c r="J28" t="str">
        <f>IF(Sistema!J28="","",Sistema!J28)</f>
        <v>El Sram Centerline 180 mm ofrece las mismas ventajas de la línea Centerline, pero con mayor diámetro para una mayor potencia de frenado y mejor gestión del calor, ideal para uso más agresivo o riders que buscan mayor seguridad en descensos largos.
Su diseño garantiza una frenada consistente, silenciosa y libre de vibraciones, mientras que su construcción en acero asegura durabilidad y rendimiento constante en condiciones exigentes.
Características:
Diámetro: 180 mm
Montaje: 6 tornillos
Mayor potencia y control de frenado
Excelente disipación de calor
Funcionamiento suave y silencioso
Compatible con MTB, Trail y Enduro
Ideal para quienes necesitan más potencia de frenado sin sacrificar control ni estabilidad
*Sacado de una bicicleta NUEVA</v>
      </c>
      <c r="M28" t="str">
        <f>IF(Sistema!M28="","",Sistema!M28)</f>
        <v>taxable</v>
      </c>
      <c r="N28" s="6" t="s">
        <v>1557</v>
      </c>
      <c r="O28" s="6">
        <v>1</v>
      </c>
      <c r="P28">
        <f>Sistema!P28</f>
        <v>1</v>
      </c>
      <c r="Q28">
        <f>Sistema!Q28</f>
        <v>0</v>
      </c>
      <c r="R28">
        <f>IF(Sistema!R28=1,"notify",Sistema!R28)</f>
        <v>0</v>
      </c>
      <c r="T28" t="str">
        <f>IF(Sistema!T28="","",Sistema!T28)</f>
        <v/>
      </c>
      <c r="U28" t="str">
        <f>IF(Sistema!U28="","",Sistema!U28)</f>
        <v/>
      </c>
      <c r="V28" t="str">
        <f>IF(Sistema!V28="","",Sistema!V28)</f>
        <v/>
      </c>
      <c r="W28" t="str">
        <f>IF(Sistema!W28="","",Sistema!W28)</f>
        <v/>
      </c>
      <c r="X28" s="6">
        <v>1</v>
      </c>
      <c r="Z28">
        <f>IF(Sistema!Z28="","",Sistema!Z28)</f>
        <v>50</v>
      </c>
      <c r="AA28">
        <f>IF(Sistema!AA28="","",Sistema!AA28)</f>
        <v>80</v>
      </c>
      <c r="AB28" t="str">
        <f>IF(Sistema!AB28="","",IF(OR(ISNUMBER(SEARCH("MKP",E28)),ISNUMBER(SEARCH("MKP",C28))),"Marketplace &gt; "&amp;Sistema!AB28,Sistema!AB28))</f>
        <v>Marketplace &gt; Ciclismo &gt; Frenos &gt; Discos para frenos</v>
      </c>
      <c r="AC28" t="str">
        <f>IF(Sistema!AC28="","",Sistema!AC28)</f>
        <v/>
      </c>
      <c r="AE28" t="str">
        <f>IF(Sistema!AE28="","",Sistema!AE28)</f>
        <v>https://bikeperushop.pe/wp-content/uploads/2022/12/FRENO-180MM.jpg</v>
      </c>
      <c r="AH28" t="str">
        <f>IF(Sistema!AH28="","",Sistema!AH28)</f>
        <v/>
      </c>
      <c r="AQ28" t="str">
        <f>IF(Sistema!AQ28="","",Sistema!AQ28)</f>
        <v/>
      </c>
      <c r="AR28" t="str">
        <f>IF(Sistema!AR28="","",Sistema!AR28)</f>
        <v/>
      </c>
      <c r="AS28" t="str">
        <f>IF(Sistema!AS28="","",Sistema!AS28)</f>
        <v/>
      </c>
      <c r="AT28" t="str">
        <f>IF(Sistema!AT28="","",Sistema!AT28)</f>
        <v/>
      </c>
      <c r="AU28" t="str">
        <f>IF(Sistema!AU28="","",Sistema!AU28)</f>
        <v/>
      </c>
      <c r="AV28" t="str">
        <f>IF(Sistema!AV28="","",Sistema!AV28)</f>
        <v/>
      </c>
      <c r="AW28" t="str">
        <f>IF(Sistema!AW28="","",Sistema!AW28)</f>
        <v/>
      </c>
      <c r="AX28" t="str">
        <f>IF(Sistema!AX28="","",Sistema!AX28)</f>
        <v/>
      </c>
      <c r="AY28" t="str">
        <f>IF(Sistema!AY28="","",Sistema!AY28)</f>
        <v/>
      </c>
      <c r="AZ28" t="str">
        <f>IF(Sistema!AZ28="","",Sistema!AZ28)</f>
        <v/>
      </c>
      <c r="BA28" t="str">
        <f>IF(Sistema!BA28="","",Sistema!BA28)</f>
        <v/>
      </c>
      <c r="BB28" t="str">
        <f>IF(Sistema!BB28="","",Sistema!BB28)</f>
        <v/>
      </c>
      <c r="BC28" t="str">
        <f>IF(Sistema!BC28="","",Sistema!BC28)</f>
        <v/>
      </c>
      <c r="BD28" t="str">
        <f>IF(Sistema!BD28="","",Sistema!BD28)</f>
        <v/>
      </c>
      <c r="BE28" t="str">
        <f>IF(Sistema!BE28="","",Sistema!BE28)</f>
        <v/>
      </c>
      <c r="BF28" t="str">
        <f>IF(Sistema!BF28="","",Sistema!BF28)</f>
        <v/>
      </c>
      <c r="BG28" t="str">
        <f>IF(Sistema!BG28="","",Sistema!BG28)</f>
        <v/>
      </c>
      <c r="BH28" t="str">
        <f>IF(Sistema!BH28="","",Sistema!BH28)</f>
        <v/>
      </c>
      <c r="BI28" t="str">
        <f>IF(Sistema!BI28="","",Sistema!BI28)</f>
        <v/>
      </c>
      <c r="BJ28" t="str">
        <f>IF(Sistema!BJ28="","",Sistema!BJ28)</f>
        <v/>
      </c>
      <c r="BK28" t="str">
        <f>IF(Sistema!BK28="","",Sistema!BK28)</f>
        <v/>
      </c>
      <c r="BL28" t="str">
        <f>IF(Sistema!BL28="","",Sistema!BL28)</f>
        <v/>
      </c>
      <c r="BM28" t="str">
        <f>IF(Sistema!BM28="","",Sistema!BM28)</f>
        <v/>
      </c>
      <c r="BN28" t="str">
        <f>IF(Sistema!BN28="","",Sistema!BN28)</f>
        <v/>
      </c>
      <c r="BO28" t="str">
        <f>IF(Sistema!BO28="","",Sistema!BO28)</f>
        <v/>
      </c>
      <c r="BP28" t="str">
        <f>IF(Sistema!BP28="","",Sistema!BP28)</f>
        <v/>
      </c>
      <c r="BQ28" t="str">
        <f>IF(Sistema!BQ28="","",Sistema!BQ28)</f>
        <v/>
      </c>
      <c r="BR28" t="str">
        <f>IF(Sistema!BR28="","",Sistema!BR28)</f>
        <v/>
      </c>
      <c r="BS28" t="str">
        <f>IF(Sistema!BS28="","",Sistema!BS28)</f>
        <v/>
      </c>
      <c r="BT28" t="str">
        <f>IF(Sistema!BT28="","",Sistema!BT28)</f>
        <v/>
      </c>
      <c r="BU28" t="str">
        <f>IF(Sistema!BU28="","",Sistema!BU28)</f>
        <v/>
      </c>
      <c r="BV28" t="str">
        <f>IF(Sistema!BV28="","",Sistema!BV28)</f>
        <v/>
      </c>
      <c r="BW28" t="str">
        <f>IF(Sistema!BW28="","",Sistema!BW28)</f>
        <v/>
      </c>
      <c r="BX28" t="str">
        <f>IF(Sistema!BX28="","",Sistema!BX28)</f>
        <v/>
      </c>
      <c r="BY28" t="str">
        <f>IF(Sistema!BY28="","",Sistema!BY28)</f>
        <v/>
      </c>
      <c r="BZ28" t="str">
        <f>IF(Sistema!BZ28="","",Sistema!BZ28)</f>
        <v/>
      </c>
      <c r="CA28" t="str">
        <f>IF(Sistema!CA28="","",Sistema!CA28)</f>
        <v/>
      </c>
      <c r="CB28" t="str">
        <f>IF(Sistema!CB28="","",Sistema!CB28)</f>
        <v/>
      </c>
      <c r="CC28" t="str">
        <f>IF(Sistema!CC28="","",Sistema!CC28)</f>
        <v/>
      </c>
      <c r="CD28" t="str">
        <f>IF(Sistema!CD28="","",Sistema!CD28)</f>
        <v/>
      </c>
    </row>
    <row r="29" spans="1:82" x14ac:dyDescent="0.25">
      <c r="A29">
        <f>IF(Sistema!A29="","",Sistema!A29)</f>
        <v>18055</v>
      </c>
      <c r="B29" t="str">
        <f>IF(Sistema!B29="","",Sistema!B29)</f>
        <v>simple</v>
      </c>
      <c r="C29" t="str">
        <f>IF(Sistema!C29="","",Sistema!C29)</f>
        <v>MKP0000000001</v>
      </c>
      <c r="D29" t="str">
        <f>IF(Sistema!D29="","",Sistema!D29)</f>
        <v/>
      </c>
      <c r="E29" t="str">
        <f>IF(Sistema!E29="","",Sistema!E29)</f>
        <v>Sram - Disco - de freno HS2, 200mm, 6 tornillos - MKP - Desmontado, nunca usado</v>
      </c>
      <c r="F29">
        <f>IF(P29&gt;0,1,IF(Sistema!F29=0,-1,1))</f>
        <v>1</v>
      </c>
      <c r="G29">
        <f>Sistema!G29</f>
        <v>0</v>
      </c>
      <c r="H29" t="str">
        <f>IF(OR(R29="notify",R29=1),"visible",IF(OR(Sistema!F29=-1,Sistema!F29=0,ISNUMBER(SEARCH("PCK",E29))),"hidden",IF(P29&gt;0,"visible","hidden")))</f>
        <v>visible</v>
      </c>
      <c r="I29" t="str">
        <f>IF(B29="simple",IF(P29&gt;0,"",IF(R29="notify",Info!C$2,"")),IF(B29="variable",IF(P29&gt;0,"",IF(R29="notify",Info!C$4,"")),""))</f>
        <v/>
      </c>
      <c r="J29" t="str">
        <f>IF(Sistema!J29="","",Sistema!J29)</f>
        <v>SRAM Disco de Freno - HS2 - 6-Agujero
El nuevo disco de freno HS2 es un disco de freno específico para bicicletas de montaña, diseñado para mejorar el rendimiento de la frenada al tiempo que reduce el ruido y optimiza la disipación del calor. Con un nuevo perfil para una mejor tracción de las pastillas de freno y radios empotrados con un revestimiento que disipa el calor, el HS2 es un disco de freno más potente y silencioso con la mejor gestión térmica de su clase.
Características del disco de freno HS2 de SRAM 
Rotor más grueso de 2,00 mm
Gestión térmica superior
7% más de potencia
Disponibles en 6 agujeros y en cierre central
*Sacado de una bicicleta NUEVA</v>
      </c>
      <c r="M29" t="str">
        <f>IF(Sistema!M29="","",Sistema!M29)</f>
        <v>taxable</v>
      </c>
      <c r="N29" s="6" t="s">
        <v>1557</v>
      </c>
      <c r="O29" s="6">
        <v>1</v>
      </c>
      <c r="P29">
        <f>Sistema!P29</f>
        <v>1</v>
      </c>
      <c r="Q29">
        <f>Sistema!Q29</f>
        <v>0</v>
      </c>
      <c r="R29">
        <f>IF(Sistema!R29=1,"notify",Sistema!R29)</f>
        <v>0</v>
      </c>
      <c r="T29" t="str">
        <f>IF(Sistema!T29="","",Sistema!T29)</f>
        <v/>
      </c>
      <c r="U29" t="str">
        <f>IF(Sistema!U29="","",Sistema!U29)</f>
        <v/>
      </c>
      <c r="V29" t="str">
        <f>IF(Sistema!V29="","",Sistema!V29)</f>
        <v/>
      </c>
      <c r="W29" t="str">
        <f>IF(Sistema!W29="","",Sistema!W29)</f>
        <v/>
      </c>
      <c r="X29" s="6">
        <v>1</v>
      </c>
      <c r="Z29">
        <f>IF(Sistema!Z29="","",Sistema!Z29)</f>
        <v>190</v>
      </c>
      <c r="AA29">
        <f>IF(Sistema!AA29="","",Sistema!AA29)</f>
        <v>190</v>
      </c>
      <c r="AB29" t="str">
        <f>IF(Sistema!AB29="","",IF(OR(ISNUMBER(SEARCH("MKP",E29)),ISNUMBER(SEARCH("MKP",C29))),"Marketplace &gt; "&amp;Sistema!AB29,Sistema!AB29))</f>
        <v>Marketplace &gt; Ciclismo &gt; Frenos &gt; Discos para frenos</v>
      </c>
      <c r="AC29" t="str">
        <f>IF(Sistema!AC29="","",Sistema!AC29)</f>
        <v/>
      </c>
      <c r="AE29" t="str">
        <f>IF(Sistema!AE29="","",Sistema!AE29)</f>
        <v>https://www.sram.com/globalassets/image-hierarchy/sram-product-root-images/rotors/rotors/rt-hs-2-a1/productassets_rt-hs-2-a1_fg/am-db-rotorbolts-hs2-200-rounded-c-side-s.png?w=800&amp;quality=90&amp;format=webp, https://kuranko.pe/wp-content/uploads/2026/07/WhatsApp-Image-2026-07-22-at-4.52.17-PM-2.jpeg, https://kuranko.pe/wp-content/uploads/2026/07/WhatsApp-Image-2026-07-22-at-4.52.17-PM-1.jpeg, https://kuranko.pe/wp-content/uploads/2026/07/WhatsApp-Image-2026-07-22-at-4.52.17-PM.jpeg</v>
      </c>
      <c r="AH29" t="str">
        <f>IF(Sistema!AH29="","",Sistema!AH29)</f>
        <v/>
      </c>
      <c r="AQ29" t="str">
        <f>IF(Sistema!AQ29="","",Sistema!AQ29)</f>
        <v/>
      </c>
      <c r="AR29" t="str">
        <f>IF(Sistema!AR29="","",Sistema!AR29)</f>
        <v/>
      </c>
      <c r="AS29" t="str">
        <f>IF(Sistema!AS29="","",Sistema!AS29)</f>
        <v/>
      </c>
      <c r="AT29" t="str">
        <f>IF(Sistema!AT29="","",Sistema!AT29)</f>
        <v/>
      </c>
      <c r="AU29" t="str">
        <f>IF(Sistema!AU29="","",Sistema!AU29)</f>
        <v/>
      </c>
      <c r="AV29" t="str">
        <f>IF(Sistema!AV29="","",Sistema!AV29)</f>
        <v/>
      </c>
      <c r="AW29" t="str">
        <f>IF(Sistema!AW29="","",Sistema!AW29)</f>
        <v/>
      </c>
      <c r="AX29" t="str">
        <f>IF(Sistema!AX29="","",Sistema!AX29)</f>
        <v/>
      </c>
      <c r="AY29" t="str">
        <f>IF(Sistema!AY29="","",Sistema!AY29)</f>
        <v/>
      </c>
      <c r="AZ29" t="str">
        <f>IF(Sistema!AZ29="","",Sistema!AZ29)</f>
        <v/>
      </c>
      <c r="BA29" t="str">
        <f>IF(Sistema!BA29="","",Sistema!BA29)</f>
        <v/>
      </c>
      <c r="BB29" t="str">
        <f>IF(Sistema!BB29="","",Sistema!BB29)</f>
        <v/>
      </c>
      <c r="BC29" t="str">
        <f>IF(Sistema!BC29="","",Sistema!BC29)</f>
        <v/>
      </c>
      <c r="BD29" t="str">
        <f>IF(Sistema!BD29="","",Sistema!BD29)</f>
        <v/>
      </c>
      <c r="BE29" t="str">
        <f>IF(Sistema!BE29="","",Sistema!BE29)</f>
        <v/>
      </c>
      <c r="BF29" t="str">
        <f>IF(Sistema!BF29="","",Sistema!BF29)</f>
        <v/>
      </c>
      <c r="BG29" t="str">
        <f>IF(Sistema!BG29="","",Sistema!BG29)</f>
        <v/>
      </c>
      <c r="BH29" t="str">
        <f>IF(Sistema!BH29="","",Sistema!BH29)</f>
        <v/>
      </c>
      <c r="BI29" t="str">
        <f>IF(Sistema!BI29="","",Sistema!BI29)</f>
        <v/>
      </c>
      <c r="BJ29" t="str">
        <f>IF(Sistema!BJ29="","",Sistema!BJ29)</f>
        <v/>
      </c>
      <c r="BK29" t="str">
        <f>IF(Sistema!BK29="","",Sistema!BK29)</f>
        <v/>
      </c>
      <c r="BL29" t="str">
        <f>IF(Sistema!BL29="","",Sistema!BL29)</f>
        <v/>
      </c>
      <c r="BM29" t="str">
        <f>IF(Sistema!BM29="","",Sistema!BM29)</f>
        <v/>
      </c>
      <c r="BN29" t="str">
        <f>IF(Sistema!BN29="","",Sistema!BN29)</f>
        <v/>
      </c>
      <c r="BO29" t="str">
        <f>IF(Sistema!BO29="","",Sistema!BO29)</f>
        <v/>
      </c>
      <c r="BP29" t="str">
        <f>IF(Sistema!BP29="","",Sistema!BP29)</f>
        <v/>
      </c>
      <c r="BQ29" t="str">
        <f>IF(Sistema!BQ29="","",Sistema!BQ29)</f>
        <v/>
      </c>
      <c r="BR29" t="str">
        <f>IF(Sistema!BR29="","",Sistema!BR29)</f>
        <v/>
      </c>
      <c r="BS29" t="str">
        <f>IF(Sistema!BS29="","",Sistema!BS29)</f>
        <v/>
      </c>
      <c r="BT29" t="str">
        <f>IF(Sistema!BT29="","",Sistema!BT29)</f>
        <v/>
      </c>
      <c r="BU29" t="str">
        <f>IF(Sistema!BU29="","",Sistema!BU29)</f>
        <v/>
      </c>
      <c r="BV29" t="str">
        <f>IF(Sistema!BV29="","",Sistema!BV29)</f>
        <v/>
      </c>
      <c r="BW29" t="str">
        <f>IF(Sistema!BW29="","",Sistema!BW29)</f>
        <v/>
      </c>
      <c r="BX29" t="str">
        <f>IF(Sistema!BX29="","",Sistema!BX29)</f>
        <v/>
      </c>
      <c r="BY29" t="str">
        <f>IF(Sistema!BY29="","",Sistema!BY29)</f>
        <v/>
      </c>
      <c r="BZ29" t="str">
        <f>IF(Sistema!BZ29="","",Sistema!BZ29)</f>
        <v/>
      </c>
      <c r="CA29" t="str">
        <f>IF(Sistema!CA29="","",Sistema!CA29)</f>
        <v/>
      </c>
      <c r="CB29" t="str">
        <f>IF(Sistema!CB29="","",Sistema!CB29)</f>
        <v/>
      </c>
      <c r="CC29" t="str">
        <f>IF(Sistema!CC29="","",Sistema!CC29)</f>
        <v/>
      </c>
      <c r="CD29" t="str">
        <f>IF(Sistema!CD29="","",Sistema!CD29)</f>
        <v/>
      </c>
    </row>
    <row r="30" spans="1:82" x14ac:dyDescent="0.25">
      <c r="A30">
        <f>IF(Sistema!A30="","",Sistema!A30)</f>
        <v>18103</v>
      </c>
      <c r="B30" t="str">
        <f>IF(Sistema!B30="","",Sistema!B30)</f>
        <v>simple</v>
      </c>
      <c r="C30" t="str">
        <f>IF(Sistema!C30="","",Sistema!C30)</f>
        <v>MKP0000000002</v>
      </c>
      <c r="D30" t="str">
        <f>IF(Sistema!D30="","",Sistema!D30)</f>
        <v/>
      </c>
      <c r="E30" t="str">
        <f>IF(Sistema!E30="","",Sistema!E30)</f>
        <v>Sram - Freno - Level, caliper de 2 pistones, delantero y posterior - MKP - Desmontado, nunca usado</v>
      </c>
      <c r="F30">
        <f>IF(P30&gt;0,1,IF(Sistema!F30=0,-1,1))</f>
        <v>1</v>
      </c>
      <c r="G30">
        <f>Sistema!G30</f>
        <v>0</v>
      </c>
      <c r="H30" t="str">
        <f>IF(OR(R30="notify",R30=1),"visible",IF(OR(Sistema!F30=-1,Sistema!F30=0,ISNUMBER(SEARCH("PCK",E30))),"hidden",IF(P30&gt;0,"visible","hidden")))</f>
        <v>visible</v>
      </c>
      <c r="I30" t="str">
        <f>IF(B30="simple",IF(P30&gt;0,"",IF(R30="notify",Info!C$2,"")),IF(B30="variable",IF(P30&gt;0,"",IF(R30="notify",Info!C$4,"")),""))</f>
        <v/>
      </c>
      <c r="J30" t="str">
        <f>IF(Sistema!J30="","",Sistema!J30)</f>
        <v>Sram Freno Level, Caliper de 2 Pistones
El Sram Level con caliper de 2 pistones está diseñado para ofrecer una frenada ligera, precisa y eficiente, ideal para XC y Trail donde el peso y el control son clave.
Su construcción en aluminio proporciona una excelente relación entre ligereza y resistencia, mientras que su sistema hidráulico ofrece una frenada progresiva y con buena modulación, permitiendo dosificar la potencia con precisión en todo momento. Está pensado para un rendimiento moderno en MTB, manteniendo un balance perfecto entre potencia y peso.
Gracias a su diseño optimizado, es un freno ideal para riders que buscan control, consistencia y bajo peso en recorridos técnicos y subidas exigentes.
Características:
Caliper de 2 pistones
Construcción en aluminio
Frenada progresiva y controlable
Excelente relación peso / rendimiento
Uso: XC y Trail
Una opción confiable para quienes priorizan ligereza, precisión y eficiencia en su bicicleta.
*Sacado de una bicicleta NUEVA</v>
      </c>
      <c r="M30" t="str">
        <f>IF(Sistema!M30="","",Sistema!M30)</f>
        <v>taxable</v>
      </c>
      <c r="N30" s="6" t="s">
        <v>1557</v>
      </c>
      <c r="O30" s="6">
        <v>1</v>
      </c>
      <c r="P30">
        <f>Sistema!P30</f>
        <v>1</v>
      </c>
      <c r="Q30">
        <f>Sistema!Q30</f>
        <v>0</v>
      </c>
      <c r="R30">
        <f>IF(Sistema!R30=1,"notify",Sistema!R30)</f>
        <v>0</v>
      </c>
      <c r="T30" t="str">
        <f>IF(Sistema!T30="","",Sistema!T30)</f>
        <v/>
      </c>
      <c r="U30" t="str">
        <f>IF(Sistema!U30="","",Sistema!U30)</f>
        <v/>
      </c>
      <c r="V30" t="str">
        <f>IF(Sistema!V30="","",Sistema!V30)</f>
        <v/>
      </c>
      <c r="W30" t="str">
        <f>IF(Sistema!W30="","",Sistema!W30)</f>
        <v/>
      </c>
      <c r="X30" s="6">
        <v>1</v>
      </c>
      <c r="Z30">
        <f>IF(Sistema!Z30="","",Sistema!Z30)</f>
        <v>350</v>
      </c>
      <c r="AA30">
        <f>IF(Sistema!AA30="","",Sistema!AA30)</f>
        <v>350</v>
      </c>
      <c r="AB30" t="str">
        <f>IF(Sistema!AB30="","",IF(OR(ISNUMBER(SEARCH("MKP",E30)),ISNUMBER(SEARCH("MKP",C30))),"Marketplace &gt; "&amp;Sistema!AB30,Sistema!AB30))</f>
        <v>Marketplace &gt; Ciclismo &gt; Frenos &gt; Frenos de disco y aro</v>
      </c>
      <c r="AC30" t="str">
        <f>IF(Sistema!AC30="","",Sistema!AC30)</f>
        <v/>
      </c>
      <c r="AE30" t="str">
        <f>IF(Sistema!AE30="","",Sistema!AE30)</f>
        <v/>
      </c>
      <c r="AH30" t="str">
        <f>IF(Sistema!AH30="","",Sistema!AH30)</f>
        <v/>
      </c>
      <c r="AQ30" t="str">
        <f>IF(Sistema!AQ30="","",Sistema!AQ30)</f>
        <v/>
      </c>
      <c r="AR30" t="str">
        <f>IF(Sistema!AR30="","",Sistema!AR30)</f>
        <v/>
      </c>
      <c r="AS30" t="str">
        <f>IF(Sistema!AS30="","",Sistema!AS30)</f>
        <v/>
      </c>
      <c r="AT30" t="str">
        <f>IF(Sistema!AT30="","",Sistema!AT30)</f>
        <v/>
      </c>
      <c r="AU30" t="str">
        <f>IF(Sistema!AU30="","",Sistema!AU30)</f>
        <v/>
      </c>
      <c r="AV30" t="str">
        <f>IF(Sistema!AV30="","",Sistema!AV30)</f>
        <v/>
      </c>
      <c r="AW30" t="str">
        <f>IF(Sistema!AW30="","",Sistema!AW30)</f>
        <v/>
      </c>
      <c r="AX30" t="str">
        <f>IF(Sistema!AX30="","",Sistema!AX30)</f>
        <v/>
      </c>
      <c r="AY30" t="str">
        <f>IF(Sistema!AY30="","",Sistema!AY30)</f>
        <v/>
      </c>
      <c r="AZ30" t="str">
        <f>IF(Sistema!AZ30="","",Sistema!AZ30)</f>
        <v/>
      </c>
      <c r="BA30" t="str">
        <f>IF(Sistema!BA30="","",Sistema!BA30)</f>
        <v/>
      </c>
      <c r="BB30" t="str">
        <f>IF(Sistema!BB30="","",Sistema!BB30)</f>
        <v/>
      </c>
      <c r="BC30" t="str">
        <f>IF(Sistema!BC30="","",Sistema!BC30)</f>
        <v/>
      </c>
      <c r="BD30" t="str">
        <f>IF(Sistema!BD30="","",Sistema!BD30)</f>
        <v/>
      </c>
      <c r="BE30" t="str">
        <f>IF(Sistema!BE30="","",Sistema!BE30)</f>
        <v/>
      </c>
      <c r="BF30" t="str">
        <f>IF(Sistema!BF30="","",Sistema!BF30)</f>
        <v/>
      </c>
      <c r="BG30" t="str">
        <f>IF(Sistema!BG30="","",Sistema!BG30)</f>
        <v/>
      </c>
      <c r="BH30" t="str">
        <f>IF(Sistema!BH30="","",Sistema!BH30)</f>
        <v/>
      </c>
      <c r="BI30" t="str">
        <f>IF(Sistema!BI30="","",Sistema!BI30)</f>
        <v/>
      </c>
      <c r="BJ30" t="str">
        <f>IF(Sistema!BJ30="","",Sistema!BJ30)</f>
        <v/>
      </c>
      <c r="BK30" t="str">
        <f>IF(Sistema!BK30="","",Sistema!BK30)</f>
        <v/>
      </c>
      <c r="BL30" t="str">
        <f>IF(Sistema!BL30="","",Sistema!BL30)</f>
        <v/>
      </c>
      <c r="BM30" t="str">
        <f>IF(Sistema!BM30="","",Sistema!BM30)</f>
        <v/>
      </c>
      <c r="BN30" t="str">
        <f>IF(Sistema!BN30="","",Sistema!BN30)</f>
        <v/>
      </c>
      <c r="BO30" t="str">
        <f>IF(Sistema!BO30="","",Sistema!BO30)</f>
        <v/>
      </c>
      <c r="BP30" t="str">
        <f>IF(Sistema!BP30="","",Sistema!BP30)</f>
        <v/>
      </c>
      <c r="BQ30" t="str">
        <f>IF(Sistema!BQ30="","",Sistema!BQ30)</f>
        <v/>
      </c>
      <c r="BR30" t="str">
        <f>IF(Sistema!BR30="","",Sistema!BR30)</f>
        <v/>
      </c>
      <c r="BS30" t="str">
        <f>IF(Sistema!BS30="","",Sistema!BS30)</f>
        <v/>
      </c>
      <c r="BT30" t="str">
        <f>IF(Sistema!BT30="","",Sistema!BT30)</f>
        <v/>
      </c>
      <c r="BU30" t="str">
        <f>IF(Sistema!BU30="","",Sistema!BU30)</f>
        <v/>
      </c>
      <c r="BV30" t="str">
        <f>IF(Sistema!BV30="","",Sistema!BV30)</f>
        <v/>
      </c>
      <c r="BW30" t="str">
        <f>IF(Sistema!BW30="","",Sistema!BW30)</f>
        <v/>
      </c>
      <c r="BX30" t="str">
        <f>IF(Sistema!BX30="","",Sistema!BX30)</f>
        <v/>
      </c>
      <c r="BY30" t="str">
        <f>IF(Sistema!BY30="","",Sistema!BY30)</f>
        <v/>
      </c>
      <c r="BZ30" t="str">
        <f>IF(Sistema!BZ30="","",Sistema!BZ30)</f>
        <v/>
      </c>
      <c r="CA30" t="str">
        <f>IF(Sistema!CA30="","",Sistema!CA30)</f>
        <v/>
      </c>
      <c r="CB30" t="str">
        <f>IF(Sistema!CB30="","",Sistema!CB30)</f>
        <v/>
      </c>
      <c r="CC30" t="str">
        <f>IF(Sistema!CC30="","",Sistema!CC30)</f>
        <v/>
      </c>
      <c r="CD30" t="str">
        <f>IF(Sistema!CD30="","",Sistema!CD30)</f>
        <v/>
      </c>
    </row>
    <row r="31" spans="1:82" x14ac:dyDescent="0.25">
      <c r="A31">
        <f>IF(Sistema!A31="","",Sistema!A31)</f>
        <v>18056</v>
      </c>
      <c r="B31" t="str">
        <f>IF(Sistema!B31="","",Sistema!B31)</f>
        <v>simple</v>
      </c>
      <c r="C31" t="str">
        <f>IF(Sistema!C31="","",Sistema!C31)</f>
        <v>SRA720131MKP</v>
      </c>
      <c r="D31" t="str">
        <f>IF(Sistema!D31="","",Sistema!D31)</f>
        <v/>
      </c>
      <c r="E31" t="str">
        <f>IF(Sistema!E31="","",Sistema!E31)</f>
        <v>Sram - Juego de frenos - Motive Silver Stealth, caliper de 4 pistones -MKP -Desmontado, nunca usado</v>
      </c>
      <c r="F31">
        <f>IF(P31&gt;0,1,IF(Sistema!F31=0,-1,1))</f>
        <v>1</v>
      </c>
      <c r="G31">
        <f>Sistema!G31</f>
        <v>0</v>
      </c>
      <c r="H31" t="str">
        <f>IF(OR(R31="notify",R31=1),"visible",IF(OR(Sistema!F31=-1,Sistema!F31=0,ISNUMBER(SEARCH("PCK",E31))),"hidden",IF(P31&gt;0,"visible","hidden")))</f>
        <v>visible</v>
      </c>
      <c r="I31" t="str">
        <f>IF(B31="simple",IF(P31&gt;0,"",IF(R31="notify",Info!C$2,"")),IF(B31="variable",IF(P31&gt;0,"",IF(R31="notify",Info!C$4,"")),""))</f>
        <v/>
      </c>
      <c r="J31" t="str">
        <f>IF(Sistema!J31="","",Sistema!J31)</f>
        <v>&lt;p&gt;El juego de frenos &lt;strong&gt;SRAM Motive Silver Stealth&lt;/strong&gt; ha sido desarrollado para satisfacer las exigencias del XC moderno y el trail, ofreciendo una combinación excepcional de potencia, bajo peso y control. Inspirado en la reconocida plataforma Code, incorpora una pinza de &lt;strong&gt;4 pistones&lt;/strong&gt; que proporciona una frenada potente y modulable, ideal para bicicletas de alto rendimiento y los senderos más exigentes.&lt;/p&gt;&lt;p&gt;Su diseño &lt;strong&gt;Stealth&lt;/strong&gt; integra las mangueras de forma más limpia en el cockpit y complementa perfectamente las transmisiones SRAM AXS. La maneta de aluminio con pivote sobre rodamiento ofrece un accionamiento suave y preciso, mientras que el ajuste de alcance sin herramientas permite personalizar la ergonomía rápidamente. Además, utiliza &lt;strong&gt;aceite mineral SRAM&lt;/strong&gt;, reduciendo el mantenimiento y mejorando la consistencia del rendimiento en todo tipo de condiciones.&lt;/p&gt;&lt;p&gt;&lt;strong&gt;🛠️ Especificaciones:&lt;/strong&gt;&lt;/p&gt;&lt;ul&gt;&lt;li&gt;&lt;p&gt;Tipo: Juego de frenos hidráulicos MTB (delantero y posterior)&lt;/p&gt;&lt;/li&gt;&lt;li&gt;&lt;p&gt;Pinza: 4 pistones&lt;/p&gt;&lt;/li&gt;&lt;li&gt;&lt;p&gt;Diseño: Stealth&lt;/p&gt;&lt;/li&gt;&lt;li&gt;&lt;p&gt;Material de la maneta: Aluminio&lt;/p&gt;&lt;/li&gt;&lt;li&gt;&lt;p&gt;Pivote de la maneta: Rodamiento&lt;/p&gt;&lt;/li&gt;&lt;li&gt;&lt;p&gt;Ajuste de alcance: Sin herramientas&lt;/p&gt;&lt;/li&gt;&lt;li&gt;&lt;p&gt;Líquido de frenos: Aceite mineral SRAM&lt;/p&gt;&lt;/li&gt;&lt;li&gt;&lt;p&gt;Puerto de purga: Bleeding Edge&lt;/p&gt;&lt;/li&gt;&lt;li&gt;&lt;p&gt;Color: Negro anodizado brillante&lt;/p&gt;&lt;/li&gt;&lt;li&gt;&lt;p&gt;Uso recomendado: XC / Down Country / Trail&lt;/p&gt;&lt;/li&gt;&lt;/ul&gt;</v>
      </c>
      <c r="M31" t="str">
        <f>IF(Sistema!M31="","",Sistema!M31)</f>
        <v>taxable</v>
      </c>
      <c r="N31" s="6" t="s">
        <v>1557</v>
      </c>
      <c r="O31" s="6">
        <v>1</v>
      </c>
      <c r="P31">
        <f>Sistema!P31</f>
        <v>1</v>
      </c>
      <c r="Q31">
        <f>Sistema!Q31</f>
        <v>0</v>
      </c>
      <c r="R31">
        <f>IF(Sistema!R31=1,"notify",Sistema!R31)</f>
        <v>0</v>
      </c>
      <c r="T31" t="str">
        <f>IF(Sistema!T31="","",Sistema!T31)</f>
        <v/>
      </c>
      <c r="U31" t="str">
        <f>IF(Sistema!U31="","",Sistema!U31)</f>
        <v/>
      </c>
      <c r="V31" t="str">
        <f>IF(Sistema!V31="","",Sistema!V31)</f>
        <v/>
      </c>
      <c r="W31" t="str">
        <f>IF(Sistema!W31="","",Sistema!W31)</f>
        <v/>
      </c>
      <c r="X31" s="6">
        <v>1</v>
      </c>
      <c r="Z31" t="str">
        <f>IF(Sistema!Z31="","",Sistema!Z31)</f>
        <v/>
      </c>
      <c r="AA31">
        <f>IF(Sistema!AA31="","",Sistema!AA31)</f>
        <v>1200</v>
      </c>
      <c r="AB31" t="str">
        <f>IF(Sistema!AB31="","",IF(OR(ISNUMBER(SEARCH("MKP",E31)),ISNUMBER(SEARCH("MKP",C31))),"Marketplace &gt; "&amp;Sistema!AB31,Sistema!AB31))</f>
        <v>Marketplace &gt; Ciclismo &gt; Frenos &gt; Frenos de disco y aro</v>
      </c>
      <c r="AC31" t="str">
        <f>IF(Sistema!AC31="","",Sistema!AC31)</f>
        <v/>
      </c>
      <c r="AE31" t="str">
        <f>IF(Sistema!AE31="","",Sistema!AE31)</f>
        <v>https://kuranko.pe/wp-content/uploads/2026/09/WhatsApp-Image-2026-09-19-at-2.34.46-PM.jpeg, https://kuranko.pe/wp-content/uploads/2026/09/WhatsApp-Image-2026-09-19-at-2.34.48-PM.jpeg, https://kuranko.pe/wp-content/uploads/2026/09/WhatsApp-Image-2026-09-19-at-2.34.49-PM.jpeg, https://kuranko.pe/wp-content/uploads/2026/09/WhatsApp-Image-2026-09-19-at-2.34.44-PM-1.jpeg, https://kuranko.pe/wp-content/uploads/2026/09/WhatsApp-Image-2026-09-19-at-2.34.44-PM.jpeg</v>
      </c>
      <c r="AH31" t="str">
        <f>IF(Sistema!AH31="","",Sistema!AH31)</f>
        <v/>
      </c>
      <c r="AQ31" t="str">
        <f>IF(Sistema!AQ31="","",Sistema!AQ31)</f>
        <v/>
      </c>
      <c r="AR31" t="str">
        <f>IF(Sistema!AR31="","",Sistema!AR31)</f>
        <v/>
      </c>
      <c r="AS31" t="str">
        <f>IF(Sistema!AS31="","",Sistema!AS31)</f>
        <v/>
      </c>
      <c r="AT31" t="str">
        <f>IF(Sistema!AT31="","",Sistema!AT31)</f>
        <v/>
      </c>
      <c r="AU31" t="str">
        <f>IF(Sistema!AU31="","",Sistema!AU31)</f>
        <v/>
      </c>
      <c r="AV31" t="str">
        <f>IF(Sistema!AV31="","",Sistema!AV31)</f>
        <v/>
      </c>
      <c r="AW31" t="str">
        <f>IF(Sistema!AW31="","",Sistema!AW31)</f>
        <v/>
      </c>
      <c r="AX31" t="str">
        <f>IF(Sistema!AX31="","",Sistema!AX31)</f>
        <v/>
      </c>
      <c r="AY31" t="str">
        <f>IF(Sistema!AY31="","",Sistema!AY31)</f>
        <v/>
      </c>
      <c r="AZ31" t="str">
        <f>IF(Sistema!AZ31="","",Sistema!AZ31)</f>
        <v/>
      </c>
      <c r="BA31" t="str">
        <f>IF(Sistema!BA31="","",Sistema!BA31)</f>
        <v/>
      </c>
      <c r="BB31" t="str">
        <f>IF(Sistema!BB31="","",Sistema!BB31)</f>
        <v/>
      </c>
      <c r="BC31" t="str">
        <f>IF(Sistema!BC31="","",Sistema!BC31)</f>
        <v/>
      </c>
      <c r="BD31" t="str">
        <f>IF(Sistema!BD31="","",Sistema!BD31)</f>
        <v/>
      </c>
      <c r="BE31" t="str">
        <f>IF(Sistema!BE31="","",Sistema!BE31)</f>
        <v/>
      </c>
      <c r="BF31" t="str">
        <f>IF(Sistema!BF31="","",Sistema!BF31)</f>
        <v/>
      </c>
      <c r="BG31" t="str">
        <f>IF(Sistema!BG31="","",Sistema!BG31)</f>
        <v/>
      </c>
      <c r="BH31" t="str">
        <f>IF(Sistema!BH31="","",Sistema!BH31)</f>
        <v/>
      </c>
      <c r="BI31" t="str">
        <f>IF(Sistema!BI31="","",Sistema!BI31)</f>
        <v/>
      </c>
      <c r="BJ31" t="str">
        <f>IF(Sistema!BJ31="","",Sistema!BJ31)</f>
        <v/>
      </c>
      <c r="BK31" t="str">
        <f>IF(Sistema!BK31="","",Sistema!BK31)</f>
        <v/>
      </c>
      <c r="BL31" t="str">
        <f>IF(Sistema!BL31="","",Sistema!BL31)</f>
        <v/>
      </c>
      <c r="BM31" t="str">
        <f>IF(Sistema!BM31="","",Sistema!BM31)</f>
        <v/>
      </c>
      <c r="BN31" t="str">
        <f>IF(Sistema!BN31="","",Sistema!BN31)</f>
        <v/>
      </c>
      <c r="BO31" t="str">
        <f>IF(Sistema!BO31="","",Sistema!BO31)</f>
        <v/>
      </c>
      <c r="BP31" t="str">
        <f>IF(Sistema!BP31="","",Sistema!BP31)</f>
        <v/>
      </c>
      <c r="BQ31" t="str">
        <f>IF(Sistema!BQ31="","",Sistema!BQ31)</f>
        <v/>
      </c>
      <c r="BR31" t="str">
        <f>IF(Sistema!BR31="","",Sistema!BR31)</f>
        <v/>
      </c>
      <c r="BS31" t="str">
        <f>IF(Sistema!BS31="","",Sistema!BS31)</f>
        <v/>
      </c>
      <c r="BT31" t="str">
        <f>IF(Sistema!BT31="","",Sistema!BT31)</f>
        <v/>
      </c>
      <c r="BU31" t="str">
        <f>IF(Sistema!BU31="","",Sistema!BU31)</f>
        <v/>
      </c>
      <c r="BV31" t="str">
        <f>IF(Sistema!BV31="","",Sistema!BV31)</f>
        <v/>
      </c>
      <c r="BW31" t="str">
        <f>IF(Sistema!BW31="","",Sistema!BW31)</f>
        <v/>
      </c>
      <c r="BX31" t="str">
        <f>IF(Sistema!BX31="","",Sistema!BX31)</f>
        <v/>
      </c>
      <c r="BY31" t="str">
        <f>IF(Sistema!BY31="","",Sistema!BY31)</f>
        <v/>
      </c>
      <c r="BZ31" t="str">
        <f>IF(Sistema!BZ31="","",Sistema!BZ31)</f>
        <v/>
      </c>
      <c r="CA31" t="str">
        <f>IF(Sistema!CA31="","",Sistema!CA31)</f>
        <v/>
      </c>
      <c r="CB31" t="str">
        <f>IF(Sistema!CB31="","",Sistema!CB31)</f>
        <v/>
      </c>
      <c r="CC31" t="str">
        <f>IF(Sistema!CC31="","",Sistema!CC31)</f>
        <v/>
      </c>
      <c r="CD31" t="str">
        <f>IF(Sistema!CD31="","",Sistema!CD31)</f>
        <v/>
      </c>
    </row>
    <row r="32" spans="1:82" x14ac:dyDescent="0.25">
      <c r="A32">
        <f>IF(Sistema!A32="","",Sistema!A32)</f>
        <v>18060</v>
      </c>
      <c r="B32" t="str">
        <f>IF(Sistema!B32="","",Sistema!B32)</f>
        <v>simple</v>
      </c>
      <c r="C32" t="str">
        <f>IF(Sistema!C32="","",Sistema!C32)</f>
        <v>MKP0000000024</v>
      </c>
      <c r="D32" t="str">
        <f>IF(Sistema!D32="","",Sistema!D32)</f>
        <v/>
      </c>
      <c r="E32" t="str">
        <f>IF(Sistema!E32="","",Sistema!E32)</f>
        <v>Sram - Piñon - NX Eagle PG-1230 11-50 12V - MKP - Desmontado, nunca usado</v>
      </c>
      <c r="F32">
        <f>IF(P32&gt;0,1,IF(Sistema!F32=0,-1,1))</f>
        <v>1</v>
      </c>
      <c r="G32">
        <f>Sistema!G32</f>
        <v>0</v>
      </c>
      <c r="H32" t="str">
        <f>IF(OR(R32="notify",R32=1),"visible",IF(OR(Sistema!F32=-1,Sistema!F32=0,ISNUMBER(SEARCH("PCK",E32))),"hidden",IF(P32&gt;0,"visible","hidden")))</f>
        <v>visible</v>
      </c>
      <c r="I32" t="str">
        <f>IF(B32="simple",IF(P32&gt;0,"",IF(R32="notify",Info!C$2,"")),IF(B32="variable",IF(P32&gt;0,"",IF(R32="notify",Info!C$4,"")),""))</f>
        <v/>
      </c>
      <c r="J32" t="str">
        <f>IF(Sistema!J32="","",Sistema!J32)</f>
        <v>Características:
- 12 velocidades
- Compatibles con núcleos estriados de 8, 9 y 10 velocidades
- Rango de piñones: 11-13-15-17-19-22-25-28-32-36-42-50
- Peso: 615 g
- Compatible con todos los grupos SRAM Eagle</v>
      </c>
      <c r="M32" t="str">
        <f>IF(Sistema!M32="","",Sistema!M32)</f>
        <v>taxable</v>
      </c>
      <c r="N32" s="6" t="s">
        <v>1557</v>
      </c>
      <c r="O32" s="6">
        <v>1</v>
      </c>
      <c r="P32">
        <f>Sistema!P32</f>
        <v>1</v>
      </c>
      <c r="Q32">
        <f>Sistema!Q32</f>
        <v>0</v>
      </c>
      <c r="R32">
        <f>IF(Sistema!R32=1,"notify",Sistema!R32)</f>
        <v>0</v>
      </c>
      <c r="T32" t="str">
        <f>IF(Sistema!T32="","",Sistema!T32)</f>
        <v/>
      </c>
      <c r="U32" t="str">
        <f>IF(Sistema!U32="","",Sistema!U32)</f>
        <v/>
      </c>
      <c r="V32" t="str">
        <f>IF(Sistema!V32="","",Sistema!V32)</f>
        <v/>
      </c>
      <c r="W32" t="str">
        <f>IF(Sistema!W32="","",Sistema!W32)</f>
        <v/>
      </c>
      <c r="X32" s="6">
        <v>1</v>
      </c>
      <c r="Z32">
        <f>IF(Sistema!Z32="","",Sistema!Z32)</f>
        <v>400</v>
      </c>
      <c r="AA32">
        <f>IF(Sistema!AA32="","",Sistema!AA32)</f>
        <v>400</v>
      </c>
      <c r="AB32" t="str">
        <f>IF(Sistema!AB32="","",IF(OR(ISNUMBER(SEARCH("MKP",E32)),ISNUMBER(SEARCH("MKP",C32))),"Marketplace &gt; "&amp;Sistema!AB32,Sistema!AB32))</f>
        <v>Marketplace &gt; Ciclismo &gt; Transmisión &gt; Piñones</v>
      </c>
      <c r="AC32" t="str">
        <f>IF(Sistema!AC32="","",Sistema!AC32)</f>
        <v/>
      </c>
      <c r="AE32" t="str">
        <f>IF(Sistema!AE32="","",Sistema!AE32)</f>
        <v>https://kuranko.pe/wp-content/uploads/2026/07/WhatsApp-Image-2026-07-24-at-7.19.59-PM.jpeg, https://kuranko.pe/wp-content/uploads/2026/07/WhatsApp-Image-2026-07-24-at-7.19.58-PM.jpeg, https://kuranko.pe/wp-content/uploads/2026/07/WhatsApp-Image-2026-07-24-at-7.19.57-PM-3.jpeg</v>
      </c>
      <c r="AH32" t="str">
        <f>IF(Sistema!AH32="","",Sistema!AH32)</f>
        <v/>
      </c>
      <c r="AQ32" t="str">
        <f>IF(Sistema!AQ32="","",Sistema!AQ32)</f>
        <v/>
      </c>
      <c r="AR32" t="str">
        <f>IF(Sistema!AR32="","",Sistema!AR32)</f>
        <v/>
      </c>
      <c r="AS32" t="str">
        <f>IF(Sistema!AS32="","",Sistema!AS32)</f>
        <v/>
      </c>
      <c r="AT32" t="str">
        <f>IF(Sistema!AT32="","",Sistema!AT32)</f>
        <v/>
      </c>
      <c r="AU32" t="str">
        <f>IF(Sistema!AU32="","",Sistema!AU32)</f>
        <v/>
      </c>
      <c r="AV32" t="str">
        <f>IF(Sistema!AV32="","",Sistema!AV32)</f>
        <v/>
      </c>
      <c r="AW32" t="str">
        <f>IF(Sistema!AW32="","",Sistema!AW32)</f>
        <v/>
      </c>
      <c r="AX32" t="str">
        <f>IF(Sistema!AX32="","",Sistema!AX32)</f>
        <v/>
      </c>
      <c r="AY32" t="str">
        <f>IF(Sistema!AY32="","",Sistema!AY32)</f>
        <v/>
      </c>
      <c r="AZ32" t="str">
        <f>IF(Sistema!AZ32="","",Sistema!AZ32)</f>
        <v/>
      </c>
      <c r="BA32" t="str">
        <f>IF(Sistema!BA32="","",Sistema!BA32)</f>
        <v/>
      </c>
      <c r="BB32" t="str">
        <f>IF(Sistema!BB32="","",Sistema!BB32)</f>
        <v/>
      </c>
      <c r="BC32" t="str">
        <f>IF(Sistema!BC32="","",Sistema!BC32)</f>
        <v/>
      </c>
      <c r="BD32" t="str">
        <f>IF(Sistema!BD32="","",Sistema!BD32)</f>
        <v/>
      </c>
      <c r="BE32" t="str">
        <f>IF(Sistema!BE32="","",Sistema!BE32)</f>
        <v/>
      </c>
      <c r="BF32" t="str">
        <f>IF(Sistema!BF32="","",Sistema!BF32)</f>
        <v/>
      </c>
      <c r="BG32" t="str">
        <f>IF(Sistema!BG32="","",Sistema!BG32)</f>
        <v/>
      </c>
      <c r="BH32" t="str">
        <f>IF(Sistema!BH32="","",Sistema!BH32)</f>
        <v/>
      </c>
      <c r="BI32" t="str">
        <f>IF(Sistema!BI32="","",Sistema!BI32)</f>
        <v/>
      </c>
      <c r="BJ32" t="str">
        <f>IF(Sistema!BJ32="","",Sistema!BJ32)</f>
        <v/>
      </c>
      <c r="BK32" t="str">
        <f>IF(Sistema!BK32="","",Sistema!BK32)</f>
        <v/>
      </c>
      <c r="BL32" t="str">
        <f>IF(Sistema!BL32="","",Sistema!BL32)</f>
        <v/>
      </c>
      <c r="BM32" t="str">
        <f>IF(Sistema!BM32="","",Sistema!BM32)</f>
        <v/>
      </c>
      <c r="BN32" t="str">
        <f>IF(Sistema!BN32="","",Sistema!BN32)</f>
        <v/>
      </c>
      <c r="BO32" t="str">
        <f>IF(Sistema!BO32="","",Sistema!BO32)</f>
        <v/>
      </c>
      <c r="BP32" t="str">
        <f>IF(Sistema!BP32="","",Sistema!BP32)</f>
        <v/>
      </c>
      <c r="BQ32" t="str">
        <f>IF(Sistema!BQ32="","",Sistema!BQ32)</f>
        <v/>
      </c>
      <c r="BR32" t="str">
        <f>IF(Sistema!BR32="","",Sistema!BR32)</f>
        <v/>
      </c>
      <c r="BS32" t="str">
        <f>IF(Sistema!BS32="","",Sistema!BS32)</f>
        <v/>
      </c>
      <c r="BT32" t="str">
        <f>IF(Sistema!BT32="","",Sistema!BT32)</f>
        <v/>
      </c>
      <c r="BU32" t="str">
        <f>IF(Sistema!BU32="","",Sistema!BU32)</f>
        <v/>
      </c>
      <c r="BV32" t="str">
        <f>IF(Sistema!BV32="","",Sistema!BV32)</f>
        <v/>
      </c>
      <c r="BW32" t="str">
        <f>IF(Sistema!BW32="","",Sistema!BW32)</f>
        <v/>
      </c>
      <c r="BX32" t="str">
        <f>IF(Sistema!BX32="","",Sistema!BX32)</f>
        <v/>
      </c>
      <c r="BY32" t="str">
        <f>IF(Sistema!BY32="","",Sistema!BY32)</f>
        <v/>
      </c>
      <c r="BZ32" t="str">
        <f>IF(Sistema!BZ32="","",Sistema!BZ32)</f>
        <v/>
      </c>
      <c r="CA32" t="str">
        <f>IF(Sistema!CA32="","",Sistema!CA32)</f>
        <v/>
      </c>
      <c r="CB32" t="str">
        <f>IF(Sistema!CB32="","",Sistema!CB32)</f>
        <v/>
      </c>
      <c r="CC32" t="str">
        <f>IF(Sistema!CC32="","",Sistema!CC32)</f>
        <v/>
      </c>
      <c r="CD32" t="str">
        <f>IF(Sistema!CD32="","",Sistema!CD32)</f>
        <v/>
      </c>
    </row>
    <row r="33" spans="1:82" x14ac:dyDescent="0.25">
      <c r="A33">
        <f>IF(Sistema!A33="","",Sistema!A33)</f>
        <v>18063</v>
      </c>
      <c r="B33" t="str">
        <f>IF(Sistema!B33="","",Sistema!B33)</f>
        <v>simple</v>
      </c>
      <c r="C33" t="str">
        <f>IF(Sistema!C33="","",Sistema!C33)</f>
        <v>MKP0000000009</v>
      </c>
      <c r="D33" t="str">
        <f>IF(Sistema!D33="","",Sistema!D33)</f>
        <v/>
      </c>
      <c r="E33" t="str">
        <f>IF(Sistema!E33="","",Sistema!E33)</f>
        <v>Sram - Shifter - SX Trigger Black 12s - MKP - Desmontado, nunca usado</v>
      </c>
      <c r="F33">
        <f>IF(P33&gt;0,1,IF(Sistema!F33=0,-1,1))</f>
        <v>1</v>
      </c>
      <c r="G33">
        <f>Sistema!G33</f>
        <v>0</v>
      </c>
      <c r="H33" t="str">
        <f>IF(OR(R33="notify",R33=1),"visible",IF(OR(Sistema!F33=-1,Sistema!F33=0,ISNUMBER(SEARCH("PCK",E33))),"hidden",IF(P33&gt;0,"visible","hidden")))</f>
        <v>visible</v>
      </c>
      <c r="I33" t="str">
        <f>IF(B33="simple",IF(P33&gt;0,"",IF(R33="notify",Info!C$2,"")),IF(B33="variable",IF(P33&gt;0,"",IF(R33="notify",Info!C$4,"")),""))</f>
        <v/>
      </c>
      <c r="J33" t="str">
        <f>IF(Sistema!J33="","",Sistema!J33)</f>
        <v>Mando de cambio diseñado para ofrecer cambios rápidos, precisos y confiables dentro del ecosistema Eagle de 12 velocidades. El Sram SX Eagle Trigger utiliza la tecnología X-Actuation, que mantiene un rendimiento constante y preciso a lo largo de todo el cassette.
Su sistema Zero Loss garantiza que cada accionamiento de la palanca se traduzca inmediatamente en un cambio, sin retrasos ni juego, logrando una respuesta directa y eficiente en cualquier terreno.
Pensado para transmisiones 1x12 MTB, permite cambios intuitivos y puede accionar múltiples velocidades en un solo movimiento, facilitando la adaptación a subidas y descensos.
*Sacado de una bicicleta NUEVA
Características:
Compatible con transmisiones SRAM Eagle 12 velocidades
Tecnología X-Actuation 1:1 para cambios precisos
Sistema Zero Loss para respuesta inmediata
Tipo: Trigger (gatillo)
Incluye abrazadera para montaje en manillar
Diseño simple, funcional y resistente
Uso: MTB (XC, Trail, Enduro)
Una opción ideal para riders que buscan cambios confiables, simples y eficientes dentro del sistema SRAM Eagle.
*Sacado de una bicicleta NUEVA</v>
      </c>
      <c r="M33" t="str">
        <f>IF(Sistema!M33="","",Sistema!M33)</f>
        <v>taxable</v>
      </c>
      <c r="N33" s="6" t="s">
        <v>1557</v>
      </c>
      <c r="O33" s="6">
        <v>1</v>
      </c>
      <c r="P33">
        <f>Sistema!P33</f>
        <v>1</v>
      </c>
      <c r="Q33">
        <f>Sistema!Q33</f>
        <v>0</v>
      </c>
      <c r="R33">
        <f>IF(Sistema!R33=1,"notify",Sistema!R33)</f>
        <v>0</v>
      </c>
      <c r="T33" t="str">
        <f>IF(Sistema!T33="","",Sistema!T33)</f>
        <v/>
      </c>
      <c r="U33" t="str">
        <f>IF(Sistema!U33="","",Sistema!U33)</f>
        <v/>
      </c>
      <c r="V33" t="str">
        <f>IF(Sistema!V33="","",Sistema!V33)</f>
        <v/>
      </c>
      <c r="W33" t="str">
        <f>IF(Sistema!W33="","",Sistema!W33)</f>
        <v/>
      </c>
      <c r="X33" s="6">
        <v>1</v>
      </c>
      <c r="Z33">
        <f>IF(Sistema!Z33="","",Sistema!Z33)</f>
        <v>120</v>
      </c>
      <c r="AA33">
        <f>IF(Sistema!AA33="","",Sistema!AA33)</f>
        <v>120</v>
      </c>
      <c r="AB33" t="str">
        <f>IF(Sistema!AB33="","",IF(OR(ISNUMBER(SEARCH("MKP",E33)),ISNUMBER(SEARCH("MKP",C33))),"Marketplace &gt; "&amp;Sistema!AB33,Sistema!AB33))</f>
        <v>Marketplace &gt; Ciclismo &gt; Transmisión &gt; Shifter</v>
      </c>
      <c r="AC33" t="str">
        <f>IF(Sistema!AC33="","",Sistema!AC33)</f>
        <v/>
      </c>
      <c r="AE33" t="str">
        <f>IF(Sistema!AE33="","",Sistema!AE33)</f>
        <v>https://www.sram.com/globalassets/image-hierarchy/sram-product-root-images/shifters/shifters---lever/sl-sx-1-a1/blacksidel.jpg?w=1600&amp;quality=90&amp;format=webp, https://kuranko.pe/wp-content/uploads/2026/07/WhatsApp-Image-2026-07-22-at-4.51.53-PM.jpeg, https://kuranko.pe/wp-content/uploads/2026/07/WhatsApp-Image-2026-07-22-at-4.51.52-PM-4.jpeg, https://kuranko.pe/wp-content/uploads/2026/07/WhatsApp-Image-2026-07-22-at-4.51.52-PM-3.jpeg</v>
      </c>
      <c r="AH33" t="str">
        <f>IF(Sistema!AH33="","",Sistema!AH33)</f>
        <v/>
      </c>
      <c r="AQ33" t="str">
        <f>IF(Sistema!AQ33="","",Sistema!AQ33)</f>
        <v/>
      </c>
      <c r="AR33" t="str">
        <f>IF(Sistema!AR33="","",Sistema!AR33)</f>
        <v/>
      </c>
      <c r="AS33" t="str">
        <f>IF(Sistema!AS33="","",Sistema!AS33)</f>
        <v/>
      </c>
      <c r="AT33" t="str">
        <f>IF(Sistema!AT33="","",Sistema!AT33)</f>
        <v/>
      </c>
      <c r="AU33" t="str">
        <f>IF(Sistema!AU33="","",Sistema!AU33)</f>
        <v/>
      </c>
      <c r="AV33" t="str">
        <f>IF(Sistema!AV33="","",Sistema!AV33)</f>
        <v/>
      </c>
      <c r="AW33" t="str">
        <f>IF(Sistema!AW33="","",Sistema!AW33)</f>
        <v/>
      </c>
      <c r="AX33" t="str">
        <f>IF(Sistema!AX33="","",Sistema!AX33)</f>
        <v/>
      </c>
      <c r="AY33" t="str">
        <f>IF(Sistema!AY33="","",Sistema!AY33)</f>
        <v/>
      </c>
      <c r="AZ33" t="str">
        <f>IF(Sistema!AZ33="","",Sistema!AZ33)</f>
        <v/>
      </c>
      <c r="BA33" t="str">
        <f>IF(Sistema!BA33="","",Sistema!BA33)</f>
        <v/>
      </c>
      <c r="BB33" t="str">
        <f>IF(Sistema!BB33="","",Sistema!BB33)</f>
        <v/>
      </c>
      <c r="BC33" t="str">
        <f>IF(Sistema!BC33="","",Sistema!BC33)</f>
        <v/>
      </c>
      <c r="BD33" t="str">
        <f>IF(Sistema!BD33="","",Sistema!BD33)</f>
        <v/>
      </c>
      <c r="BE33" t="str">
        <f>IF(Sistema!BE33="","",Sistema!BE33)</f>
        <v/>
      </c>
      <c r="BF33" t="str">
        <f>IF(Sistema!BF33="","",Sistema!BF33)</f>
        <v/>
      </c>
      <c r="BG33" t="str">
        <f>IF(Sistema!BG33="","",Sistema!BG33)</f>
        <v/>
      </c>
      <c r="BH33" t="str">
        <f>IF(Sistema!BH33="","",Sistema!BH33)</f>
        <v/>
      </c>
      <c r="BI33" t="str">
        <f>IF(Sistema!BI33="","",Sistema!BI33)</f>
        <v/>
      </c>
      <c r="BJ33" t="str">
        <f>IF(Sistema!BJ33="","",Sistema!BJ33)</f>
        <v/>
      </c>
      <c r="BK33" t="str">
        <f>IF(Sistema!BK33="","",Sistema!BK33)</f>
        <v/>
      </c>
      <c r="BL33" t="str">
        <f>IF(Sistema!BL33="","",Sistema!BL33)</f>
        <v/>
      </c>
      <c r="BM33" t="str">
        <f>IF(Sistema!BM33="","",Sistema!BM33)</f>
        <v/>
      </c>
      <c r="BN33" t="str">
        <f>IF(Sistema!BN33="","",Sistema!BN33)</f>
        <v/>
      </c>
      <c r="BO33" t="str">
        <f>IF(Sistema!BO33="","",Sistema!BO33)</f>
        <v/>
      </c>
      <c r="BP33" t="str">
        <f>IF(Sistema!BP33="","",Sistema!BP33)</f>
        <v/>
      </c>
      <c r="BQ33" t="str">
        <f>IF(Sistema!BQ33="","",Sistema!BQ33)</f>
        <v/>
      </c>
      <c r="BR33" t="str">
        <f>IF(Sistema!BR33="","",Sistema!BR33)</f>
        <v/>
      </c>
      <c r="BS33" t="str">
        <f>IF(Sistema!BS33="","",Sistema!BS33)</f>
        <v/>
      </c>
      <c r="BT33" t="str">
        <f>IF(Sistema!BT33="","",Sistema!BT33)</f>
        <v/>
      </c>
      <c r="BU33" t="str">
        <f>IF(Sistema!BU33="","",Sistema!BU33)</f>
        <v/>
      </c>
      <c r="BV33" t="str">
        <f>IF(Sistema!BV33="","",Sistema!BV33)</f>
        <v/>
      </c>
      <c r="BW33" t="str">
        <f>IF(Sistema!BW33="","",Sistema!BW33)</f>
        <v/>
      </c>
      <c r="BX33" t="str">
        <f>IF(Sistema!BX33="","",Sistema!BX33)</f>
        <v/>
      </c>
      <c r="BY33" t="str">
        <f>IF(Sistema!BY33="","",Sistema!BY33)</f>
        <v/>
      </c>
      <c r="BZ33" t="str">
        <f>IF(Sistema!BZ33="","",Sistema!BZ33)</f>
        <v/>
      </c>
      <c r="CA33" t="str">
        <f>IF(Sistema!CA33="","",Sistema!CA33)</f>
        <v/>
      </c>
      <c r="CB33" t="str">
        <f>IF(Sistema!CB33="","",Sistema!CB33)</f>
        <v/>
      </c>
      <c r="CC33" t="str">
        <f>IF(Sistema!CC33="","",Sistema!CC33)</f>
        <v/>
      </c>
      <c r="CD33" t="str">
        <f>IF(Sistema!CD33="","",Sistema!CD33)</f>
        <v/>
      </c>
    </row>
    <row r="34" spans="1:82" x14ac:dyDescent="0.25">
      <c r="A34">
        <f>IF(Sistema!A34="","",Sistema!A34)</f>
        <v>18071</v>
      </c>
      <c r="B34" t="str">
        <f>IF(Sistema!B34="","",Sistema!B34)</f>
        <v>simple</v>
      </c>
      <c r="C34" t="str">
        <f>IF(Sistema!C34="","",Sistema!C34)</f>
        <v>MKP0000000018</v>
      </c>
      <c r="D34" t="str">
        <f>IF(Sistema!D34="","",Sistema!D34)</f>
        <v/>
      </c>
      <c r="E34" t="str">
        <f>IF(Sistema!E34="","",Sistema!E34)</f>
        <v>TranzX - dropper - post cableado interior 27.2x405 110mm + mando remoto - MKP - Usado, en buen estado</v>
      </c>
      <c r="F34">
        <f>IF(P34&gt;0,1,IF(Sistema!F34=0,-1,1))</f>
        <v>1</v>
      </c>
      <c r="G34">
        <f>Sistema!G34</f>
        <v>0</v>
      </c>
      <c r="H34" t="str">
        <f>IF(OR(R34="notify",R34=1),"visible",IF(OR(Sistema!F34=-1,Sistema!F34=0,ISNUMBER(SEARCH("PCK",E34))),"hidden",IF(P34&gt;0,"visible","hidden")))</f>
        <v>visible</v>
      </c>
      <c r="I34" t="str">
        <f>IF(B34="simple",IF(P34&gt;0,"",IF(R34="notify",Info!C$2,"")),IF(B34="variable",IF(P34&gt;0,"",IF(R34="notify",Info!C$4,"")),""))</f>
        <v/>
      </c>
      <c r="J34" t="str">
        <f>IF(Sistema!J34="","",Sistema!J34)</f>
        <v>Especificaciones:
Aleación 7075 T651
Desplazamiento: 0 mm
Diámetro: 27,2 mm.
Largo: 405 mm.
Recorrido: 110 mm.
490 g (sin cables)</v>
      </c>
      <c r="M34" t="str">
        <f>IF(Sistema!M34="","",Sistema!M34)</f>
        <v>taxable</v>
      </c>
      <c r="N34" s="6" t="s">
        <v>1557</v>
      </c>
      <c r="O34" s="6">
        <v>1</v>
      </c>
      <c r="P34">
        <f>Sistema!P34</f>
        <v>1</v>
      </c>
      <c r="Q34">
        <f>Sistema!Q34</f>
        <v>0</v>
      </c>
      <c r="R34">
        <f>IF(Sistema!R34=1,"notify",Sistema!R34)</f>
        <v>0</v>
      </c>
      <c r="T34" t="str">
        <f>IF(Sistema!T34="","",Sistema!T34)</f>
        <v/>
      </c>
      <c r="U34" t="str">
        <f>IF(Sistema!U34="","",Sistema!U34)</f>
        <v/>
      </c>
      <c r="V34" t="str">
        <f>IF(Sistema!V34="","",Sistema!V34)</f>
        <v/>
      </c>
      <c r="W34" t="str">
        <f>IF(Sistema!W34="","",Sistema!W34)</f>
        <v/>
      </c>
      <c r="X34" s="6">
        <v>1</v>
      </c>
      <c r="Z34">
        <f>IF(Sistema!Z34="","",Sistema!Z34)</f>
        <v>380</v>
      </c>
      <c r="AA34">
        <f>IF(Sistema!AA34="","",Sistema!AA34)</f>
        <v>400</v>
      </c>
      <c r="AB34" t="str">
        <f>IF(Sistema!AB34="","",IF(OR(ISNUMBER(SEARCH("MKP",E34)),ISNUMBER(SEARCH("MKP",C34))),"Marketplace &gt; "&amp;Sistema!AB34,Sistema!AB34))</f>
        <v>Marketplace &gt; Ciclismo &gt; Sillines y tijas &gt; Tijas de sillín</v>
      </c>
      <c r="AC34" t="str">
        <f>IF(Sistema!AC34="","",Sistema!AC34)</f>
        <v/>
      </c>
      <c r="AE34" t="str">
        <f>IF(Sistema!AE34="","",Sistema!AE34)</f>
        <v>https://kuranko.pe/wp-content/uploads/2026/07/WhatsApp-Image-2026-07-22-at-4.52.01-PM.jpeg, https://kuranko.pe/wp-content/uploads/2026/07/WhatsApp-Image-2026-07-22-at-4.52.00-PM-2.jpeg, https://kuranko.pe/wp-content/uploads/2026/07/WhatsApp-Image-2026-07-22-at-4.52.00-PM-1.jpeg</v>
      </c>
      <c r="AH34" t="str">
        <f>IF(Sistema!AH34="","",Sistema!AH34)</f>
        <v/>
      </c>
      <c r="AQ34" t="str">
        <f>IF(Sistema!AQ34="","",Sistema!AQ34)</f>
        <v/>
      </c>
      <c r="AR34" t="str">
        <f>IF(Sistema!AR34="","",Sistema!AR34)</f>
        <v/>
      </c>
      <c r="AS34" t="str">
        <f>IF(Sistema!AS34="","",Sistema!AS34)</f>
        <v/>
      </c>
      <c r="AT34" t="str">
        <f>IF(Sistema!AT34="","",Sistema!AT34)</f>
        <v/>
      </c>
      <c r="AU34" t="str">
        <f>IF(Sistema!AU34="","",Sistema!AU34)</f>
        <v/>
      </c>
      <c r="AV34" t="str">
        <f>IF(Sistema!AV34="","",Sistema!AV34)</f>
        <v/>
      </c>
      <c r="AW34" t="str">
        <f>IF(Sistema!AW34="","",Sistema!AW34)</f>
        <v/>
      </c>
      <c r="AX34" t="str">
        <f>IF(Sistema!AX34="","",Sistema!AX34)</f>
        <v/>
      </c>
      <c r="AY34" t="str">
        <f>IF(Sistema!AY34="","",Sistema!AY34)</f>
        <v/>
      </c>
      <c r="AZ34" t="str">
        <f>IF(Sistema!AZ34="","",Sistema!AZ34)</f>
        <v/>
      </c>
      <c r="BA34" t="str">
        <f>IF(Sistema!BA34="","",Sistema!BA34)</f>
        <v/>
      </c>
      <c r="BB34" t="str">
        <f>IF(Sistema!BB34="","",Sistema!BB34)</f>
        <v/>
      </c>
      <c r="BC34" t="str">
        <f>IF(Sistema!BC34="","",Sistema!BC34)</f>
        <v/>
      </c>
      <c r="BD34" t="str">
        <f>IF(Sistema!BD34="","",Sistema!BD34)</f>
        <v/>
      </c>
      <c r="BE34" t="str">
        <f>IF(Sistema!BE34="","",Sistema!BE34)</f>
        <v/>
      </c>
      <c r="BF34" t="str">
        <f>IF(Sistema!BF34="","",Sistema!BF34)</f>
        <v/>
      </c>
      <c r="BG34" t="str">
        <f>IF(Sistema!BG34="","",Sistema!BG34)</f>
        <v/>
      </c>
      <c r="BH34" t="str">
        <f>IF(Sistema!BH34="","",Sistema!BH34)</f>
        <v/>
      </c>
      <c r="BI34" t="str">
        <f>IF(Sistema!BI34="","",Sistema!BI34)</f>
        <v/>
      </c>
      <c r="BJ34" t="str">
        <f>IF(Sistema!BJ34="","",Sistema!BJ34)</f>
        <v/>
      </c>
      <c r="BK34" t="str">
        <f>IF(Sistema!BK34="","",Sistema!BK34)</f>
        <v/>
      </c>
      <c r="BL34" t="str">
        <f>IF(Sistema!BL34="","",Sistema!BL34)</f>
        <v/>
      </c>
      <c r="BM34" t="str">
        <f>IF(Sistema!BM34="","",Sistema!BM34)</f>
        <v/>
      </c>
      <c r="BN34" t="str">
        <f>IF(Sistema!BN34="","",Sistema!BN34)</f>
        <v/>
      </c>
      <c r="BO34" t="str">
        <f>IF(Sistema!BO34="","",Sistema!BO34)</f>
        <v/>
      </c>
      <c r="BP34" t="str">
        <f>IF(Sistema!BP34="","",Sistema!BP34)</f>
        <v/>
      </c>
      <c r="BQ34" t="str">
        <f>IF(Sistema!BQ34="","",Sistema!BQ34)</f>
        <v/>
      </c>
      <c r="BR34" t="str">
        <f>IF(Sistema!BR34="","",Sistema!BR34)</f>
        <v/>
      </c>
      <c r="BS34" t="str">
        <f>IF(Sistema!BS34="","",Sistema!BS34)</f>
        <v/>
      </c>
      <c r="BT34" t="str">
        <f>IF(Sistema!BT34="","",Sistema!BT34)</f>
        <v/>
      </c>
      <c r="BU34" t="str">
        <f>IF(Sistema!BU34="","",Sistema!BU34)</f>
        <v/>
      </c>
      <c r="BV34" t="str">
        <f>IF(Sistema!BV34="","",Sistema!BV34)</f>
        <v/>
      </c>
      <c r="BW34" t="str">
        <f>IF(Sistema!BW34="","",Sistema!BW34)</f>
        <v/>
      </c>
      <c r="BX34" t="str">
        <f>IF(Sistema!BX34="","",Sistema!BX34)</f>
        <v/>
      </c>
      <c r="BY34" t="str">
        <f>IF(Sistema!BY34="","",Sistema!BY34)</f>
        <v/>
      </c>
      <c r="BZ34" t="str">
        <f>IF(Sistema!BZ34="","",Sistema!BZ34)</f>
        <v/>
      </c>
      <c r="CA34" t="str">
        <f>IF(Sistema!CA34="","",Sistema!CA34)</f>
        <v/>
      </c>
      <c r="CB34" t="str">
        <f>IF(Sistema!CB34="","",Sistema!CB34)</f>
        <v/>
      </c>
      <c r="CC34" t="str">
        <f>IF(Sistema!CC34="","",Sistema!CC34)</f>
        <v/>
      </c>
      <c r="CD34" t="str">
        <f>IF(Sistema!CD34="","",Sistema!CD34)</f>
        <v/>
      </c>
    </row>
    <row r="35" spans="1:82" x14ac:dyDescent="0.25">
      <c r="A35" t="str">
        <f>IF(Sistema!A35="","",Sistema!A35)</f>
        <v/>
      </c>
      <c r="B35" t="str">
        <f>IF(Sistema!B35="","",Sistema!B35)</f>
        <v/>
      </c>
      <c r="C35" t="str">
        <f>IF(Sistema!C35="","",Sistema!C35)</f>
        <v/>
      </c>
      <c r="D35" t="str">
        <f>IF(Sistema!D35="","",Sistema!D35)</f>
        <v/>
      </c>
      <c r="E35" t="str">
        <f>IF(Sistema!E35="","",Sistema!E35)</f>
        <v/>
      </c>
      <c r="F35">
        <f>IF(P35&gt;0,1,IF(Sistema!F35=0,-1,1))</f>
        <v>-1</v>
      </c>
      <c r="G35">
        <f>Sistema!G35</f>
        <v>0</v>
      </c>
      <c r="H35" t="str">
        <f>IF(OR(R35="notify",R35=1),"visible",IF(OR(Sistema!F35=-1,Sistema!F35=0,ISNUMBER(SEARCH("PCK",E35))),"hidden",IF(P35&gt;0,"visible","hidden")))</f>
        <v>hidden</v>
      </c>
      <c r="I35" t="str">
        <f>IF(B35="simple",IF(P35&gt;0,"",IF(R35="notify",Info!C$2,"")),IF(B35="variable",IF(P35&gt;0,"",IF(R35="notify",Info!C$4,"")),""))</f>
        <v/>
      </c>
      <c r="J35" t="str">
        <f>IF(Sistema!J35="","",Sistema!J35)</f>
        <v/>
      </c>
      <c r="M35" t="str">
        <f>IF(Sistema!M35="","",Sistema!M35)</f>
        <v/>
      </c>
      <c r="N35" s="6" t="s">
        <v>1557</v>
      </c>
      <c r="O35" s="6">
        <v>1</v>
      </c>
      <c r="P35">
        <f>Sistema!P35</f>
        <v>0</v>
      </c>
      <c r="Q35">
        <f>Sistema!Q35</f>
        <v>0</v>
      </c>
      <c r="R35">
        <f>IF(Sistema!R35=1,"notify",Sistema!R35)</f>
        <v>0</v>
      </c>
      <c r="T35" t="str">
        <f>IF(Sistema!T35="","",Sistema!T35)</f>
        <v/>
      </c>
      <c r="U35" t="str">
        <f>IF(Sistema!U35="","",Sistema!U35)</f>
        <v/>
      </c>
      <c r="V35" t="str">
        <f>IF(Sistema!V35="","",Sistema!V35)</f>
        <v/>
      </c>
      <c r="W35" t="str">
        <f>IF(Sistema!W35="","",Sistema!W35)</f>
        <v/>
      </c>
      <c r="X35" s="6">
        <v>1</v>
      </c>
      <c r="Z35" t="str">
        <f>IF(Sistema!Z35="","",Sistema!Z35)</f>
        <v/>
      </c>
      <c r="AA35" t="str">
        <f>IF(Sistema!AA35="","",Sistema!AA35)</f>
        <v/>
      </c>
      <c r="AB35" t="str">
        <f>IF(Sistema!AB35="","",IF(OR(ISNUMBER(SEARCH("MKP",E35)),ISNUMBER(SEARCH("MKP",C35))),"Marketplace &gt; "&amp;Sistema!AB35,Sistema!AB35))</f>
        <v/>
      </c>
      <c r="AC35" t="str">
        <f>IF(Sistema!AC35="","",Sistema!AC35)</f>
        <v/>
      </c>
      <c r="AE35" t="str">
        <f>IF(Sistema!AE35="","",Sistema!AE35)</f>
        <v/>
      </c>
      <c r="AH35" t="str">
        <f>IF(Sistema!AH35="","",Sistema!AH35)</f>
        <v/>
      </c>
      <c r="AQ35" t="str">
        <f>IF(Sistema!AQ35="","",Sistema!AQ35)</f>
        <v/>
      </c>
      <c r="AR35" t="str">
        <f>IF(Sistema!AR35="","",Sistema!AR35)</f>
        <v/>
      </c>
      <c r="AS35" t="str">
        <f>IF(Sistema!AS35="","",Sistema!AS35)</f>
        <v/>
      </c>
      <c r="AT35" t="str">
        <f>IF(Sistema!AT35="","",Sistema!AT35)</f>
        <v/>
      </c>
      <c r="AU35" t="str">
        <f>IF(Sistema!AU35="","",Sistema!AU35)</f>
        <v/>
      </c>
      <c r="AV35" t="str">
        <f>IF(Sistema!AV35="","",Sistema!AV35)</f>
        <v/>
      </c>
      <c r="AW35" t="str">
        <f>IF(Sistema!AW35="","",Sistema!AW35)</f>
        <v/>
      </c>
      <c r="AX35" t="str">
        <f>IF(Sistema!AX35="","",Sistema!AX35)</f>
        <v/>
      </c>
      <c r="AY35" t="str">
        <f>IF(Sistema!AY35="","",Sistema!AY35)</f>
        <v/>
      </c>
      <c r="AZ35" t="str">
        <f>IF(Sistema!AZ35="","",Sistema!AZ35)</f>
        <v/>
      </c>
      <c r="BA35" t="str">
        <f>IF(Sistema!BA35="","",Sistema!BA35)</f>
        <v/>
      </c>
      <c r="BB35" t="str">
        <f>IF(Sistema!BB35="","",Sistema!BB35)</f>
        <v/>
      </c>
      <c r="BC35" t="str">
        <f>IF(Sistema!BC35="","",Sistema!BC35)</f>
        <v/>
      </c>
      <c r="BD35" t="str">
        <f>IF(Sistema!BD35="","",Sistema!BD35)</f>
        <v/>
      </c>
      <c r="BE35" t="str">
        <f>IF(Sistema!BE35="","",Sistema!BE35)</f>
        <v/>
      </c>
      <c r="BF35" t="str">
        <f>IF(Sistema!BF35="","",Sistema!BF35)</f>
        <v/>
      </c>
      <c r="BG35" t="str">
        <f>IF(Sistema!BG35="","",Sistema!BG35)</f>
        <v/>
      </c>
      <c r="BH35" t="str">
        <f>IF(Sistema!BH35="","",Sistema!BH35)</f>
        <v/>
      </c>
      <c r="BI35" t="str">
        <f>IF(Sistema!BI35="","",Sistema!BI35)</f>
        <v/>
      </c>
      <c r="BJ35" t="str">
        <f>IF(Sistema!BJ35="","",Sistema!BJ35)</f>
        <v/>
      </c>
      <c r="BK35" t="str">
        <f>IF(Sistema!BK35="","",Sistema!BK35)</f>
        <v/>
      </c>
      <c r="BL35" t="str">
        <f>IF(Sistema!BL35="","",Sistema!BL35)</f>
        <v/>
      </c>
      <c r="BM35" t="str">
        <f>IF(Sistema!BM35="","",Sistema!BM35)</f>
        <v/>
      </c>
      <c r="BN35" t="str">
        <f>IF(Sistema!BN35="","",Sistema!BN35)</f>
        <v/>
      </c>
      <c r="BO35" t="str">
        <f>IF(Sistema!BO35="","",Sistema!BO35)</f>
        <v/>
      </c>
      <c r="BP35" t="str">
        <f>IF(Sistema!BP35="","",Sistema!BP35)</f>
        <v/>
      </c>
      <c r="BQ35" t="str">
        <f>IF(Sistema!BQ35="","",Sistema!BQ35)</f>
        <v/>
      </c>
      <c r="BR35" t="str">
        <f>IF(Sistema!BR35="","",Sistema!BR35)</f>
        <v/>
      </c>
      <c r="BS35" t="str">
        <f>IF(Sistema!BS35="","",Sistema!BS35)</f>
        <v/>
      </c>
      <c r="BT35" t="str">
        <f>IF(Sistema!BT35="","",Sistema!BT35)</f>
        <v/>
      </c>
      <c r="BU35" t="str">
        <f>IF(Sistema!BU35="","",Sistema!BU35)</f>
        <v/>
      </c>
      <c r="BV35" t="str">
        <f>IF(Sistema!BV35="","",Sistema!BV35)</f>
        <v/>
      </c>
      <c r="BW35" t="str">
        <f>IF(Sistema!BW35="","",Sistema!BW35)</f>
        <v/>
      </c>
      <c r="BX35" t="str">
        <f>IF(Sistema!BX35="","",Sistema!BX35)</f>
        <v/>
      </c>
      <c r="BY35" t="str">
        <f>IF(Sistema!BY35="","",Sistema!BY35)</f>
        <v/>
      </c>
      <c r="BZ35" t="str">
        <f>IF(Sistema!BZ35="","",Sistema!BZ35)</f>
        <v/>
      </c>
      <c r="CA35" t="str">
        <f>IF(Sistema!CA35="","",Sistema!CA35)</f>
        <v/>
      </c>
      <c r="CB35" t="str">
        <f>IF(Sistema!CB35="","",Sistema!CB35)</f>
        <v/>
      </c>
      <c r="CC35" t="str">
        <f>IF(Sistema!CC35="","",Sistema!CC35)</f>
        <v/>
      </c>
      <c r="CD35" t="str">
        <f>IF(Sistema!CD35="","",Sistema!CD35)</f>
        <v/>
      </c>
    </row>
    <row r="36" spans="1:82" x14ac:dyDescent="0.25">
      <c r="A36" t="str">
        <f>IF(Sistema!A36="","",Sistema!A36)</f>
        <v/>
      </c>
      <c r="B36" t="str">
        <f>IF(Sistema!B36="","",Sistema!B36)</f>
        <v/>
      </c>
      <c r="C36" t="str">
        <f>IF(Sistema!C36="","",Sistema!C36)</f>
        <v/>
      </c>
      <c r="D36" t="str">
        <f>IF(Sistema!D36="","",Sistema!D36)</f>
        <v/>
      </c>
      <c r="E36" t="str">
        <f>IF(Sistema!E36="","",Sistema!E36)</f>
        <v/>
      </c>
      <c r="F36">
        <f>IF(P36&gt;0,1,IF(Sistema!F36=0,-1,1))</f>
        <v>-1</v>
      </c>
      <c r="G36">
        <f>Sistema!G36</f>
        <v>0</v>
      </c>
      <c r="H36" t="str">
        <f>IF(OR(R36="notify",R36=1),"visible",IF(OR(Sistema!F36=-1,Sistema!F36=0,ISNUMBER(SEARCH("PCK",E36))),"hidden",IF(P36&gt;0,"visible","hidden")))</f>
        <v>hidden</v>
      </c>
      <c r="I36" t="str">
        <f>IF(B36="simple",IF(P36&gt;0,"",IF(R36="notify",Info!C$2,"")),IF(B36="variable",IF(P36&gt;0,"",IF(R36="notify",Info!C$4,"")),""))</f>
        <v/>
      </c>
      <c r="J36" t="str">
        <f>IF(Sistema!J36="","",Sistema!J36)</f>
        <v/>
      </c>
      <c r="M36" t="str">
        <f>IF(Sistema!M36="","",Sistema!M36)</f>
        <v/>
      </c>
      <c r="N36" s="6" t="s">
        <v>1557</v>
      </c>
      <c r="O36" s="6">
        <v>1</v>
      </c>
      <c r="P36">
        <f>Sistema!P36</f>
        <v>0</v>
      </c>
      <c r="Q36">
        <f>Sistema!Q36</f>
        <v>0</v>
      </c>
      <c r="R36">
        <f>IF(Sistema!R36=1,"notify",Sistema!R36)</f>
        <v>0</v>
      </c>
      <c r="T36" t="str">
        <f>IF(Sistema!T36="","",Sistema!T36)</f>
        <v/>
      </c>
      <c r="U36" t="str">
        <f>IF(Sistema!U36="","",Sistema!U36)</f>
        <v/>
      </c>
      <c r="V36" t="str">
        <f>IF(Sistema!V36="","",Sistema!V36)</f>
        <v/>
      </c>
      <c r="W36" t="str">
        <f>IF(Sistema!W36="","",Sistema!W36)</f>
        <v/>
      </c>
      <c r="X36" s="6">
        <v>1</v>
      </c>
      <c r="Z36" t="str">
        <f>IF(Sistema!Z36="","",Sistema!Z36)</f>
        <v/>
      </c>
      <c r="AA36" t="str">
        <f>IF(Sistema!AA36="","",Sistema!AA36)</f>
        <v/>
      </c>
      <c r="AB36" t="str">
        <f>IF(Sistema!AB36="","",IF(OR(ISNUMBER(SEARCH("MKP",E36)),ISNUMBER(SEARCH("MKP",C36))),"Marketplace &gt; "&amp;Sistema!AB36,Sistema!AB36))</f>
        <v/>
      </c>
      <c r="AC36" t="str">
        <f>IF(Sistema!AC36="","",Sistema!AC36)</f>
        <v/>
      </c>
      <c r="AE36" t="str">
        <f>IF(Sistema!AE36="","",Sistema!AE36)</f>
        <v/>
      </c>
      <c r="AH36" t="str">
        <f>IF(Sistema!AH36="","",Sistema!AH36)</f>
        <v/>
      </c>
      <c r="AQ36" t="str">
        <f>IF(Sistema!AQ36="","",Sistema!AQ36)</f>
        <v/>
      </c>
      <c r="AR36" t="str">
        <f>IF(Sistema!AR36="","",Sistema!AR36)</f>
        <v/>
      </c>
      <c r="AS36" t="str">
        <f>IF(Sistema!AS36="","",Sistema!AS36)</f>
        <v/>
      </c>
      <c r="AT36" t="str">
        <f>IF(Sistema!AT36="","",Sistema!AT36)</f>
        <v/>
      </c>
      <c r="AU36" t="str">
        <f>IF(Sistema!AU36="","",Sistema!AU36)</f>
        <v/>
      </c>
      <c r="AV36" t="str">
        <f>IF(Sistema!AV36="","",Sistema!AV36)</f>
        <v/>
      </c>
      <c r="AW36" t="str">
        <f>IF(Sistema!AW36="","",Sistema!AW36)</f>
        <v/>
      </c>
      <c r="AX36" t="str">
        <f>IF(Sistema!AX36="","",Sistema!AX36)</f>
        <v/>
      </c>
      <c r="AY36" t="str">
        <f>IF(Sistema!AY36="","",Sistema!AY36)</f>
        <v/>
      </c>
      <c r="AZ36" t="str">
        <f>IF(Sistema!AZ36="","",Sistema!AZ36)</f>
        <v/>
      </c>
      <c r="BA36" t="str">
        <f>IF(Sistema!BA36="","",Sistema!BA36)</f>
        <v/>
      </c>
      <c r="BB36" t="str">
        <f>IF(Sistema!BB36="","",Sistema!BB36)</f>
        <v/>
      </c>
      <c r="BC36" t="str">
        <f>IF(Sistema!BC36="","",Sistema!BC36)</f>
        <v/>
      </c>
      <c r="BD36" t="str">
        <f>IF(Sistema!BD36="","",Sistema!BD36)</f>
        <v/>
      </c>
      <c r="BE36" t="str">
        <f>IF(Sistema!BE36="","",Sistema!BE36)</f>
        <v/>
      </c>
      <c r="BF36" t="str">
        <f>IF(Sistema!BF36="","",Sistema!BF36)</f>
        <v/>
      </c>
      <c r="BG36" t="str">
        <f>IF(Sistema!BG36="","",Sistema!BG36)</f>
        <v/>
      </c>
      <c r="BH36" t="str">
        <f>IF(Sistema!BH36="","",Sistema!BH36)</f>
        <v/>
      </c>
      <c r="BI36" t="str">
        <f>IF(Sistema!BI36="","",Sistema!BI36)</f>
        <v/>
      </c>
      <c r="BJ36" t="str">
        <f>IF(Sistema!BJ36="","",Sistema!BJ36)</f>
        <v/>
      </c>
      <c r="BK36" t="str">
        <f>IF(Sistema!BK36="","",Sistema!BK36)</f>
        <v/>
      </c>
      <c r="BL36" t="str">
        <f>IF(Sistema!BL36="","",Sistema!BL36)</f>
        <v/>
      </c>
      <c r="BM36" t="str">
        <f>IF(Sistema!BM36="","",Sistema!BM36)</f>
        <v/>
      </c>
      <c r="BN36" t="str">
        <f>IF(Sistema!BN36="","",Sistema!BN36)</f>
        <v/>
      </c>
      <c r="BO36" t="str">
        <f>IF(Sistema!BO36="","",Sistema!BO36)</f>
        <v/>
      </c>
      <c r="BP36" t="str">
        <f>IF(Sistema!BP36="","",Sistema!BP36)</f>
        <v/>
      </c>
      <c r="BQ36" t="str">
        <f>IF(Sistema!BQ36="","",Sistema!BQ36)</f>
        <v/>
      </c>
      <c r="BR36" t="str">
        <f>IF(Sistema!BR36="","",Sistema!BR36)</f>
        <v/>
      </c>
      <c r="BS36" t="str">
        <f>IF(Sistema!BS36="","",Sistema!BS36)</f>
        <v/>
      </c>
      <c r="BT36" t="str">
        <f>IF(Sistema!BT36="","",Sistema!BT36)</f>
        <v/>
      </c>
      <c r="BU36" t="str">
        <f>IF(Sistema!BU36="","",Sistema!BU36)</f>
        <v/>
      </c>
      <c r="BV36" t="str">
        <f>IF(Sistema!BV36="","",Sistema!BV36)</f>
        <v/>
      </c>
      <c r="BW36" t="str">
        <f>IF(Sistema!BW36="","",Sistema!BW36)</f>
        <v/>
      </c>
      <c r="BX36" t="str">
        <f>IF(Sistema!BX36="","",Sistema!BX36)</f>
        <v/>
      </c>
      <c r="BY36" t="str">
        <f>IF(Sistema!BY36="","",Sistema!BY36)</f>
        <v/>
      </c>
      <c r="BZ36" t="str">
        <f>IF(Sistema!BZ36="","",Sistema!BZ36)</f>
        <v/>
      </c>
      <c r="CA36" t="str">
        <f>IF(Sistema!CA36="","",Sistema!CA36)</f>
        <v/>
      </c>
      <c r="CB36" t="str">
        <f>IF(Sistema!CB36="","",Sistema!CB36)</f>
        <v/>
      </c>
      <c r="CC36" t="str">
        <f>IF(Sistema!CC36="","",Sistema!CC36)</f>
        <v/>
      </c>
      <c r="CD36" t="str">
        <f>IF(Sistema!CD36="","",Sistema!CD36)</f>
        <v/>
      </c>
    </row>
    <row r="37" spans="1:82" x14ac:dyDescent="0.25">
      <c r="A37" t="str">
        <f>IF(Sistema!A37="","",Sistema!A37)</f>
        <v/>
      </c>
      <c r="B37" t="str">
        <f>IF(Sistema!B37="","",Sistema!B37)</f>
        <v/>
      </c>
      <c r="C37" t="str">
        <f>IF(Sistema!C37="","",Sistema!C37)</f>
        <v/>
      </c>
      <c r="D37" t="str">
        <f>IF(Sistema!D37="","",Sistema!D37)</f>
        <v/>
      </c>
      <c r="E37" t="str">
        <f>IF(Sistema!E37="","",Sistema!E37)</f>
        <v/>
      </c>
      <c r="F37">
        <f>IF(P37&gt;0,1,IF(Sistema!F37=0,-1,1))</f>
        <v>-1</v>
      </c>
      <c r="G37">
        <f>Sistema!G37</f>
        <v>0</v>
      </c>
      <c r="H37" t="str">
        <f>IF(OR(R37="notify",R37=1),"visible",IF(OR(Sistema!F37=-1,Sistema!F37=0,ISNUMBER(SEARCH("PCK",E37))),"hidden",IF(P37&gt;0,"visible","hidden")))</f>
        <v>hidden</v>
      </c>
      <c r="I37" t="str">
        <f>IF(B37="simple",IF(P37&gt;0,"",IF(R37="notify",Info!C$2,"")),IF(B37="variable",IF(P37&gt;0,"",IF(R37="notify",Info!C$4,"")),""))</f>
        <v/>
      </c>
      <c r="J37" t="str">
        <f>IF(Sistema!J37="","",Sistema!J37)</f>
        <v/>
      </c>
      <c r="M37" t="str">
        <f>IF(Sistema!M37="","",Sistema!M37)</f>
        <v/>
      </c>
      <c r="N37" s="6" t="s">
        <v>1557</v>
      </c>
      <c r="O37" s="6">
        <v>1</v>
      </c>
      <c r="P37">
        <f>Sistema!P37</f>
        <v>0</v>
      </c>
      <c r="Q37">
        <f>Sistema!Q37</f>
        <v>0</v>
      </c>
      <c r="R37">
        <f>IF(Sistema!R37=1,"notify",Sistema!R37)</f>
        <v>0</v>
      </c>
      <c r="T37" t="str">
        <f>IF(Sistema!T37="","",Sistema!T37)</f>
        <v/>
      </c>
      <c r="U37" t="str">
        <f>IF(Sistema!U37="","",Sistema!U37)</f>
        <v/>
      </c>
      <c r="V37" t="str">
        <f>IF(Sistema!V37="","",Sistema!V37)</f>
        <v/>
      </c>
      <c r="W37" t="str">
        <f>IF(Sistema!W37="","",Sistema!W37)</f>
        <v/>
      </c>
      <c r="X37" s="6">
        <v>1</v>
      </c>
      <c r="Z37" t="str">
        <f>IF(Sistema!Z37="","",Sistema!Z37)</f>
        <v/>
      </c>
      <c r="AA37" t="str">
        <f>IF(Sistema!AA37="","",Sistema!AA37)</f>
        <v/>
      </c>
      <c r="AB37" t="str">
        <f>IF(Sistema!AB37="","",IF(OR(ISNUMBER(SEARCH("MKP",E37)),ISNUMBER(SEARCH("MKP",C37))),"Marketplace &gt; "&amp;Sistema!AB37,Sistema!AB37))</f>
        <v/>
      </c>
      <c r="AC37" t="str">
        <f>IF(Sistema!AC37="","",Sistema!AC37)</f>
        <v/>
      </c>
      <c r="AE37" t="str">
        <f>IF(Sistema!AE37="","",Sistema!AE37)</f>
        <v/>
      </c>
      <c r="AH37" t="str">
        <f>IF(Sistema!AH37="","",Sistema!AH37)</f>
        <v/>
      </c>
      <c r="AQ37" t="str">
        <f>IF(Sistema!AQ37="","",Sistema!AQ37)</f>
        <v/>
      </c>
      <c r="AR37" t="str">
        <f>IF(Sistema!AR37="","",Sistema!AR37)</f>
        <v/>
      </c>
      <c r="AS37" t="str">
        <f>IF(Sistema!AS37="","",Sistema!AS37)</f>
        <v/>
      </c>
      <c r="AT37" t="str">
        <f>IF(Sistema!AT37="","",Sistema!AT37)</f>
        <v/>
      </c>
      <c r="AU37" t="str">
        <f>IF(Sistema!AU37="","",Sistema!AU37)</f>
        <v/>
      </c>
      <c r="AV37" t="str">
        <f>IF(Sistema!AV37="","",Sistema!AV37)</f>
        <v/>
      </c>
      <c r="AW37" t="str">
        <f>IF(Sistema!AW37="","",Sistema!AW37)</f>
        <v/>
      </c>
      <c r="AX37" t="str">
        <f>IF(Sistema!AX37="","",Sistema!AX37)</f>
        <v/>
      </c>
      <c r="AY37" t="str">
        <f>IF(Sistema!AY37="","",Sistema!AY37)</f>
        <v/>
      </c>
      <c r="AZ37" t="str">
        <f>IF(Sistema!AZ37="","",Sistema!AZ37)</f>
        <v/>
      </c>
      <c r="BA37" t="str">
        <f>IF(Sistema!BA37="","",Sistema!BA37)</f>
        <v/>
      </c>
      <c r="BB37" t="str">
        <f>IF(Sistema!BB37="","",Sistema!BB37)</f>
        <v/>
      </c>
      <c r="BC37" t="str">
        <f>IF(Sistema!BC37="","",Sistema!BC37)</f>
        <v/>
      </c>
      <c r="BD37" t="str">
        <f>IF(Sistema!BD37="","",Sistema!BD37)</f>
        <v/>
      </c>
      <c r="BE37" t="str">
        <f>IF(Sistema!BE37="","",Sistema!BE37)</f>
        <v/>
      </c>
      <c r="BF37" t="str">
        <f>IF(Sistema!BF37="","",Sistema!BF37)</f>
        <v/>
      </c>
      <c r="BG37" t="str">
        <f>IF(Sistema!BG37="","",Sistema!BG37)</f>
        <v/>
      </c>
      <c r="BH37" t="str">
        <f>IF(Sistema!BH37="","",Sistema!BH37)</f>
        <v/>
      </c>
      <c r="BI37" t="str">
        <f>IF(Sistema!BI37="","",Sistema!BI37)</f>
        <v/>
      </c>
      <c r="BJ37" t="str">
        <f>IF(Sistema!BJ37="","",Sistema!BJ37)</f>
        <v/>
      </c>
      <c r="BK37" t="str">
        <f>IF(Sistema!BK37="","",Sistema!BK37)</f>
        <v/>
      </c>
      <c r="BL37" t="str">
        <f>IF(Sistema!BL37="","",Sistema!BL37)</f>
        <v/>
      </c>
      <c r="BM37" t="str">
        <f>IF(Sistema!BM37="","",Sistema!BM37)</f>
        <v/>
      </c>
      <c r="BN37" t="str">
        <f>IF(Sistema!BN37="","",Sistema!BN37)</f>
        <v/>
      </c>
      <c r="BO37" t="str">
        <f>IF(Sistema!BO37="","",Sistema!BO37)</f>
        <v/>
      </c>
      <c r="BP37" t="str">
        <f>IF(Sistema!BP37="","",Sistema!BP37)</f>
        <v/>
      </c>
      <c r="BQ37" t="str">
        <f>IF(Sistema!BQ37="","",Sistema!BQ37)</f>
        <v/>
      </c>
      <c r="BR37" t="str">
        <f>IF(Sistema!BR37="","",Sistema!BR37)</f>
        <v/>
      </c>
      <c r="BS37" t="str">
        <f>IF(Sistema!BS37="","",Sistema!BS37)</f>
        <v/>
      </c>
      <c r="BT37" t="str">
        <f>IF(Sistema!BT37="","",Sistema!BT37)</f>
        <v/>
      </c>
      <c r="BU37" t="str">
        <f>IF(Sistema!BU37="","",Sistema!BU37)</f>
        <v/>
      </c>
      <c r="BV37" t="str">
        <f>IF(Sistema!BV37="","",Sistema!BV37)</f>
        <v/>
      </c>
      <c r="BW37" t="str">
        <f>IF(Sistema!BW37="","",Sistema!BW37)</f>
        <v/>
      </c>
      <c r="BX37" t="str">
        <f>IF(Sistema!BX37="","",Sistema!BX37)</f>
        <v/>
      </c>
      <c r="BY37" t="str">
        <f>IF(Sistema!BY37="","",Sistema!BY37)</f>
        <v/>
      </c>
      <c r="BZ37" t="str">
        <f>IF(Sistema!BZ37="","",Sistema!BZ37)</f>
        <v/>
      </c>
      <c r="CA37" t="str">
        <f>IF(Sistema!CA37="","",Sistema!CA37)</f>
        <v/>
      </c>
      <c r="CB37" t="str">
        <f>IF(Sistema!CB37="","",Sistema!CB37)</f>
        <v/>
      </c>
      <c r="CC37" t="str">
        <f>IF(Sistema!CC37="","",Sistema!CC37)</f>
        <v/>
      </c>
      <c r="CD37" t="str">
        <f>IF(Sistema!CD37="","",Sistema!CD37)</f>
        <v/>
      </c>
    </row>
    <row r="38" spans="1:82" x14ac:dyDescent="0.25">
      <c r="A38" t="str">
        <f>IF(Sistema!A38="","",Sistema!A38)</f>
        <v/>
      </c>
      <c r="B38" t="str">
        <f>IF(Sistema!B38="","",Sistema!B38)</f>
        <v/>
      </c>
      <c r="C38" t="str">
        <f>IF(Sistema!C38="","",Sistema!C38)</f>
        <v/>
      </c>
      <c r="D38" t="str">
        <f>IF(Sistema!D38="","",Sistema!D38)</f>
        <v/>
      </c>
      <c r="E38" t="str">
        <f>IF(Sistema!E38="","",Sistema!E38)</f>
        <v/>
      </c>
      <c r="F38">
        <f>IF(P38&gt;0,1,IF(Sistema!F38=0,-1,1))</f>
        <v>-1</v>
      </c>
      <c r="G38">
        <f>Sistema!G38</f>
        <v>0</v>
      </c>
      <c r="H38" t="str">
        <f>IF(OR(R38="notify",R38=1),"visible",IF(OR(Sistema!F38=-1,Sistema!F38=0,ISNUMBER(SEARCH("PCK",E38))),"hidden",IF(P38&gt;0,"visible","hidden")))</f>
        <v>hidden</v>
      </c>
      <c r="I38" t="str">
        <f>IF(B38="simple",IF(P38&gt;0,"",IF(R38="notify",Info!C$2,"")),IF(B38="variable",IF(P38&gt;0,"",IF(R38="notify",Info!C$4,"")),""))</f>
        <v/>
      </c>
      <c r="J38" t="str">
        <f>IF(Sistema!J38="","",Sistema!J38)</f>
        <v/>
      </c>
      <c r="M38" t="str">
        <f>IF(Sistema!M38="","",Sistema!M38)</f>
        <v/>
      </c>
      <c r="N38" s="6" t="s">
        <v>1557</v>
      </c>
      <c r="O38" s="6">
        <v>1</v>
      </c>
      <c r="P38">
        <f>Sistema!P38</f>
        <v>0</v>
      </c>
      <c r="Q38">
        <f>Sistema!Q38</f>
        <v>0</v>
      </c>
      <c r="R38">
        <f>IF(Sistema!R38=1,"notify",Sistema!R38)</f>
        <v>0</v>
      </c>
      <c r="T38" t="str">
        <f>IF(Sistema!T38="","",Sistema!T38)</f>
        <v/>
      </c>
      <c r="U38" t="str">
        <f>IF(Sistema!U38="","",Sistema!U38)</f>
        <v/>
      </c>
      <c r="V38" t="str">
        <f>IF(Sistema!V38="","",Sistema!V38)</f>
        <v/>
      </c>
      <c r="W38" t="str">
        <f>IF(Sistema!W38="","",Sistema!W38)</f>
        <v/>
      </c>
      <c r="X38" s="6">
        <v>1</v>
      </c>
      <c r="Z38" t="str">
        <f>IF(Sistema!Z38="","",Sistema!Z38)</f>
        <v/>
      </c>
      <c r="AA38" t="str">
        <f>IF(Sistema!AA38="","",Sistema!AA38)</f>
        <v/>
      </c>
      <c r="AB38" t="str">
        <f>IF(Sistema!AB38="","",IF(OR(ISNUMBER(SEARCH("MKP",E38)),ISNUMBER(SEARCH("MKP",C38))),"Marketplace &gt; "&amp;Sistema!AB38,Sistema!AB38))</f>
        <v/>
      </c>
      <c r="AC38" t="str">
        <f>IF(Sistema!AC38="","",Sistema!AC38)</f>
        <v/>
      </c>
      <c r="AE38" t="str">
        <f>IF(Sistema!AE38="","",Sistema!AE38)</f>
        <v/>
      </c>
      <c r="AH38" t="str">
        <f>IF(Sistema!AH38="","",Sistema!AH38)</f>
        <v/>
      </c>
      <c r="AQ38" t="str">
        <f>IF(Sistema!AQ38="","",Sistema!AQ38)</f>
        <v/>
      </c>
      <c r="AR38" t="str">
        <f>IF(Sistema!AR38="","",Sistema!AR38)</f>
        <v/>
      </c>
      <c r="AS38" t="str">
        <f>IF(Sistema!AS38="","",Sistema!AS38)</f>
        <v/>
      </c>
      <c r="AT38" t="str">
        <f>IF(Sistema!AT38="","",Sistema!AT38)</f>
        <v/>
      </c>
      <c r="AU38" t="str">
        <f>IF(Sistema!AU38="","",Sistema!AU38)</f>
        <v/>
      </c>
      <c r="AV38" t="str">
        <f>IF(Sistema!AV38="","",Sistema!AV38)</f>
        <v/>
      </c>
      <c r="AW38" t="str">
        <f>IF(Sistema!AW38="","",Sistema!AW38)</f>
        <v/>
      </c>
      <c r="AX38" t="str">
        <f>IF(Sistema!AX38="","",Sistema!AX38)</f>
        <v/>
      </c>
      <c r="AY38" t="str">
        <f>IF(Sistema!AY38="","",Sistema!AY38)</f>
        <v/>
      </c>
      <c r="AZ38" t="str">
        <f>IF(Sistema!AZ38="","",Sistema!AZ38)</f>
        <v/>
      </c>
      <c r="BA38" t="str">
        <f>IF(Sistema!BA38="","",Sistema!BA38)</f>
        <v/>
      </c>
      <c r="BB38" t="str">
        <f>IF(Sistema!BB38="","",Sistema!BB38)</f>
        <v/>
      </c>
      <c r="BC38" t="str">
        <f>IF(Sistema!BC38="","",Sistema!BC38)</f>
        <v/>
      </c>
      <c r="BD38" t="str">
        <f>IF(Sistema!BD38="","",Sistema!BD38)</f>
        <v/>
      </c>
      <c r="BE38" t="str">
        <f>IF(Sistema!BE38="","",Sistema!BE38)</f>
        <v/>
      </c>
      <c r="BF38" t="str">
        <f>IF(Sistema!BF38="","",Sistema!BF38)</f>
        <v/>
      </c>
      <c r="BG38" t="str">
        <f>IF(Sistema!BG38="","",Sistema!BG38)</f>
        <v/>
      </c>
      <c r="BH38" t="str">
        <f>IF(Sistema!BH38="","",Sistema!BH38)</f>
        <v/>
      </c>
      <c r="BI38" t="str">
        <f>IF(Sistema!BI38="","",Sistema!BI38)</f>
        <v/>
      </c>
      <c r="BJ38" t="str">
        <f>IF(Sistema!BJ38="","",Sistema!BJ38)</f>
        <v/>
      </c>
      <c r="BK38" t="str">
        <f>IF(Sistema!BK38="","",Sistema!BK38)</f>
        <v/>
      </c>
      <c r="BL38" t="str">
        <f>IF(Sistema!BL38="","",Sistema!BL38)</f>
        <v/>
      </c>
      <c r="BM38" t="str">
        <f>IF(Sistema!BM38="","",Sistema!BM38)</f>
        <v/>
      </c>
      <c r="BN38" t="str">
        <f>IF(Sistema!BN38="","",Sistema!BN38)</f>
        <v/>
      </c>
      <c r="BO38" t="str">
        <f>IF(Sistema!BO38="","",Sistema!BO38)</f>
        <v/>
      </c>
      <c r="BP38" t="str">
        <f>IF(Sistema!BP38="","",Sistema!BP38)</f>
        <v/>
      </c>
      <c r="BQ38" t="str">
        <f>IF(Sistema!BQ38="","",Sistema!BQ38)</f>
        <v/>
      </c>
      <c r="BR38" t="str">
        <f>IF(Sistema!BR38="","",Sistema!BR38)</f>
        <v/>
      </c>
      <c r="BS38" t="str">
        <f>IF(Sistema!BS38="","",Sistema!BS38)</f>
        <v/>
      </c>
      <c r="BT38" t="str">
        <f>IF(Sistema!BT38="","",Sistema!BT38)</f>
        <v/>
      </c>
      <c r="BU38" t="str">
        <f>IF(Sistema!BU38="","",Sistema!BU38)</f>
        <v/>
      </c>
      <c r="BV38" t="str">
        <f>IF(Sistema!BV38="","",Sistema!BV38)</f>
        <v/>
      </c>
      <c r="BW38" t="str">
        <f>IF(Sistema!BW38="","",Sistema!BW38)</f>
        <v/>
      </c>
      <c r="BX38" t="str">
        <f>IF(Sistema!BX38="","",Sistema!BX38)</f>
        <v/>
      </c>
      <c r="BY38" t="str">
        <f>IF(Sistema!BY38="","",Sistema!BY38)</f>
        <v/>
      </c>
      <c r="BZ38" t="str">
        <f>IF(Sistema!BZ38="","",Sistema!BZ38)</f>
        <v/>
      </c>
      <c r="CA38" t="str">
        <f>IF(Sistema!CA38="","",Sistema!CA38)</f>
        <v/>
      </c>
      <c r="CB38" t="str">
        <f>IF(Sistema!CB38="","",Sistema!CB38)</f>
        <v/>
      </c>
      <c r="CC38" t="str">
        <f>IF(Sistema!CC38="","",Sistema!CC38)</f>
        <v/>
      </c>
      <c r="CD38" t="str">
        <f>IF(Sistema!CD38="","",Sistema!CD38)</f>
        <v/>
      </c>
    </row>
    <row r="39" spans="1:82" x14ac:dyDescent="0.25">
      <c r="A39" t="str">
        <f>IF(Sistema!A39="","",Sistema!A39)</f>
        <v/>
      </c>
      <c r="B39" t="str">
        <f>IF(Sistema!B39="","",Sistema!B39)</f>
        <v/>
      </c>
      <c r="C39" t="str">
        <f>IF(Sistema!C39="","",Sistema!C39)</f>
        <v/>
      </c>
      <c r="D39" t="str">
        <f>IF(Sistema!D39="","",Sistema!D39)</f>
        <v/>
      </c>
      <c r="E39" t="str">
        <f>IF(Sistema!E39="","",Sistema!E39)</f>
        <v/>
      </c>
      <c r="F39">
        <f>IF(P39&gt;0,1,IF(Sistema!F39=0,-1,1))</f>
        <v>-1</v>
      </c>
      <c r="G39">
        <f>Sistema!G39</f>
        <v>0</v>
      </c>
      <c r="H39" t="str">
        <f>IF(OR(R39="notify",R39=1),"visible",IF(OR(Sistema!F39=-1,Sistema!F39=0,ISNUMBER(SEARCH("PCK",E39))),"hidden",IF(P39&gt;0,"visible","hidden")))</f>
        <v>hidden</v>
      </c>
      <c r="I39" t="str">
        <f>IF(B39="simple",IF(P39&gt;0,"",IF(R39="notify",Info!C$2,"")),IF(B39="variable",IF(P39&gt;0,"",IF(R39="notify",Info!C$4,"")),""))</f>
        <v/>
      </c>
      <c r="J39" t="str">
        <f>IF(Sistema!J39="","",Sistema!J39)</f>
        <v/>
      </c>
      <c r="M39" t="str">
        <f>IF(Sistema!M39="","",Sistema!M39)</f>
        <v/>
      </c>
      <c r="N39" s="6" t="s">
        <v>1557</v>
      </c>
      <c r="O39" s="6">
        <v>1</v>
      </c>
      <c r="P39">
        <f>Sistema!P39</f>
        <v>0</v>
      </c>
      <c r="Q39">
        <f>Sistema!Q39</f>
        <v>0</v>
      </c>
      <c r="R39">
        <f>IF(Sistema!R39=1,"notify",Sistema!R39)</f>
        <v>0</v>
      </c>
      <c r="T39" t="str">
        <f>IF(Sistema!T39="","",Sistema!T39)</f>
        <v/>
      </c>
      <c r="U39" t="str">
        <f>IF(Sistema!U39="","",Sistema!U39)</f>
        <v/>
      </c>
      <c r="V39" t="str">
        <f>IF(Sistema!V39="","",Sistema!V39)</f>
        <v/>
      </c>
      <c r="W39" t="str">
        <f>IF(Sistema!W39="","",Sistema!W39)</f>
        <v/>
      </c>
      <c r="X39" s="6">
        <v>1</v>
      </c>
      <c r="Z39" t="str">
        <f>IF(Sistema!Z39="","",Sistema!Z39)</f>
        <v/>
      </c>
      <c r="AA39" t="str">
        <f>IF(Sistema!AA39="","",Sistema!AA39)</f>
        <v/>
      </c>
      <c r="AB39" t="str">
        <f>IF(Sistema!AB39="","",IF(OR(ISNUMBER(SEARCH("MKP",E39)),ISNUMBER(SEARCH("MKP",C39))),"Marketplace &gt; "&amp;Sistema!AB39,Sistema!AB39))</f>
        <v/>
      </c>
      <c r="AC39" t="str">
        <f>IF(Sistema!AC39="","",Sistema!AC39)</f>
        <v/>
      </c>
      <c r="AE39" t="str">
        <f>IF(Sistema!AE39="","",Sistema!AE39)</f>
        <v/>
      </c>
      <c r="AH39" t="str">
        <f>IF(Sistema!AH39="","",Sistema!AH39)</f>
        <v/>
      </c>
      <c r="AQ39" t="str">
        <f>IF(Sistema!AQ39="","",Sistema!AQ39)</f>
        <v/>
      </c>
      <c r="AR39" t="str">
        <f>IF(Sistema!AR39="","",Sistema!AR39)</f>
        <v/>
      </c>
      <c r="AS39" t="str">
        <f>IF(Sistema!AS39="","",Sistema!AS39)</f>
        <v/>
      </c>
      <c r="AT39" t="str">
        <f>IF(Sistema!AT39="","",Sistema!AT39)</f>
        <v/>
      </c>
      <c r="AU39" t="str">
        <f>IF(Sistema!AU39="","",Sistema!AU39)</f>
        <v/>
      </c>
      <c r="AV39" t="str">
        <f>IF(Sistema!AV39="","",Sistema!AV39)</f>
        <v/>
      </c>
      <c r="AW39" t="str">
        <f>IF(Sistema!AW39="","",Sistema!AW39)</f>
        <v/>
      </c>
      <c r="AX39" t="str">
        <f>IF(Sistema!AX39="","",Sistema!AX39)</f>
        <v/>
      </c>
      <c r="AY39" t="str">
        <f>IF(Sistema!AY39="","",Sistema!AY39)</f>
        <v/>
      </c>
      <c r="AZ39" t="str">
        <f>IF(Sistema!AZ39="","",Sistema!AZ39)</f>
        <v/>
      </c>
      <c r="BA39" t="str">
        <f>IF(Sistema!BA39="","",Sistema!BA39)</f>
        <v/>
      </c>
      <c r="BB39" t="str">
        <f>IF(Sistema!BB39="","",Sistema!BB39)</f>
        <v/>
      </c>
      <c r="BC39" t="str">
        <f>IF(Sistema!BC39="","",Sistema!BC39)</f>
        <v/>
      </c>
      <c r="BD39" t="str">
        <f>IF(Sistema!BD39="","",Sistema!BD39)</f>
        <v/>
      </c>
      <c r="BE39" t="str">
        <f>IF(Sistema!BE39="","",Sistema!BE39)</f>
        <v/>
      </c>
      <c r="BF39" t="str">
        <f>IF(Sistema!BF39="","",Sistema!BF39)</f>
        <v/>
      </c>
      <c r="BG39" t="str">
        <f>IF(Sistema!BG39="","",Sistema!BG39)</f>
        <v/>
      </c>
      <c r="BH39" t="str">
        <f>IF(Sistema!BH39="","",Sistema!BH39)</f>
        <v/>
      </c>
      <c r="BI39" t="str">
        <f>IF(Sistema!BI39="","",Sistema!BI39)</f>
        <v/>
      </c>
      <c r="BJ39" t="str">
        <f>IF(Sistema!BJ39="","",Sistema!BJ39)</f>
        <v/>
      </c>
      <c r="BK39" t="str">
        <f>IF(Sistema!BK39="","",Sistema!BK39)</f>
        <v/>
      </c>
      <c r="BL39" t="str">
        <f>IF(Sistema!BL39="","",Sistema!BL39)</f>
        <v/>
      </c>
      <c r="BM39" t="str">
        <f>IF(Sistema!BM39="","",Sistema!BM39)</f>
        <v/>
      </c>
      <c r="BN39" t="str">
        <f>IF(Sistema!BN39="","",Sistema!BN39)</f>
        <v/>
      </c>
      <c r="BO39" t="str">
        <f>IF(Sistema!BO39="","",Sistema!BO39)</f>
        <v/>
      </c>
      <c r="BP39" t="str">
        <f>IF(Sistema!BP39="","",Sistema!BP39)</f>
        <v/>
      </c>
      <c r="BQ39" t="str">
        <f>IF(Sistema!BQ39="","",Sistema!BQ39)</f>
        <v/>
      </c>
      <c r="BR39" t="str">
        <f>IF(Sistema!BR39="","",Sistema!BR39)</f>
        <v/>
      </c>
      <c r="BS39" t="str">
        <f>IF(Sistema!BS39="","",Sistema!BS39)</f>
        <v/>
      </c>
      <c r="BT39" t="str">
        <f>IF(Sistema!BT39="","",Sistema!BT39)</f>
        <v/>
      </c>
      <c r="BU39" t="str">
        <f>IF(Sistema!BU39="","",Sistema!BU39)</f>
        <v/>
      </c>
      <c r="BV39" t="str">
        <f>IF(Sistema!BV39="","",Sistema!BV39)</f>
        <v/>
      </c>
      <c r="BW39" t="str">
        <f>IF(Sistema!BW39="","",Sistema!BW39)</f>
        <v/>
      </c>
      <c r="BX39" t="str">
        <f>IF(Sistema!BX39="","",Sistema!BX39)</f>
        <v/>
      </c>
      <c r="BY39" t="str">
        <f>IF(Sistema!BY39="","",Sistema!BY39)</f>
        <v/>
      </c>
      <c r="BZ39" t="str">
        <f>IF(Sistema!BZ39="","",Sistema!BZ39)</f>
        <v/>
      </c>
      <c r="CA39" t="str">
        <f>IF(Sistema!CA39="","",Sistema!CA39)</f>
        <v/>
      </c>
      <c r="CB39" t="str">
        <f>IF(Sistema!CB39="","",Sistema!CB39)</f>
        <v/>
      </c>
      <c r="CC39" t="str">
        <f>IF(Sistema!CC39="","",Sistema!CC39)</f>
        <v/>
      </c>
      <c r="CD39" t="str">
        <f>IF(Sistema!CD39="","",Sistema!CD39)</f>
        <v/>
      </c>
    </row>
    <row r="40" spans="1:82" x14ac:dyDescent="0.25">
      <c r="A40" t="str">
        <f>IF(Sistema!A40="","",Sistema!A40)</f>
        <v/>
      </c>
      <c r="B40" t="str">
        <f>IF(Sistema!B40="","",Sistema!B40)</f>
        <v/>
      </c>
      <c r="C40" t="str">
        <f>IF(Sistema!C40="","",Sistema!C40)</f>
        <v/>
      </c>
      <c r="D40" t="str">
        <f>IF(Sistema!D40="","",Sistema!D40)</f>
        <v/>
      </c>
      <c r="E40" t="str">
        <f>IF(Sistema!E40="","",Sistema!E40)</f>
        <v/>
      </c>
      <c r="F40">
        <f>IF(P40&gt;0,1,IF(Sistema!F40=0,-1,1))</f>
        <v>-1</v>
      </c>
      <c r="G40">
        <f>Sistema!G40</f>
        <v>0</v>
      </c>
      <c r="H40" t="str">
        <f>IF(OR(R40="notify",R40=1),"visible",IF(OR(Sistema!F40=-1,Sistema!F40=0,ISNUMBER(SEARCH("PCK",E40))),"hidden",IF(P40&gt;0,"visible","hidden")))</f>
        <v>hidden</v>
      </c>
      <c r="I40" t="str">
        <f>IF(B40="simple",IF(P40&gt;0,"",IF(R40="notify",Info!C$2,"")),IF(B40="variable",IF(P40&gt;0,"",IF(R40="notify",Info!C$4,"")),""))</f>
        <v/>
      </c>
      <c r="J40" t="str">
        <f>IF(Sistema!J40="","",Sistema!J40)</f>
        <v/>
      </c>
      <c r="M40" t="str">
        <f>IF(Sistema!M40="","",Sistema!M40)</f>
        <v/>
      </c>
      <c r="N40" s="6" t="s">
        <v>1557</v>
      </c>
      <c r="O40" s="6">
        <v>1</v>
      </c>
      <c r="P40">
        <f>Sistema!P40</f>
        <v>0</v>
      </c>
      <c r="Q40">
        <f>Sistema!Q40</f>
        <v>0</v>
      </c>
      <c r="R40">
        <f>IF(Sistema!R40=1,"notify",Sistema!R40)</f>
        <v>0</v>
      </c>
      <c r="T40" t="str">
        <f>IF(Sistema!T40="","",Sistema!T40)</f>
        <v/>
      </c>
      <c r="U40" t="str">
        <f>IF(Sistema!U40="","",Sistema!U40)</f>
        <v/>
      </c>
      <c r="V40" t="str">
        <f>IF(Sistema!V40="","",Sistema!V40)</f>
        <v/>
      </c>
      <c r="W40" t="str">
        <f>IF(Sistema!W40="","",Sistema!W40)</f>
        <v/>
      </c>
      <c r="X40" s="6">
        <v>1</v>
      </c>
      <c r="Z40" t="str">
        <f>IF(Sistema!Z40="","",Sistema!Z40)</f>
        <v/>
      </c>
      <c r="AA40" t="str">
        <f>IF(Sistema!AA40="","",Sistema!AA40)</f>
        <v/>
      </c>
      <c r="AB40" t="str">
        <f>IF(Sistema!AB40="","",IF(OR(ISNUMBER(SEARCH("MKP",E40)),ISNUMBER(SEARCH("MKP",C40))),"Marketplace &gt; "&amp;Sistema!AB40,Sistema!AB40))</f>
        <v/>
      </c>
      <c r="AC40" t="str">
        <f>IF(Sistema!AC40="","",Sistema!AC40)</f>
        <v/>
      </c>
      <c r="AE40" t="str">
        <f>IF(Sistema!AE40="","",Sistema!AE40)</f>
        <v/>
      </c>
      <c r="AH40" t="str">
        <f>IF(Sistema!AH40="","",Sistema!AH40)</f>
        <v/>
      </c>
      <c r="AQ40" t="str">
        <f>IF(Sistema!AQ40="","",Sistema!AQ40)</f>
        <v/>
      </c>
      <c r="AR40" t="str">
        <f>IF(Sistema!AR40="","",Sistema!AR40)</f>
        <v/>
      </c>
      <c r="AS40" t="str">
        <f>IF(Sistema!AS40="","",Sistema!AS40)</f>
        <v/>
      </c>
      <c r="AT40" t="str">
        <f>IF(Sistema!AT40="","",Sistema!AT40)</f>
        <v/>
      </c>
      <c r="AU40" t="str">
        <f>IF(Sistema!AU40="","",Sistema!AU40)</f>
        <v/>
      </c>
      <c r="AV40" t="str">
        <f>IF(Sistema!AV40="","",Sistema!AV40)</f>
        <v/>
      </c>
      <c r="AW40" t="str">
        <f>IF(Sistema!AW40="","",Sistema!AW40)</f>
        <v/>
      </c>
      <c r="AX40" t="str">
        <f>IF(Sistema!AX40="","",Sistema!AX40)</f>
        <v/>
      </c>
      <c r="AY40" t="str">
        <f>IF(Sistema!AY40="","",Sistema!AY40)</f>
        <v/>
      </c>
      <c r="AZ40" t="str">
        <f>IF(Sistema!AZ40="","",Sistema!AZ40)</f>
        <v/>
      </c>
      <c r="BA40" t="str">
        <f>IF(Sistema!BA40="","",Sistema!BA40)</f>
        <v/>
      </c>
      <c r="BB40" t="str">
        <f>IF(Sistema!BB40="","",Sistema!BB40)</f>
        <v/>
      </c>
      <c r="BC40" t="str">
        <f>IF(Sistema!BC40="","",Sistema!BC40)</f>
        <v/>
      </c>
      <c r="BD40" t="str">
        <f>IF(Sistema!BD40="","",Sistema!BD40)</f>
        <v/>
      </c>
      <c r="BE40" t="str">
        <f>IF(Sistema!BE40="","",Sistema!BE40)</f>
        <v/>
      </c>
      <c r="BF40" t="str">
        <f>IF(Sistema!BF40="","",Sistema!BF40)</f>
        <v/>
      </c>
      <c r="BG40" t="str">
        <f>IF(Sistema!BG40="","",Sistema!BG40)</f>
        <v/>
      </c>
      <c r="BH40" t="str">
        <f>IF(Sistema!BH40="","",Sistema!BH40)</f>
        <v/>
      </c>
      <c r="BI40" t="str">
        <f>IF(Sistema!BI40="","",Sistema!BI40)</f>
        <v/>
      </c>
      <c r="BJ40" t="str">
        <f>IF(Sistema!BJ40="","",Sistema!BJ40)</f>
        <v/>
      </c>
      <c r="BK40" t="str">
        <f>IF(Sistema!BK40="","",Sistema!BK40)</f>
        <v/>
      </c>
      <c r="BL40" t="str">
        <f>IF(Sistema!BL40="","",Sistema!BL40)</f>
        <v/>
      </c>
      <c r="BM40" t="str">
        <f>IF(Sistema!BM40="","",Sistema!BM40)</f>
        <v/>
      </c>
      <c r="BN40" t="str">
        <f>IF(Sistema!BN40="","",Sistema!BN40)</f>
        <v/>
      </c>
      <c r="BO40" t="str">
        <f>IF(Sistema!BO40="","",Sistema!BO40)</f>
        <v/>
      </c>
      <c r="BP40" t="str">
        <f>IF(Sistema!BP40="","",Sistema!BP40)</f>
        <v/>
      </c>
      <c r="BQ40" t="str">
        <f>IF(Sistema!BQ40="","",Sistema!BQ40)</f>
        <v/>
      </c>
      <c r="BR40" t="str">
        <f>IF(Sistema!BR40="","",Sistema!BR40)</f>
        <v/>
      </c>
      <c r="BS40" t="str">
        <f>IF(Sistema!BS40="","",Sistema!BS40)</f>
        <v/>
      </c>
      <c r="BT40" t="str">
        <f>IF(Sistema!BT40="","",Sistema!BT40)</f>
        <v/>
      </c>
      <c r="BU40" t="str">
        <f>IF(Sistema!BU40="","",Sistema!BU40)</f>
        <v/>
      </c>
      <c r="BV40" t="str">
        <f>IF(Sistema!BV40="","",Sistema!BV40)</f>
        <v/>
      </c>
      <c r="BW40" t="str">
        <f>IF(Sistema!BW40="","",Sistema!BW40)</f>
        <v/>
      </c>
      <c r="BX40" t="str">
        <f>IF(Sistema!BX40="","",Sistema!BX40)</f>
        <v/>
      </c>
      <c r="BY40" t="str">
        <f>IF(Sistema!BY40="","",Sistema!BY40)</f>
        <v/>
      </c>
      <c r="BZ40" t="str">
        <f>IF(Sistema!BZ40="","",Sistema!BZ40)</f>
        <v/>
      </c>
      <c r="CA40" t="str">
        <f>IF(Sistema!CA40="","",Sistema!CA40)</f>
        <v/>
      </c>
      <c r="CB40" t="str">
        <f>IF(Sistema!CB40="","",Sistema!CB40)</f>
        <v/>
      </c>
      <c r="CC40" t="str">
        <f>IF(Sistema!CC40="","",Sistema!CC40)</f>
        <v/>
      </c>
      <c r="CD40" t="str">
        <f>IF(Sistema!CD40="","",Sistema!CD40)</f>
        <v/>
      </c>
    </row>
    <row r="41" spans="1:82" x14ac:dyDescent="0.25">
      <c r="A41" t="str">
        <f>IF(Sistema!A41="","",Sistema!A41)</f>
        <v/>
      </c>
      <c r="B41" t="str">
        <f>IF(Sistema!B41="","",Sistema!B41)</f>
        <v/>
      </c>
      <c r="C41" t="str">
        <f>IF(Sistema!C41="","",Sistema!C41)</f>
        <v/>
      </c>
      <c r="D41" t="str">
        <f>IF(Sistema!D41="","",Sistema!D41)</f>
        <v/>
      </c>
      <c r="E41" t="str">
        <f>IF(Sistema!E41="","",Sistema!E41)</f>
        <v/>
      </c>
      <c r="F41">
        <f>IF(P41&gt;0,1,IF(Sistema!F41=0,-1,1))</f>
        <v>-1</v>
      </c>
      <c r="G41">
        <f>Sistema!G41</f>
        <v>0</v>
      </c>
      <c r="H41" t="str">
        <f>IF(OR(R41="notify",R41=1),"visible",IF(OR(Sistema!F41=-1,Sistema!F41=0,ISNUMBER(SEARCH("PCK",E41))),"hidden",IF(P41&gt;0,"visible","hidden")))</f>
        <v>hidden</v>
      </c>
      <c r="I41" t="str">
        <f>IF(B41="simple",IF(P41&gt;0,"",IF(R41="notify",Info!C$2,"")),IF(B41="variable",IF(P41&gt;0,"",IF(R41="notify",Info!C$4,"")),""))</f>
        <v/>
      </c>
      <c r="J41" t="str">
        <f>IF(Sistema!J41="","",Sistema!J41)</f>
        <v/>
      </c>
      <c r="M41" t="str">
        <f>IF(Sistema!M41="","",Sistema!M41)</f>
        <v/>
      </c>
      <c r="N41" s="6" t="s">
        <v>1557</v>
      </c>
      <c r="O41" s="6">
        <v>1</v>
      </c>
      <c r="P41">
        <f>Sistema!P41</f>
        <v>0</v>
      </c>
      <c r="Q41">
        <f>Sistema!Q41</f>
        <v>0</v>
      </c>
      <c r="R41">
        <f>IF(Sistema!R41=1,"notify",Sistema!R41)</f>
        <v>0</v>
      </c>
      <c r="T41" t="str">
        <f>IF(Sistema!T41="","",Sistema!T41)</f>
        <v/>
      </c>
      <c r="U41" t="str">
        <f>IF(Sistema!U41="","",Sistema!U41)</f>
        <v/>
      </c>
      <c r="V41" t="str">
        <f>IF(Sistema!V41="","",Sistema!V41)</f>
        <v/>
      </c>
      <c r="W41" t="str">
        <f>IF(Sistema!W41="","",Sistema!W41)</f>
        <v/>
      </c>
      <c r="X41" s="6">
        <v>1</v>
      </c>
      <c r="Z41" t="str">
        <f>IF(Sistema!Z41="","",Sistema!Z41)</f>
        <v/>
      </c>
      <c r="AA41" t="str">
        <f>IF(Sistema!AA41="","",Sistema!AA41)</f>
        <v/>
      </c>
      <c r="AB41" t="str">
        <f>IF(Sistema!AB41="","",IF(OR(ISNUMBER(SEARCH("MKP",E41)),ISNUMBER(SEARCH("MKP",C41))),"Marketplace &gt; "&amp;Sistema!AB41,Sistema!AB41))</f>
        <v/>
      </c>
      <c r="AC41" t="str">
        <f>IF(Sistema!AC41="","",Sistema!AC41)</f>
        <v/>
      </c>
      <c r="AE41" t="str">
        <f>IF(Sistema!AE41="","",Sistema!AE41)</f>
        <v/>
      </c>
      <c r="AH41" t="str">
        <f>IF(Sistema!AH41="","",Sistema!AH41)</f>
        <v/>
      </c>
      <c r="AQ41" t="str">
        <f>IF(Sistema!AQ41="","",Sistema!AQ41)</f>
        <v/>
      </c>
      <c r="AR41" t="str">
        <f>IF(Sistema!AR41="","",Sistema!AR41)</f>
        <v/>
      </c>
      <c r="AS41" t="str">
        <f>IF(Sistema!AS41="","",Sistema!AS41)</f>
        <v/>
      </c>
      <c r="AT41" t="str">
        <f>IF(Sistema!AT41="","",Sistema!AT41)</f>
        <v/>
      </c>
      <c r="AU41" t="str">
        <f>IF(Sistema!AU41="","",Sistema!AU41)</f>
        <v/>
      </c>
      <c r="AV41" t="str">
        <f>IF(Sistema!AV41="","",Sistema!AV41)</f>
        <v/>
      </c>
      <c r="AW41" t="str">
        <f>IF(Sistema!AW41="","",Sistema!AW41)</f>
        <v/>
      </c>
      <c r="AX41" t="str">
        <f>IF(Sistema!AX41="","",Sistema!AX41)</f>
        <v/>
      </c>
      <c r="AY41" t="str">
        <f>IF(Sistema!AY41="","",Sistema!AY41)</f>
        <v/>
      </c>
      <c r="AZ41" t="str">
        <f>IF(Sistema!AZ41="","",Sistema!AZ41)</f>
        <v/>
      </c>
      <c r="BA41" t="str">
        <f>IF(Sistema!BA41="","",Sistema!BA41)</f>
        <v/>
      </c>
      <c r="BB41" t="str">
        <f>IF(Sistema!BB41="","",Sistema!BB41)</f>
        <v/>
      </c>
      <c r="BC41" t="str">
        <f>IF(Sistema!BC41="","",Sistema!BC41)</f>
        <v/>
      </c>
      <c r="BD41" t="str">
        <f>IF(Sistema!BD41="","",Sistema!BD41)</f>
        <v/>
      </c>
      <c r="BE41" t="str">
        <f>IF(Sistema!BE41="","",Sistema!BE41)</f>
        <v/>
      </c>
      <c r="BF41" t="str">
        <f>IF(Sistema!BF41="","",Sistema!BF41)</f>
        <v/>
      </c>
      <c r="BG41" t="str">
        <f>IF(Sistema!BG41="","",Sistema!BG41)</f>
        <v/>
      </c>
      <c r="BH41" t="str">
        <f>IF(Sistema!BH41="","",Sistema!BH41)</f>
        <v/>
      </c>
      <c r="BI41" t="str">
        <f>IF(Sistema!BI41="","",Sistema!BI41)</f>
        <v/>
      </c>
      <c r="BJ41" t="str">
        <f>IF(Sistema!BJ41="","",Sistema!BJ41)</f>
        <v/>
      </c>
      <c r="BK41" t="str">
        <f>IF(Sistema!BK41="","",Sistema!BK41)</f>
        <v/>
      </c>
      <c r="BL41" t="str">
        <f>IF(Sistema!BL41="","",Sistema!BL41)</f>
        <v/>
      </c>
      <c r="BM41" t="str">
        <f>IF(Sistema!BM41="","",Sistema!BM41)</f>
        <v/>
      </c>
      <c r="BN41" t="str">
        <f>IF(Sistema!BN41="","",Sistema!BN41)</f>
        <v/>
      </c>
      <c r="BO41" t="str">
        <f>IF(Sistema!BO41="","",Sistema!BO41)</f>
        <v/>
      </c>
      <c r="BP41" t="str">
        <f>IF(Sistema!BP41="","",Sistema!BP41)</f>
        <v/>
      </c>
      <c r="BQ41" t="str">
        <f>IF(Sistema!BQ41="","",Sistema!BQ41)</f>
        <v/>
      </c>
      <c r="BR41" t="str">
        <f>IF(Sistema!BR41="","",Sistema!BR41)</f>
        <v/>
      </c>
      <c r="BS41" t="str">
        <f>IF(Sistema!BS41="","",Sistema!BS41)</f>
        <v/>
      </c>
      <c r="BT41" t="str">
        <f>IF(Sistema!BT41="","",Sistema!BT41)</f>
        <v/>
      </c>
      <c r="BU41" t="str">
        <f>IF(Sistema!BU41="","",Sistema!BU41)</f>
        <v/>
      </c>
      <c r="BV41" t="str">
        <f>IF(Sistema!BV41="","",Sistema!BV41)</f>
        <v/>
      </c>
      <c r="BW41" t="str">
        <f>IF(Sistema!BW41="","",Sistema!BW41)</f>
        <v/>
      </c>
      <c r="BX41" t="str">
        <f>IF(Sistema!BX41="","",Sistema!BX41)</f>
        <v/>
      </c>
      <c r="BY41" t="str">
        <f>IF(Sistema!BY41="","",Sistema!BY41)</f>
        <v/>
      </c>
      <c r="BZ41" t="str">
        <f>IF(Sistema!BZ41="","",Sistema!BZ41)</f>
        <v/>
      </c>
      <c r="CA41" t="str">
        <f>IF(Sistema!CA41="","",Sistema!CA41)</f>
        <v/>
      </c>
      <c r="CB41" t="str">
        <f>IF(Sistema!CB41="","",Sistema!CB41)</f>
        <v/>
      </c>
      <c r="CC41" t="str">
        <f>IF(Sistema!CC41="","",Sistema!CC41)</f>
        <v/>
      </c>
      <c r="CD41" t="str">
        <f>IF(Sistema!CD41="","",Sistema!CD41)</f>
        <v/>
      </c>
    </row>
    <row r="42" spans="1:82" x14ac:dyDescent="0.25">
      <c r="A42" t="str">
        <f>IF(Sistema!A42="","",Sistema!A42)</f>
        <v/>
      </c>
      <c r="B42" t="str">
        <f>IF(Sistema!B42="","",Sistema!B42)</f>
        <v/>
      </c>
      <c r="C42" t="str">
        <f>IF(Sistema!C42="","",Sistema!C42)</f>
        <v/>
      </c>
      <c r="D42" t="str">
        <f>IF(Sistema!D42="","",Sistema!D42)</f>
        <v/>
      </c>
      <c r="E42" t="str">
        <f>IF(Sistema!E42="","",Sistema!E42)</f>
        <v/>
      </c>
      <c r="F42">
        <f>IF(P42&gt;0,1,IF(Sistema!F42=0,-1,1))</f>
        <v>-1</v>
      </c>
      <c r="G42">
        <f>Sistema!G42</f>
        <v>0</v>
      </c>
      <c r="H42" t="str">
        <f>IF(OR(R42="notify",R42=1),"visible",IF(OR(Sistema!F42=-1,Sistema!F42=0,ISNUMBER(SEARCH("PCK",E42))),"hidden",IF(P42&gt;0,"visible","hidden")))</f>
        <v>hidden</v>
      </c>
      <c r="I42" t="str">
        <f>IF(B42="simple",IF(P42&gt;0,"",IF(R42="notify",Info!C$2,"")),IF(B42="variable",IF(P42&gt;0,"",IF(R42="notify",Info!C$4,"")),""))</f>
        <v/>
      </c>
      <c r="J42" t="str">
        <f>IF(Sistema!J42="","",Sistema!J42)</f>
        <v/>
      </c>
      <c r="M42" t="str">
        <f>IF(Sistema!M42="","",Sistema!M42)</f>
        <v/>
      </c>
      <c r="N42" s="6" t="s">
        <v>1557</v>
      </c>
      <c r="O42" s="6">
        <v>1</v>
      </c>
      <c r="P42">
        <f>Sistema!P42</f>
        <v>0</v>
      </c>
      <c r="Q42">
        <f>Sistema!Q42</f>
        <v>0</v>
      </c>
      <c r="R42">
        <f>IF(Sistema!R42=1,"notify",Sistema!R42)</f>
        <v>0</v>
      </c>
      <c r="T42" t="str">
        <f>IF(Sistema!T42="","",Sistema!T42)</f>
        <v/>
      </c>
      <c r="U42" t="str">
        <f>IF(Sistema!U42="","",Sistema!U42)</f>
        <v/>
      </c>
      <c r="V42" t="str">
        <f>IF(Sistema!V42="","",Sistema!V42)</f>
        <v/>
      </c>
      <c r="W42" t="str">
        <f>IF(Sistema!W42="","",Sistema!W42)</f>
        <v/>
      </c>
      <c r="X42" s="6">
        <v>1</v>
      </c>
      <c r="Z42" t="str">
        <f>IF(Sistema!Z42="","",Sistema!Z42)</f>
        <v/>
      </c>
      <c r="AA42" t="str">
        <f>IF(Sistema!AA42="","",Sistema!AA42)</f>
        <v/>
      </c>
      <c r="AB42" t="str">
        <f>IF(Sistema!AB42="","",IF(OR(ISNUMBER(SEARCH("MKP",E42)),ISNUMBER(SEARCH("MKP",C42))),"Marketplace &gt; "&amp;Sistema!AB42,Sistema!AB42))</f>
        <v/>
      </c>
      <c r="AC42" t="str">
        <f>IF(Sistema!AC42="","",Sistema!AC42)</f>
        <v/>
      </c>
      <c r="AE42" t="str">
        <f>IF(Sistema!AE42="","",Sistema!AE42)</f>
        <v/>
      </c>
      <c r="AH42" t="str">
        <f>IF(Sistema!AH42="","",Sistema!AH42)</f>
        <v/>
      </c>
      <c r="AQ42" t="str">
        <f>IF(Sistema!AQ42="","",Sistema!AQ42)</f>
        <v/>
      </c>
      <c r="AR42" t="str">
        <f>IF(Sistema!AR42="","",Sistema!AR42)</f>
        <v/>
      </c>
      <c r="AS42" t="str">
        <f>IF(Sistema!AS42="","",Sistema!AS42)</f>
        <v/>
      </c>
      <c r="AT42" t="str">
        <f>IF(Sistema!AT42="","",Sistema!AT42)</f>
        <v/>
      </c>
      <c r="AU42" t="str">
        <f>IF(Sistema!AU42="","",Sistema!AU42)</f>
        <v/>
      </c>
      <c r="AV42" t="str">
        <f>IF(Sistema!AV42="","",Sistema!AV42)</f>
        <v/>
      </c>
      <c r="AW42" t="str">
        <f>IF(Sistema!AW42="","",Sistema!AW42)</f>
        <v/>
      </c>
      <c r="AX42" t="str">
        <f>IF(Sistema!AX42="","",Sistema!AX42)</f>
        <v/>
      </c>
      <c r="AY42" t="str">
        <f>IF(Sistema!AY42="","",Sistema!AY42)</f>
        <v/>
      </c>
      <c r="AZ42" t="str">
        <f>IF(Sistema!AZ42="","",Sistema!AZ42)</f>
        <v/>
      </c>
      <c r="BA42" t="str">
        <f>IF(Sistema!BA42="","",Sistema!BA42)</f>
        <v/>
      </c>
      <c r="BB42" t="str">
        <f>IF(Sistema!BB42="","",Sistema!BB42)</f>
        <v/>
      </c>
      <c r="BC42" t="str">
        <f>IF(Sistema!BC42="","",Sistema!BC42)</f>
        <v/>
      </c>
      <c r="BD42" t="str">
        <f>IF(Sistema!BD42="","",Sistema!BD42)</f>
        <v/>
      </c>
      <c r="BE42" t="str">
        <f>IF(Sistema!BE42="","",Sistema!BE42)</f>
        <v/>
      </c>
      <c r="BF42" t="str">
        <f>IF(Sistema!BF42="","",Sistema!BF42)</f>
        <v/>
      </c>
      <c r="BG42" t="str">
        <f>IF(Sistema!BG42="","",Sistema!BG42)</f>
        <v/>
      </c>
      <c r="BH42" t="str">
        <f>IF(Sistema!BH42="","",Sistema!BH42)</f>
        <v/>
      </c>
      <c r="BI42" t="str">
        <f>IF(Sistema!BI42="","",Sistema!BI42)</f>
        <v/>
      </c>
      <c r="BJ42" t="str">
        <f>IF(Sistema!BJ42="","",Sistema!BJ42)</f>
        <v/>
      </c>
      <c r="BK42" t="str">
        <f>IF(Sistema!BK42="","",Sistema!BK42)</f>
        <v/>
      </c>
      <c r="BL42" t="str">
        <f>IF(Sistema!BL42="","",Sistema!BL42)</f>
        <v/>
      </c>
      <c r="BM42" t="str">
        <f>IF(Sistema!BM42="","",Sistema!BM42)</f>
        <v/>
      </c>
      <c r="BN42" t="str">
        <f>IF(Sistema!BN42="","",Sistema!BN42)</f>
        <v/>
      </c>
      <c r="BO42" t="str">
        <f>IF(Sistema!BO42="","",Sistema!BO42)</f>
        <v/>
      </c>
      <c r="BP42" t="str">
        <f>IF(Sistema!BP42="","",Sistema!BP42)</f>
        <v/>
      </c>
      <c r="BQ42" t="str">
        <f>IF(Sistema!BQ42="","",Sistema!BQ42)</f>
        <v/>
      </c>
      <c r="BR42" t="str">
        <f>IF(Sistema!BR42="","",Sistema!BR42)</f>
        <v/>
      </c>
      <c r="BS42" t="str">
        <f>IF(Sistema!BS42="","",Sistema!BS42)</f>
        <v/>
      </c>
      <c r="BT42" t="str">
        <f>IF(Sistema!BT42="","",Sistema!BT42)</f>
        <v/>
      </c>
      <c r="BU42" t="str">
        <f>IF(Sistema!BU42="","",Sistema!BU42)</f>
        <v/>
      </c>
      <c r="BV42" t="str">
        <f>IF(Sistema!BV42="","",Sistema!BV42)</f>
        <v/>
      </c>
      <c r="BW42" t="str">
        <f>IF(Sistema!BW42="","",Sistema!BW42)</f>
        <v/>
      </c>
      <c r="BX42" t="str">
        <f>IF(Sistema!BX42="","",Sistema!BX42)</f>
        <v/>
      </c>
      <c r="BY42" t="str">
        <f>IF(Sistema!BY42="","",Sistema!BY42)</f>
        <v/>
      </c>
      <c r="BZ42" t="str">
        <f>IF(Sistema!BZ42="","",Sistema!BZ42)</f>
        <v/>
      </c>
      <c r="CA42" t="str">
        <f>IF(Sistema!CA42="","",Sistema!CA42)</f>
        <v/>
      </c>
      <c r="CB42" t="str">
        <f>IF(Sistema!CB42="","",Sistema!CB42)</f>
        <v/>
      </c>
      <c r="CC42" t="str">
        <f>IF(Sistema!CC42="","",Sistema!CC42)</f>
        <v/>
      </c>
      <c r="CD42" t="str">
        <f>IF(Sistema!CD42="","",Sistema!CD42)</f>
        <v/>
      </c>
    </row>
    <row r="43" spans="1:82" x14ac:dyDescent="0.25">
      <c r="A43" t="str">
        <f>IF(Sistema!A43="","",Sistema!A43)</f>
        <v/>
      </c>
      <c r="B43" t="str">
        <f>IF(Sistema!B43="","",Sistema!B43)</f>
        <v/>
      </c>
      <c r="C43" t="str">
        <f>IF(Sistema!C43="","",Sistema!C43)</f>
        <v/>
      </c>
      <c r="D43" t="str">
        <f>IF(Sistema!D43="","",Sistema!D43)</f>
        <v/>
      </c>
      <c r="E43" t="str">
        <f>IF(Sistema!E43="","",Sistema!E43)</f>
        <v/>
      </c>
      <c r="F43">
        <f>IF(P43&gt;0,1,IF(Sistema!F43=0,-1,1))</f>
        <v>-1</v>
      </c>
      <c r="G43">
        <f>Sistema!G43</f>
        <v>0</v>
      </c>
      <c r="H43" t="str">
        <f>IF(OR(R43="notify",R43=1),"visible",IF(OR(Sistema!F43=-1,Sistema!F43=0,ISNUMBER(SEARCH("PCK",E43))),"hidden",IF(P43&gt;0,"visible","hidden")))</f>
        <v>hidden</v>
      </c>
      <c r="I43" t="str">
        <f>IF(B43="simple",IF(P43&gt;0,"",IF(R43="notify",Info!C$2,"")),IF(B43="variable",IF(P43&gt;0,"",IF(R43="notify",Info!C$4,"")),""))</f>
        <v/>
      </c>
      <c r="J43" t="str">
        <f>IF(Sistema!J43="","",Sistema!J43)</f>
        <v/>
      </c>
      <c r="M43" t="str">
        <f>IF(Sistema!M43="","",Sistema!M43)</f>
        <v/>
      </c>
      <c r="N43" s="6" t="s">
        <v>1557</v>
      </c>
      <c r="O43" s="6">
        <v>1</v>
      </c>
      <c r="P43">
        <f>Sistema!P43</f>
        <v>0</v>
      </c>
      <c r="Q43">
        <f>Sistema!Q43</f>
        <v>0</v>
      </c>
      <c r="R43">
        <f>IF(Sistema!R43=1,"notify",Sistema!R43)</f>
        <v>0</v>
      </c>
      <c r="T43" t="str">
        <f>IF(Sistema!T43="","",Sistema!T43)</f>
        <v/>
      </c>
      <c r="U43" t="str">
        <f>IF(Sistema!U43="","",Sistema!U43)</f>
        <v/>
      </c>
      <c r="V43" t="str">
        <f>IF(Sistema!V43="","",Sistema!V43)</f>
        <v/>
      </c>
      <c r="W43" t="str">
        <f>IF(Sistema!W43="","",Sistema!W43)</f>
        <v/>
      </c>
      <c r="X43" s="6">
        <v>1</v>
      </c>
      <c r="Z43" t="str">
        <f>IF(Sistema!Z43="","",Sistema!Z43)</f>
        <v/>
      </c>
      <c r="AA43" t="str">
        <f>IF(Sistema!AA43="","",Sistema!AA43)</f>
        <v/>
      </c>
      <c r="AB43" t="str">
        <f>IF(Sistema!AB43="","",IF(OR(ISNUMBER(SEARCH("MKP",E43)),ISNUMBER(SEARCH("MKP",C43))),"Marketplace &gt; "&amp;Sistema!AB43,Sistema!AB43))</f>
        <v/>
      </c>
      <c r="AC43" t="str">
        <f>IF(Sistema!AC43="","",Sistema!AC43)</f>
        <v/>
      </c>
      <c r="AE43" t="str">
        <f>IF(Sistema!AE43="","",Sistema!AE43)</f>
        <v/>
      </c>
      <c r="AH43" t="str">
        <f>IF(Sistema!AH43="","",Sistema!AH43)</f>
        <v/>
      </c>
      <c r="AQ43" t="str">
        <f>IF(Sistema!AQ43="","",Sistema!AQ43)</f>
        <v/>
      </c>
      <c r="AR43" t="str">
        <f>IF(Sistema!AR43="","",Sistema!AR43)</f>
        <v/>
      </c>
      <c r="AS43" t="str">
        <f>IF(Sistema!AS43="","",Sistema!AS43)</f>
        <v/>
      </c>
      <c r="AT43" t="str">
        <f>IF(Sistema!AT43="","",Sistema!AT43)</f>
        <v/>
      </c>
      <c r="AU43" t="str">
        <f>IF(Sistema!AU43="","",Sistema!AU43)</f>
        <v/>
      </c>
      <c r="AV43" t="str">
        <f>IF(Sistema!AV43="","",Sistema!AV43)</f>
        <v/>
      </c>
      <c r="AW43" t="str">
        <f>IF(Sistema!AW43="","",Sistema!AW43)</f>
        <v/>
      </c>
      <c r="AX43" t="str">
        <f>IF(Sistema!AX43="","",Sistema!AX43)</f>
        <v/>
      </c>
      <c r="AY43" t="str">
        <f>IF(Sistema!AY43="","",Sistema!AY43)</f>
        <v/>
      </c>
      <c r="AZ43" t="str">
        <f>IF(Sistema!AZ43="","",Sistema!AZ43)</f>
        <v/>
      </c>
      <c r="BA43" t="str">
        <f>IF(Sistema!BA43="","",Sistema!BA43)</f>
        <v/>
      </c>
      <c r="BB43" t="str">
        <f>IF(Sistema!BB43="","",Sistema!BB43)</f>
        <v/>
      </c>
      <c r="BC43" t="str">
        <f>IF(Sistema!BC43="","",Sistema!BC43)</f>
        <v/>
      </c>
      <c r="BD43" t="str">
        <f>IF(Sistema!BD43="","",Sistema!BD43)</f>
        <v/>
      </c>
      <c r="BE43" t="str">
        <f>IF(Sistema!BE43="","",Sistema!BE43)</f>
        <v/>
      </c>
      <c r="BF43" t="str">
        <f>IF(Sistema!BF43="","",Sistema!BF43)</f>
        <v/>
      </c>
      <c r="BG43" t="str">
        <f>IF(Sistema!BG43="","",Sistema!BG43)</f>
        <v/>
      </c>
      <c r="BH43" t="str">
        <f>IF(Sistema!BH43="","",Sistema!BH43)</f>
        <v/>
      </c>
      <c r="BI43" t="str">
        <f>IF(Sistema!BI43="","",Sistema!BI43)</f>
        <v/>
      </c>
      <c r="BJ43" t="str">
        <f>IF(Sistema!BJ43="","",Sistema!BJ43)</f>
        <v/>
      </c>
      <c r="BK43" t="str">
        <f>IF(Sistema!BK43="","",Sistema!BK43)</f>
        <v/>
      </c>
      <c r="BL43" t="str">
        <f>IF(Sistema!BL43="","",Sistema!BL43)</f>
        <v/>
      </c>
      <c r="BM43" t="str">
        <f>IF(Sistema!BM43="","",Sistema!BM43)</f>
        <v/>
      </c>
      <c r="BN43" t="str">
        <f>IF(Sistema!BN43="","",Sistema!BN43)</f>
        <v/>
      </c>
      <c r="BO43" t="str">
        <f>IF(Sistema!BO43="","",Sistema!BO43)</f>
        <v/>
      </c>
      <c r="BP43" t="str">
        <f>IF(Sistema!BP43="","",Sistema!BP43)</f>
        <v/>
      </c>
      <c r="BQ43" t="str">
        <f>IF(Sistema!BQ43="","",Sistema!BQ43)</f>
        <v/>
      </c>
      <c r="BR43" t="str">
        <f>IF(Sistema!BR43="","",Sistema!BR43)</f>
        <v/>
      </c>
      <c r="BS43" t="str">
        <f>IF(Sistema!BS43="","",Sistema!BS43)</f>
        <v/>
      </c>
      <c r="BT43" t="str">
        <f>IF(Sistema!BT43="","",Sistema!BT43)</f>
        <v/>
      </c>
      <c r="BU43" t="str">
        <f>IF(Sistema!BU43="","",Sistema!BU43)</f>
        <v/>
      </c>
      <c r="BV43" t="str">
        <f>IF(Sistema!BV43="","",Sistema!BV43)</f>
        <v/>
      </c>
      <c r="BW43" t="str">
        <f>IF(Sistema!BW43="","",Sistema!BW43)</f>
        <v/>
      </c>
      <c r="BX43" t="str">
        <f>IF(Sistema!BX43="","",Sistema!BX43)</f>
        <v/>
      </c>
      <c r="BY43" t="str">
        <f>IF(Sistema!BY43="","",Sistema!BY43)</f>
        <v/>
      </c>
      <c r="BZ43" t="str">
        <f>IF(Sistema!BZ43="","",Sistema!BZ43)</f>
        <v/>
      </c>
      <c r="CA43" t="str">
        <f>IF(Sistema!CA43="","",Sistema!CA43)</f>
        <v/>
      </c>
      <c r="CB43" t="str">
        <f>IF(Sistema!CB43="","",Sistema!CB43)</f>
        <v/>
      </c>
      <c r="CC43" t="str">
        <f>IF(Sistema!CC43="","",Sistema!CC43)</f>
        <v/>
      </c>
      <c r="CD43" t="str">
        <f>IF(Sistema!CD43="","",Sistema!CD43)</f>
        <v/>
      </c>
    </row>
    <row r="44" spans="1:82" x14ac:dyDescent="0.25">
      <c r="A44" t="str">
        <f>IF(Sistema!A44="","",Sistema!A44)</f>
        <v/>
      </c>
      <c r="B44" t="str">
        <f>IF(Sistema!B44="","",Sistema!B44)</f>
        <v/>
      </c>
      <c r="C44" t="str">
        <f>IF(Sistema!C44="","",Sistema!C44)</f>
        <v/>
      </c>
      <c r="D44" t="str">
        <f>IF(Sistema!D44="","",Sistema!D44)</f>
        <v/>
      </c>
      <c r="E44" t="str">
        <f>IF(Sistema!E44="","",Sistema!E44)</f>
        <v/>
      </c>
      <c r="F44">
        <f>IF(P44&gt;0,1,IF(Sistema!F44=0,-1,1))</f>
        <v>-1</v>
      </c>
      <c r="G44">
        <f>Sistema!G44</f>
        <v>0</v>
      </c>
      <c r="H44" t="str">
        <f>IF(OR(R44="notify",R44=1),"visible",IF(OR(Sistema!F44=-1,Sistema!F44=0,ISNUMBER(SEARCH("PCK",E44))),"hidden",IF(P44&gt;0,"visible","hidden")))</f>
        <v>hidden</v>
      </c>
      <c r="I44" t="str">
        <f>IF(B44="simple",IF(P44&gt;0,"",IF(R44="notify",Info!C$2,"")),IF(B44="variable",IF(P44&gt;0,"",IF(R44="notify",Info!C$4,"")),""))</f>
        <v/>
      </c>
      <c r="J44" t="str">
        <f>IF(Sistema!J44="","",Sistema!J44)</f>
        <v/>
      </c>
      <c r="M44" t="str">
        <f>IF(Sistema!M44="","",Sistema!M44)</f>
        <v/>
      </c>
      <c r="N44" s="6" t="s">
        <v>1557</v>
      </c>
      <c r="O44" s="6">
        <v>1</v>
      </c>
      <c r="P44">
        <f>Sistema!P44</f>
        <v>0</v>
      </c>
      <c r="Q44">
        <f>Sistema!Q44</f>
        <v>0</v>
      </c>
      <c r="R44">
        <f>IF(Sistema!R44=1,"notify",Sistema!R44)</f>
        <v>0</v>
      </c>
      <c r="T44" t="str">
        <f>IF(Sistema!T44="","",Sistema!T44)</f>
        <v/>
      </c>
      <c r="U44" t="str">
        <f>IF(Sistema!U44="","",Sistema!U44)</f>
        <v/>
      </c>
      <c r="V44" t="str">
        <f>IF(Sistema!V44="","",Sistema!V44)</f>
        <v/>
      </c>
      <c r="W44" t="str">
        <f>IF(Sistema!W44="","",Sistema!W44)</f>
        <v/>
      </c>
      <c r="X44" s="6">
        <v>1</v>
      </c>
      <c r="Z44" t="str">
        <f>IF(Sistema!Z44="","",Sistema!Z44)</f>
        <v/>
      </c>
      <c r="AA44" t="str">
        <f>IF(Sistema!AA44="","",Sistema!AA44)</f>
        <v/>
      </c>
      <c r="AB44" t="str">
        <f>IF(Sistema!AB44="","",IF(OR(ISNUMBER(SEARCH("MKP",E44)),ISNUMBER(SEARCH("MKP",C44))),"Marketplace &gt; "&amp;Sistema!AB44,Sistema!AB44))</f>
        <v/>
      </c>
      <c r="AC44" t="str">
        <f>IF(Sistema!AC44="","",Sistema!AC44)</f>
        <v/>
      </c>
      <c r="AE44" t="str">
        <f>IF(Sistema!AE44="","",Sistema!AE44)</f>
        <v/>
      </c>
      <c r="AH44" t="str">
        <f>IF(Sistema!AH44="","",Sistema!AH44)</f>
        <v/>
      </c>
      <c r="AQ44" t="str">
        <f>IF(Sistema!AQ44="","",Sistema!AQ44)</f>
        <v/>
      </c>
      <c r="AR44" t="str">
        <f>IF(Sistema!AR44="","",Sistema!AR44)</f>
        <v/>
      </c>
      <c r="AS44" t="str">
        <f>IF(Sistema!AS44="","",Sistema!AS44)</f>
        <v/>
      </c>
      <c r="AT44" t="str">
        <f>IF(Sistema!AT44="","",Sistema!AT44)</f>
        <v/>
      </c>
      <c r="AU44" t="str">
        <f>IF(Sistema!AU44="","",Sistema!AU44)</f>
        <v/>
      </c>
      <c r="AV44" t="str">
        <f>IF(Sistema!AV44="","",Sistema!AV44)</f>
        <v/>
      </c>
      <c r="AW44" t="str">
        <f>IF(Sistema!AW44="","",Sistema!AW44)</f>
        <v/>
      </c>
      <c r="AX44" t="str">
        <f>IF(Sistema!AX44="","",Sistema!AX44)</f>
        <v/>
      </c>
      <c r="AY44" t="str">
        <f>IF(Sistema!AY44="","",Sistema!AY44)</f>
        <v/>
      </c>
      <c r="AZ44" t="str">
        <f>IF(Sistema!AZ44="","",Sistema!AZ44)</f>
        <v/>
      </c>
      <c r="BA44" t="str">
        <f>IF(Sistema!BA44="","",Sistema!BA44)</f>
        <v/>
      </c>
      <c r="BB44" t="str">
        <f>IF(Sistema!BB44="","",Sistema!BB44)</f>
        <v/>
      </c>
      <c r="BC44" t="str">
        <f>IF(Sistema!BC44="","",Sistema!BC44)</f>
        <v/>
      </c>
      <c r="BD44" t="str">
        <f>IF(Sistema!BD44="","",Sistema!BD44)</f>
        <v/>
      </c>
      <c r="BE44" t="str">
        <f>IF(Sistema!BE44="","",Sistema!BE44)</f>
        <v/>
      </c>
      <c r="BF44" t="str">
        <f>IF(Sistema!BF44="","",Sistema!BF44)</f>
        <v/>
      </c>
      <c r="BG44" t="str">
        <f>IF(Sistema!BG44="","",Sistema!BG44)</f>
        <v/>
      </c>
      <c r="BH44" t="str">
        <f>IF(Sistema!BH44="","",Sistema!BH44)</f>
        <v/>
      </c>
      <c r="BI44" t="str">
        <f>IF(Sistema!BI44="","",Sistema!BI44)</f>
        <v/>
      </c>
      <c r="BJ44" t="str">
        <f>IF(Sistema!BJ44="","",Sistema!BJ44)</f>
        <v/>
      </c>
      <c r="BK44" t="str">
        <f>IF(Sistema!BK44="","",Sistema!BK44)</f>
        <v/>
      </c>
      <c r="BL44" t="str">
        <f>IF(Sistema!BL44="","",Sistema!BL44)</f>
        <v/>
      </c>
      <c r="BM44" t="str">
        <f>IF(Sistema!BM44="","",Sistema!BM44)</f>
        <v/>
      </c>
      <c r="BN44" t="str">
        <f>IF(Sistema!BN44="","",Sistema!BN44)</f>
        <v/>
      </c>
      <c r="BO44" t="str">
        <f>IF(Sistema!BO44="","",Sistema!BO44)</f>
        <v/>
      </c>
      <c r="BP44" t="str">
        <f>IF(Sistema!BP44="","",Sistema!BP44)</f>
        <v/>
      </c>
      <c r="BQ44" t="str">
        <f>IF(Sistema!BQ44="","",Sistema!BQ44)</f>
        <v/>
      </c>
      <c r="BR44" t="str">
        <f>IF(Sistema!BR44="","",Sistema!BR44)</f>
        <v/>
      </c>
      <c r="BS44" t="str">
        <f>IF(Sistema!BS44="","",Sistema!BS44)</f>
        <v/>
      </c>
      <c r="BT44" t="str">
        <f>IF(Sistema!BT44="","",Sistema!BT44)</f>
        <v/>
      </c>
      <c r="BU44" t="str">
        <f>IF(Sistema!BU44="","",Sistema!BU44)</f>
        <v/>
      </c>
      <c r="BV44" t="str">
        <f>IF(Sistema!BV44="","",Sistema!BV44)</f>
        <v/>
      </c>
      <c r="BW44" t="str">
        <f>IF(Sistema!BW44="","",Sistema!BW44)</f>
        <v/>
      </c>
      <c r="BX44" t="str">
        <f>IF(Sistema!BX44="","",Sistema!BX44)</f>
        <v/>
      </c>
      <c r="BY44" t="str">
        <f>IF(Sistema!BY44="","",Sistema!BY44)</f>
        <v/>
      </c>
      <c r="BZ44" t="str">
        <f>IF(Sistema!BZ44="","",Sistema!BZ44)</f>
        <v/>
      </c>
      <c r="CA44" t="str">
        <f>IF(Sistema!CA44="","",Sistema!CA44)</f>
        <v/>
      </c>
      <c r="CB44" t="str">
        <f>IF(Sistema!CB44="","",Sistema!CB44)</f>
        <v/>
      </c>
      <c r="CC44" t="str">
        <f>IF(Sistema!CC44="","",Sistema!CC44)</f>
        <v/>
      </c>
      <c r="CD44" t="str">
        <f>IF(Sistema!CD44="","",Sistema!CD44)</f>
        <v/>
      </c>
    </row>
    <row r="45" spans="1:82" x14ac:dyDescent="0.25">
      <c r="A45" t="str">
        <f>IF(Sistema!A45="","",Sistema!A45)</f>
        <v/>
      </c>
      <c r="B45" t="str">
        <f>IF(Sistema!B45="","",Sistema!B45)</f>
        <v/>
      </c>
      <c r="C45" t="str">
        <f>IF(Sistema!C45="","",Sistema!C45)</f>
        <v/>
      </c>
      <c r="D45" t="str">
        <f>IF(Sistema!D45="","",Sistema!D45)</f>
        <v/>
      </c>
      <c r="E45" t="str">
        <f>IF(Sistema!E45="","",Sistema!E45)</f>
        <v/>
      </c>
      <c r="F45">
        <f>IF(P45&gt;0,1,IF(Sistema!F45=0,-1,1))</f>
        <v>-1</v>
      </c>
      <c r="G45">
        <f>Sistema!G45</f>
        <v>0</v>
      </c>
      <c r="H45" t="str">
        <f>IF(OR(R45="notify",R45=1),"visible",IF(OR(Sistema!F45=-1,Sistema!F45=0,ISNUMBER(SEARCH("PCK",E45))),"hidden",IF(P45&gt;0,"visible","hidden")))</f>
        <v>hidden</v>
      </c>
      <c r="I45" t="str">
        <f>IF(B45="simple",IF(P45&gt;0,"",IF(R45="notify",Info!C$2,"")),IF(B45="variable",IF(P45&gt;0,"",IF(R45="notify",Info!C$4,"")),""))</f>
        <v/>
      </c>
      <c r="J45" t="str">
        <f>IF(Sistema!J45="","",Sistema!J45)</f>
        <v/>
      </c>
      <c r="M45" t="str">
        <f>IF(Sistema!M45="","",Sistema!M45)</f>
        <v/>
      </c>
      <c r="N45" s="6" t="s">
        <v>1557</v>
      </c>
      <c r="O45" s="6">
        <v>1</v>
      </c>
      <c r="P45">
        <f>Sistema!P45</f>
        <v>0</v>
      </c>
      <c r="Q45">
        <f>Sistema!Q45</f>
        <v>0</v>
      </c>
      <c r="R45">
        <f>IF(Sistema!R45=1,"notify",Sistema!R45)</f>
        <v>0</v>
      </c>
      <c r="T45" t="str">
        <f>IF(Sistema!T45="","",Sistema!T45)</f>
        <v/>
      </c>
      <c r="U45" t="str">
        <f>IF(Sistema!U45="","",Sistema!U45)</f>
        <v/>
      </c>
      <c r="V45" t="str">
        <f>IF(Sistema!V45="","",Sistema!V45)</f>
        <v/>
      </c>
      <c r="W45" t="str">
        <f>IF(Sistema!W45="","",Sistema!W45)</f>
        <v/>
      </c>
      <c r="X45" s="6">
        <v>1</v>
      </c>
      <c r="Z45" t="str">
        <f>IF(Sistema!Z45="","",Sistema!Z45)</f>
        <v/>
      </c>
      <c r="AA45" t="str">
        <f>IF(Sistema!AA45="","",Sistema!AA45)</f>
        <v/>
      </c>
      <c r="AB45" t="str">
        <f>IF(Sistema!AB45="","",IF(OR(ISNUMBER(SEARCH("MKP",E45)),ISNUMBER(SEARCH("MKP",C45))),"Marketplace &gt; "&amp;Sistema!AB45,Sistema!AB45))</f>
        <v/>
      </c>
      <c r="AC45" t="str">
        <f>IF(Sistema!AC45="","",Sistema!AC45)</f>
        <v/>
      </c>
      <c r="AE45" t="str">
        <f>IF(Sistema!AE45="","",Sistema!AE45)</f>
        <v/>
      </c>
      <c r="AH45" t="str">
        <f>IF(Sistema!AH45="","",Sistema!AH45)</f>
        <v/>
      </c>
      <c r="AQ45" t="str">
        <f>IF(Sistema!AQ45="","",Sistema!AQ45)</f>
        <v/>
      </c>
      <c r="AR45" t="str">
        <f>IF(Sistema!AR45="","",Sistema!AR45)</f>
        <v/>
      </c>
      <c r="AS45" t="str">
        <f>IF(Sistema!AS45="","",Sistema!AS45)</f>
        <v/>
      </c>
      <c r="AT45" t="str">
        <f>IF(Sistema!AT45="","",Sistema!AT45)</f>
        <v/>
      </c>
      <c r="AU45" t="str">
        <f>IF(Sistema!AU45="","",Sistema!AU45)</f>
        <v/>
      </c>
      <c r="AV45" t="str">
        <f>IF(Sistema!AV45="","",Sistema!AV45)</f>
        <v/>
      </c>
      <c r="AW45" t="str">
        <f>IF(Sistema!AW45="","",Sistema!AW45)</f>
        <v/>
      </c>
      <c r="AX45" t="str">
        <f>IF(Sistema!AX45="","",Sistema!AX45)</f>
        <v/>
      </c>
      <c r="AY45" t="str">
        <f>IF(Sistema!AY45="","",Sistema!AY45)</f>
        <v/>
      </c>
      <c r="AZ45" t="str">
        <f>IF(Sistema!AZ45="","",Sistema!AZ45)</f>
        <v/>
      </c>
      <c r="BA45" t="str">
        <f>IF(Sistema!BA45="","",Sistema!BA45)</f>
        <v/>
      </c>
      <c r="BB45" t="str">
        <f>IF(Sistema!BB45="","",Sistema!BB45)</f>
        <v/>
      </c>
      <c r="BC45" t="str">
        <f>IF(Sistema!BC45="","",Sistema!BC45)</f>
        <v/>
      </c>
      <c r="BD45" t="str">
        <f>IF(Sistema!BD45="","",Sistema!BD45)</f>
        <v/>
      </c>
      <c r="BE45" t="str">
        <f>IF(Sistema!BE45="","",Sistema!BE45)</f>
        <v/>
      </c>
      <c r="BF45" t="str">
        <f>IF(Sistema!BF45="","",Sistema!BF45)</f>
        <v/>
      </c>
      <c r="BG45" t="str">
        <f>IF(Sistema!BG45="","",Sistema!BG45)</f>
        <v/>
      </c>
      <c r="BH45" t="str">
        <f>IF(Sistema!BH45="","",Sistema!BH45)</f>
        <v/>
      </c>
      <c r="BI45" t="str">
        <f>IF(Sistema!BI45="","",Sistema!BI45)</f>
        <v/>
      </c>
      <c r="BJ45" t="str">
        <f>IF(Sistema!BJ45="","",Sistema!BJ45)</f>
        <v/>
      </c>
      <c r="BK45" t="str">
        <f>IF(Sistema!BK45="","",Sistema!BK45)</f>
        <v/>
      </c>
      <c r="BL45" t="str">
        <f>IF(Sistema!BL45="","",Sistema!BL45)</f>
        <v/>
      </c>
      <c r="BM45" t="str">
        <f>IF(Sistema!BM45="","",Sistema!BM45)</f>
        <v/>
      </c>
      <c r="BN45" t="str">
        <f>IF(Sistema!BN45="","",Sistema!BN45)</f>
        <v/>
      </c>
      <c r="BO45" t="str">
        <f>IF(Sistema!BO45="","",Sistema!BO45)</f>
        <v/>
      </c>
      <c r="BP45" t="str">
        <f>IF(Sistema!BP45="","",Sistema!BP45)</f>
        <v/>
      </c>
      <c r="BQ45" t="str">
        <f>IF(Sistema!BQ45="","",Sistema!BQ45)</f>
        <v/>
      </c>
      <c r="BR45" t="str">
        <f>IF(Sistema!BR45="","",Sistema!BR45)</f>
        <v/>
      </c>
      <c r="BS45" t="str">
        <f>IF(Sistema!BS45="","",Sistema!BS45)</f>
        <v/>
      </c>
      <c r="BT45" t="str">
        <f>IF(Sistema!BT45="","",Sistema!BT45)</f>
        <v/>
      </c>
      <c r="BU45" t="str">
        <f>IF(Sistema!BU45="","",Sistema!BU45)</f>
        <v/>
      </c>
      <c r="BV45" t="str">
        <f>IF(Sistema!BV45="","",Sistema!BV45)</f>
        <v/>
      </c>
      <c r="BW45" t="str">
        <f>IF(Sistema!BW45="","",Sistema!BW45)</f>
        <v/>
      </c>
      <c r="BX45" t="str">
        <f>IF(Sistema!BX45="","",Sistema!BX45)</f>
        <v/>
      </c>
      <c r="BY45" t="str">
        <f>IF(Sistema!BY45="","",Sistema!BY45)</f>
        <v/>
      </c>
      <c r="BZ45" t="str">
        <f>IF(Sistema!BZ45="","",Sistema!BZ45)</f>
        <v/>
      </c>
      <c r="CA45" t="str">
        <f>IF(Sistema!CA45="","",Sistema!CA45)</f>
        <v/>
      </c>
      <c r="CB45" t="str">
        <f>IF(Sistema!CB45="","",Sistema!CB45)</f>
        <v/>
      </c>
      <c r="CC45" t="str">
        <f>IF(Sistema!CC45="","",Sistema!CC45)</f>
        <v/>
      </c>
      <c r="CD45" t="str">
        <f>IF(Sistema!CD45="","",Sistema!CD45)</f>
        <v/>
      </c>
    </row>
    <row r="46" spans="1:82" x14ac:dyDescent="0.25">
      <c r="A46" t="str">
        <f>IF(Sistema!A46="","",Sistema!A46)</f>
        <v/>
      </c>
      <c r="B46" t="str">
        <f>IF(Sistema!B46="","",Sistema!B46)</f>
        <v/>
      </c>
      <c r="C46" t="str">
        <f>IF(Sistema!C46="","",Sistema!C46)</f>
        <v/>
      </c>
      <c r="D46" t="str">
        <f>IF(Sistema!D46="","",Sistema!D46)</f>
        <v/>
      </c>
      <c r="E46" t="str">
        <f>IF(Sistema!E46="","",Sistema!E46)</f>
        <v/>
      </c>
      <c r="F46">
        <f>IF(P46&gt;0,1,IF(Sistema!F46=0,-1,1))</f>
        <v>-1</v>
      </c>
      <c r="G46">
        <f>Sistema!G46</f>
        <v>0</v>
      </c>
      <c r="H46" t="str">
        <f>IF(OR(R46="notify",R46=1),"visible",IF(OR(Sistema!F46=-1,Sistema!F46=0,ISNUMBER(SEARCH("PCK",E46))),"hidden",IF(P46&gt;0,"visible","hidden")))</f>
        <v>hidden</v>
      </c>
      <c r="I46" t="str">
        <f>IF(B46="simple",IF(P46&gt;0,"",IF(R46="notify",Info!C$2,"")),IF(B46="variable",IF(P46&gt;0,"",IF(R46="notify",Info!C$4,"")),""))</f>
        <v/>
      </c>
      <c r="J46" t="str">
        <f>IF(Sistema!J46="","",Sistema!J46)</f>
        <v/>
      </c>
      <c r="M46" t="str">
        <f>IF(Sistema!M46="","",Sistema!M46)</f>
        <v/>
      </c>
      <c r="N46" s="6" t="s">
        <v>1557</v>
      </c>
      <c r="O46" s="6">
        <v>1</v>
      </c>
      <c r="P46">
        <f>Sistema!P46</f>
        <v>0</v>
      </c>
      <c r="Q46">
        <f>Sistema!Q46</f>
        <v>0</v>
      </c>
      <c r="R46">
        <f>IF(Sistema!R46=1,"notify",Sistema!R46)</f>
        <v>0</v>
      </c>
      <c r="T46" t="str">
        <f>IF(Sistema!T46="","",Sistema!T46)</f>
        <v/>
      </c>
      <c r="U46" t="str">
        <f>IF(Sistema!U46="","",Sistema!U46)</f>
        <v/>
      </c>
      <c r="V46" t="str">
        <f>IF(Sistema!V46="","",Sistema!V46)</f>
        <v/>
      </c>
      <c r="W46" t="str">
        <f>IF(Sistema!W46="","",Sistema!W46)</f>
        <v/>
      </c>
      <c r="X46" s="6">
        <v>1</v>
      </c>
      <c r="Z46" t="str">
        <f>IF(Sistema!Z46="","",Sistema!Z46)</f>
        <v/>
      </c>
      <c r="AA46" t="str">
        <f>IF(Sistema!AA46="","",Sistema!AA46)</f>
        <v/>
      </c>
      <c r="AB46" t="str">
        <f>IF(Sistema!AB46="","",IF(OR(ISNUMBER(SEARCH("MKP",E46)),ISNUMBER(SEARCH("MKP",C46))),"Marketplace &gt; "&amp;Sistema!AB46,Sistema!AB46))</f>
        <v/>
      </c>
      <c r="AC46" t="str">
        <f>IF(Sistema!AC46="","",Sistema!AC46)</f>
        <v/>
      </c>
      <c r="AE46" t="str">
        <f>IF(Sistema!AE46="","",Sistema!AE46)</f>
        <v/>
      </c>
      <c r="AH46" t="str">
        <f>IF(Sistema!AH46="","",Sistema!AH46)</f>
        <v/>
      </c>
      <c r="AQ46" t="str">
        <f>IF(Sistema!AQ46="","",Sistema!AQ46)</f>
        <v/>
      </c>
      <c r="AR46" t="str">
        <f>IF(Sistema!AR46="","",Sistema!AR46)</f>
        <v/>
      </c>
      <c r="AS46" t="str">
        <f>IF(Sistema!AS46="","",Sistema!AS46)</f>
        <v/>
      </c>
      <c r="AT46" t="str">
        <f>IF(Sistema!AT46="","",Sistema!AT46)</f>
        <v/>
      </c>
      <c r="AU46" t="str">
        <f>IF(Sistema!AU46="","",Sistema!AU46)</f>
        <v/>
      </c>
      <c r="AV46" t="str">
        <f>IF(Sistema!AV46="","",Sistema!AV46)</f>
        <v/>
      </c>
      <c r="AW46" t="str">
        <f>IF(Sistema!AW46="","",Sistema!AW46)</f>
        <v/>
      </c>
      <c r="AX46" t="str">
        <f>IF(Sistema!AX46="","",Sistema!AX46)</f>
        <v/>
      </c>
      <c r="AY46" t="str">
        <f>IF(Sistema!AY46="","",Sistema!AY46)</f>
        <v/>
      </c>
      <c r="AZ46" t="str">
        <f>IF(Sistema!AZ46="","",Sistema!AZ46)</f>
        <v/>
      </c>
      <c r="BA46" t="str">
        <f>IF(Sistema!BA46="","",Sistema!BA46)</f>
        <v/>
      </c>
      <c r="BB46" t="str">
        <f>IF(Sistema!BB46="","",Sistema!BB46)</f>
        <v/>
      </c>
      <c r="BC46" t="str">
        <f>IF(Sistema!BC46="","",Sistema!BC46)</f>
        <v/>
      </c>
      <c r="BD46" t="str">
        <f>IF(Sistema!BD46="","",Sistema!BD46)</f>
        <v/>
      </c>
      <c r="BE46" t="str">
        <f>IF(Sistema!BE46="","",Sistema!BE46)</f>
        <v/>
      </c>
      <c r="BF46" t="str">
        <f>IF(Sistema!BF46="","",Sistema!BF46)</f>
        <v/>
      </c>
      <c r="BG46" t="str">
        <f>IF(Sistema!BG46="","",Sistema!BG46)</f>
        <v/>
      </c>
      <c r="BH46" t="str">
        <f>IF(Sistema!BH46="","",Sistema!BH46)</f>
        <v/>
      </c>
      <c r="BI46" t="str">
        <f>IF(Sistema!BI46="","",Sistema!BI46)</f>
        <v/>
      </c>
      <c r="BJ46" t="str">
        <f>IF(Sistema!BJ46="","",Sistema!BJ46)</f>
        <v/>
      </c>
      <c r="BK46" t="str">
        <f>IF(Sistema!BK46="","",Sistema!BK46)</f>
        <v/>
      </c>
      <c r="BL46" t="str">
        <f>IF(Sistema!BL46="","",Sistema!BL46)</f>
        <v/>
      </c>
      <c r="BM46" t="str">
        <f>IF(Sistema!BM46="","",Sistema!BM46)</f>
        <v/>
      </c>
      <c r="BN46" t="str">
        <f>IF(Sistema!BN46="","",Sistema!BN46)</f>
        <v/>
      </c>
      <c r="BO46" t="str">
        <f>IF(Sistema!BO46="","",Sistema!BO46)</f>
        <v/>
      </c>
      <c r="BP46" t="str">
        <f>IF(Sistema!BP46="","",Sistema!BP46)</f>
        <v/>
      </c>
      <c r="BQ46" t="str">
        <f>IF(Sistema!BQ46="","",Sistema!BQ46)</f>
        <v/>
      </c>
      <c r="BR46" t="str">
        <f>IF(Sistema!BR46="","",Sistema!BR46)</f>
        <v/>
      </c>
      <c r="BS46" t="str">
        <f>IF(Sistema!BS46="","",Sistema!BS46)</f>
        <v/>
      </c>
      <c r="BT46" t="str">
        <f>IF(Sistema!BT46="","",Sistema!BT46)</f>
        <v/>
      </c>
      <c r="BU46" t="str">
        <f>IF(Sistema!BU46="","",Sistema!BU46)</f>
        <v/>
      </c>
      <c r="BV46" t="str">
        <f>IF(Sistema!BV46="","",Sistema!BV46)</f>
        <v/>
      </c>
      <c r="BW46" t="str">
        <f>IF(Sistema!BW46="","",Sistema!BW46)</f>
        <v/>
      </c>
      <c r="BX46" t="str">
        <f>IF(Sistema!BX46="","",Sistema!BX46)</f>
        <v/>
      </c>
      <c r="BY46" t="str">
        <f>IF(Sistema!BY46="","",Sistema!BY46)</f>
        <v/>
      </c>
      <c r="BZ46" t="str">
        <f>IF(Sistema!BZ46="","",Sistema!BZ46)</f>
        <v/>
      </c>
      <c r="CA46" t="str">
        <f>IF(Sistema!CA46="","",Sistema!CA46)</f>
        <v/>
      </c>
      <c r="CB46" t="str">
        <f>IF(Sistema!CB46="","",Sistema!CB46)</f>
        <v/>
      </c>
      <c r="CC46" t="str">
        <f>IF(Sistema!CC46="","",Sistema!CC46)</f>
        <v/>
      </c>
      <c r="CD46" t="str">
        <f>IF(Sistema!CD46="","",Sistema!CD46)</f>
        <v/>
      </c>
    </row>
    <row r="47" spans="1:82" x14ac:dyDescent="0.25">
      <c r="A47" t="str">
        <f>IF(Sistema!A47="","",Sistema!A47)</f>
        <v/>
      </c>
      <c r="B47" t="str">
        <f>IF(Sistema!B47="","",Sistema!B47)</f>
        <v/>
      </c>
      <c r="C47" t="str">
        <f>IF(Sistema!C47="","",Sistema!C47)</f>
        <v/>
      </c>
      <c r="D47" t="str">
        <f>IF(Sistema!D47="","",Sistema!D47)</f>
        <v/>
      </c>
      <c r="E47" t="str">
        <f>IF(Sistema!E47="","",Sistema!E47)</f>
        <v/>
      </c>
      <c r="F47">
        <f>IF(P47&gt;0,1,IF(Sistema!F47=0,-1,1))</f>
        <v>-1</v>
      </c>
      <c r="G47">
        <f>Sistema!G47</f>
        <v>0</v>
      </c>
      <c r="H47" t="str">
        <f>IF(OR(R47="notify",R47=1),"visible",IF(OR(Sistema!F47=-1,Sistema!F47=0,ISNUMBER(SEARCH("PCK",E47))),"hidden",IF(P47&gt;0,"visible","hidden")))</f>
        <v>hidden</v>
      </c>
      <c r="I47" t="str">
        <f>IF(B47="simple",IF(P47&gt;0,"",IF(R47="notify",Info!C$2,"")),IF(B47="variable",IF(P47&gt;0,"",IF(R47="notify",Info!C$4,"")),""))</f>
        <v/>
      </c>
      <c r="J47" t="str">
        <f>IF(Sistema!J47="","",Sistema!J47)</f>
        <v/>
      </c>
      <c r="M47" t="str">
        <f>IF(Sistema!M47="","",Sistema!M47)</f>
        <v/>
      </c>
      <c r="N47" s="6" t="s">
        <v>1557</v>
      </c>
      <c r="O47" s="6">
        <v>1</v>
      </c>
      <c r="P47">
        <f>Sistema!P47</f>
        <v>0</v>
      </c>
      <c r="Q47">
        <f>Sistema!Q47</f>
        <v>0</v>
      </c>
      <c r="R47">
        <f>IF(Sistema!R47=1,"notify",Sistema!R47)</f>
        <v>0</v>
      </c>
      <c r="T47" t="str">
        <f>IF(Sistema!T47="","",Sistema!T47)</f>
        <v/>
      </c>
      <c r="U47" t="str">
        <f>IF(Sistema!U47="","",Sistema!U47)</f>
        <v/>
      </c>
      <c r="V47" t="str">
        <f>IF(Sistema!V47="","",Sistema!V47)</f>
        <v/>
      </c>
      <c r="W47" t="str">
        <f>IF(Sistema!W47="","",Sistema!W47)</f>
        <v/>
      </c>
      <c r="X47" s="6">
        <v>1</v>
      </c>
      <c r="Z47" t="str">
        <f>IF(Sistema!Z47="","",Sistema!Z47)</f>
        <v/>
      </c>
      <c r="AA47" t="str">
        <f>IF(Sistema!AA47="","",Sistema!AA47)</f>
        <v/>
      </c>
      <c r="AB47" t="str">
        <f>IF(Sistema!AB47="","",IF(OR(ISNUMBER(SEARCH("MKP",E47)),ISNUMBER(SEARCH("MKP",C47))),"Marketplace &gt; "&amp;Sistema!AB47,Sistema!AB47))</f>
        <v/>
      </c>
      <c r="AC47" t="str">
        <f>IF(Sistema!AC47="","",Sistema!AC47)</f>
        <v/>
      </c>
      <c r="AE47" t="str">
        <f>IF(Sistema!AE47="","",Sistema!AE47)</f>
        <v/>
      </c>
      <c r="AH47" t="str">
        <f>IF(Sistema!AH47="","",Sistema!AH47)</f>
        <v/>
      </c>
      <c r="AQ47" t="str">
        <f>IF(Sistema!AQ47="","",Sistema!AQ47)</f>
        <v/>
      </c>
      <c r="AR47" t="str">
        <f>IF(Sistema!AR47="","",Sistema!AR47)</f>
        <v/>
      </c>
      <c r="AS47" t="str">
        <f>IF(Sistema!AS47="","",Sistema!AS47)</f>
        <v/>
      </c>
      <c r="AT47" t="str">
        <f>IF(Sistema!AT47="","",Sistema!AT47)</f>
        <v/>
      </c>
      <c r="AU47" t="str">
        <f>IF(Sistema!AU47="","",Sistema!AU47)</f>
        <v/>
      </c>
      <c r="AV47" t="str">
        <f>IF(Sistema!AV47="","",Sistema!AV47)</f>
        <v/>
      </c>
      <c r="AW47" t="str">
        <f>IF(Sistema!AW47="","",Sistema!AW47)</f>
        <v/>
      </c>
      <c r="AX47" t="str">
        <f>IF(Sistema!AX47="","",Sistema!AX47)</f>
        <v/>
      </c>
      <c r="AY47" t="str">
        <f>IF(Sistema!AY47="","",Sistema!AY47)</f>
        <v/>
      </c>
      <c r="AZ47" t="str">
        <f>IF(Sistema!AZ47="","",Sistema!AZ47)</f>
        <v/>
      </c>
      <c r="BA47" t="str">
        <f>IF(Sistema!BA47="","",Sistema!BA47)</f>
        <v/>
      </c>
      <c r="BB47" t="str">
        <f>IF(Sistema!BB47="","",Sistema!BB47)</f>
        <v/>
      </c>
      <c r="BC47" t="str">
        <f>IF(Sistema!BC47="","",Sistema!BC47)</f>
        <v/>
      </c>
      <c r="BD47" t="str">
        <f>IF(Sistema!BD47="","",Sistema!BD47)</f>
        <v/>
      </c>
      <c r="BE47" t="str">
        <f>IF(Sistema!BE47="","",Sistema!BE47)</f>
        <v/>
      </c>
      <c r="BF47" t="str">
        <f>IF(Sistema!BF47="","",Sistema!BF47)</f>
        <v/>
      </c>
      <c r="BG47" t="str">
        <f>IF(Sistema!BG47="","",Sistema!BG47)</f>
        <v/>
      </c>
      <c r="BH47" t="str">
        <f>IF(Sistema!BH47="","",Sistema!BH47)</f>
        <v/>
      </c>
      <c r="BI47" t="str">
        <f>IF(Sistema!BI47="","",Sistema!BI47)</f>
        <v/>
      </c>
      <c r="BJ47" t="str">
        <f>IF(Sistema!BJ47="","",Sistema!BJ47)</f>
        <v/>
      </c>
      <c r="BK47" t="str">
        <f>IF(Sistema!BK47="","",Sistema!BK47)</f>
        <v/>
      </c>
      <c r="BL47" t="str">
        <f>IF(Sistema!BL47="","",Sistema!BL47)</f>
        <v/>
      </c>
      <c r="BM47" t="str">
        <f>IF(Sistema!BM47="","",Sistema!BM47)</f>
        <v/>
      </c>
      <c r="BN47" t="str">
        <f>IF(Sistema!BN47="","",Sistema!BN47)</f>
        <v/>
      </c>
      <c r="BO47" t="str">
        <f>IF(Sistema!BO47="","",Sistema!BO47)</f>
        <v/>
      </c>
      <c r="BP47" t="str">
        <f>IF(Sistema!BP47="","",Sistema!BP47)</f>
        <v/>
      </c>
      <c r="BQ47" t="str">
        <f>IF(Sistema!BQ47="","",Sistema!BQ47)</f>
        <v/>
      </c>
      <c r="BR47" t="str">
        <f>IF(Sistema!BR47="","",Sistema!BR47)</f>
        <v/>
      </c>
      <c r="BS47" t="str">
        <f>IF(Sistema!BS47="","",Sistema!BS47)</f>
        <v/>
      </c>
      <c r="BT47" t="str">
        <f>IF(Sistema!BT47="","",Sistema!BT47)</f>
        <v/>
      </c>
      <c r="BU47" t="str">
        <f>IF(Sistema!BU47="","",Sistema!BU47)</f>
        <v/>
      </c>
      <c r="BV47" t="str">
        <f>IF(Sistema!BV47="","",Sistema!BV47)</f>
        <v/>
      </c>
      <c r="BW47" t="str">
        <f>IF(Sistema!BW47="","",Sistema!BW47)</f>
        <v/>
      </c>
      <c r="BX47" t="str">
        <f>IF(Sistema!BX47="","",Sistema!BX47)</f>
        <v/>
      </c>
      <c r="BY47" t="str">
        <f>IF(Sistema!BY47="","",Sistema!BY47)</f>
        <v/>
      </c>
      <c r="BZ47" t="str">
        <f>IF(Sistema!BZ47="","",Sistema!BZ47)</f>
        <v/>
      </c>
      <c r="CA47" t="str">
        <f>IF(Sistema!CA47="","",Sistema!CA47)</f>
        <v/>
      </c>
      <c r="CB47" t="str">
        <f>IF(Sistema!CB47="","",Sistema!CB47)</f>
        <v/>
      </c>
      <c r="CC47" t="str">
        <f>IF(Sistema!CC47="","",Sistema!CC47)</f>
        <v/>
      </c>
      <c r="CD47" t="str">
        <f>IF(Sistema!CD47="","",Sistema!CD47)</f>
        <v/>
      </c>
    </row>
    <row r="48" spans="1:82" x14ac:dyDescent="0.25">
      <c r="A48" t="str">
        <f>IF(Sistema!A48="","",Sistema!A48)</f>
        <v/>
      </c>
      <c r="B48" t="str">
        <f>IF(Sistema!B48="","",Sistema!B48)</f>
        <v/>
      </c>
      <c r="C48" t="str">
        <f>IF(Sistema!C48="","",Sistema!C48)</f>
        <v/>
      </c>
      <c r="D48" t="str">
        <f>IF(Sistema!D48="","",Sistema!D48)</f>
        <v/>
      </c>
      <c r="E48" t="str">
        <f>IF(Sistema!E48="","",Sistema!E48)</f>
        <v/>
      </c>
      <c r="F48">
        <f>IF(P48&gt;0,1,IF(Sistema!F48=0,-1,1))</f>
        <v>-1</v>
      </c>
      <c r="G48">
        <f>Sistema!G48</f>
        <v>0</v>
      </c>
      <c r="H48" t="str">
        <f>IF(OR(R48="notify",R48=1),"visible",IF(OR(Sistema!F48=-1,Sistema!F48=0,ISNUMBER(SEARCH("PCK",E48))),"hidden",IF(P48&gt;0,"visible","hidden")))</f>
        <v>hidden</v>
      </c>
      <c r="I48" t="str">
        <f>IF(B48="simple",IF(P48&gt;0,"",IF(R48="notify",Info!C$2,"")),IF(B48="variable",IF(P48&gt;0,"",IF(R48="notify",Info!C$4,"")),""))</f>
        <v/>
      </c>
      <c r="J48" t="str">
        <f>IF(Sistema!J48="","",Sistema!J48)</f>
        <v/>
      </c>
      <c r="M48" t="str">
        <f>IF(Sistema!M48="","",Sistema!M48)</f>
        <v/>
      </c>
      <c r="N48" s="6" t="s">
        <v>1557</v>
      </c>
      <c r="O48" s="6">
        <v>1</v>
      </c>
      <c r="P48">
        <f>Sistema!P48</f>
        <v>0</v>
      </c>
      <c r="Q48">
        <f>Sistema!Q48</f>
        <v>0</v>
      </c>
      <c r="R48">
        <f>IF(Sistema!R48=1,"notify",Sistema!R48)</f>
        <v>0</v>
      </c>
      <c r="T48" t="str">
        <f>IF(Sistema!T48="","",Sistema!T48)</f>
        <v/>
      </c>
      <c r="U48" t="str">
        <f>IF(Sistema!U48="","",Sistema!U48)</f>
        <v/>
      </c>
      <c r="V48" t="str">
        <f>IF(Sistema!V48="","",Sistema!V48)</f>
        <v/>
      </c>
      <c r="W48" t="str">
        <f>IF(Sistema!W48="","",Sistema!W48)</f>
        <v/>
      </c>
      <c r="X48" s="6">
        <v>1</v>
      </c>
      <c r="Z48" t="str">
        <f>IF(Sistema!Z48="","",Sistema!Z48)</f>
        <v/>
      </c>
      <c r="AA48" t="str">
        <f>IF(Sistema!AA48="","",Sistema!AA48)</f>
        <v/>
      </c>
      <c r="AB48" t="str">
        <f>IF(Sistema!AB48="","",IF(OR(ISNUMBER(SEARCH("MKP",E48)),ISNUMBER(SEARCH("MKP",C48))),"Marketplace &gt; "&amp;Sistema!AB48,Sistema!AB48))</f>
        <v/>
      </c>
      <c r="AC48" t="str">
        <f>IF(Sistema!AC48="","",Sistema!AC48)</f>
        <v/>
      </c>
      <c r="AE48" t="str">
        <f>IF(Sistema!AE48="","",Sistema!AE48)</f>
        <v/>
      </c>
      <c r="AH48" t="str">
        <f>IF(Sistema!AH48="","",Sistema!AH48)</f>
        <v/>
      </c>
      <c r="AQ48" t="str">
        <f>IF(Sistema!AQ48="","",Sistema!AQ48)</f>
        <v/>
      </c>
      <c r="AR48" t="str">
        <f>IF(Sistema!AR48="","",Sistema!AR48)</f>
        <v/>
      </c>
      <c r="AS48" t="str">
        <f>IF(Sistema!AS48="","",Sistema!AS48)</f>
        <v/>
      </c>
      <c r="AT48" t="str">
        <f>IF(Sistema!AT48="","",Sistema!AT48)</f>
        <v/>
      </c>
      <c r="AU48" t="str">
        <f>IF(Sistema!AU48="","",Sistema!AU48)</f>
        <v/>
      </c>
      <c r="AV48" t="str">
        <f>IF(Sistema!AV48="","",Sistema!AV48)</f>
        <v/>
      </c>
      <c r="AW48" t="str">
        <f>IF(Sistema!AW48="","",Sistema!AW48)</f>
        <v/>
      </c>
      <c r="AX48" t="str">
        <f>IF(Sistema!AX48="","",Sistema!AX48)</f>
        <v/>
      </c>
      <c r="AY48" t="str">
        <f>IF(Sistema!AY48="","",Sistema!AY48)</f>
        <v/>
      </c>
      <c r="AZ48" t="str">
        <f>IF(Sistema!AZ48="","",Sistema!AZ48)</f>
        <v/>
      </c>
      <c r="BA48" t="str">
        <f>IF(Sistema!BA48="","",Sistema!BA48)</f>
        <v/>
      </c>
      <c r="BB48" t="str">
        <f>IF(Sistema!BB48="","",Sistema!BB48)</f>
        <v/>
      </c>
      <c r="BC48" t="str">
        <f>IF(Sistema!BC48="","",Sistema!BC48)</f>
        <v/>
      </c>
      <c r="BD48" t="str">
        <f>IF(Sistema!BD48="","",Sistema!BD48)</f>
        <v/>
      </c>
      <c r="BE48" t="str">
        <f>IF(Sistema!BE48="","",Sistema!BE48)</f>
        <v/>
      </c>
      <c r="BF48" t="str">
        <f>IF(Sistema!BF48="","",Sistema!BF48)</f>
        <v/>
      </c>
      <c r="BG48" t="str">
        <f>IF(Sistema!BG48="","",Sistema!BG48)</f>
        <v/>
      </c>
      <c r="BH48" t="str">
        <f>IF(Sistema!BH48="","",Sistema!BH48)</f>
        <v/>
      </c>
      <c r="BI48" t="str">
        <f>IF(Sistema!BI48="","",Sistema!BI48)</f>
        <v/>
      </c>
      <c r="BJ48" t="str">
        <f>IF(Sistema!BJ48="","",Sistema!BJ48)</f>
        <v/>
      </c>
      <c r="BK48" t="str">
        <f>IF(Sistema!BK48="","",Sistema!BK48)</f>
        <v/>
      </c>
      <c r="BL48" t="str">
        <f>IF(Sistema!BL48="","",Sistema!BL48)</f>
        <v/>
      </c>
      <c r="BM48" t="str">
        <f>IF(Sistema!BM48="","",Sistema!BM48)</f>
        <v/>
      </c>
      <c r="BN48" t="str">
        <f>IF(Sistema!BN48="","",Sistema!BN48)</f>
        <v/>
      </c>
      <c r="BO48" t="str">
        <f>IF(Sistema!BO48="","",Sistema!BO48)</f>
        <v/>
      </c>
      <c r="BP48" t="str">
        <f>IF(Sistema!BP48="","",Sistema!BP48)</f>
        <v/>
      </c>
      <c r="BQ48" t="str">
        <f>IF(Sistema!BQ48="","",Sistema!BQ48)</f>
        <v/>
      </c>
      <c r="BR48" t="str">
        <f>IF(Sistema!BR48="","",Sistema!BR48)</f>
        <v/>
      </c>
      <c r="BS48" t="str">
        <f>IF(Sistema!BS48="","",Sistema!BS48)</f>
        <v/>
      </c>
      <c r="BT48" t="str">
        <f>IF(Sistema!BT48="","",Sistema!BT48)</f>
        <v/>
      </c>
      <c r="BU48" t="str">
        <f>IF(Sistema!BU48="","",Sistema!BU48)</f>
        <v/>
      </c>
      <c r="BV48" t="str">
        <f>IF(Sistema!BV48="","",Sistema!BV48)</f>
        <v/>
      </c>
      <c r="BW48" t="str">
        <f>IF(Sistema!BW48="","",Sistema!BW48)</f>
        <v/>
      </c>
      <c r="BX48" t="str">
        <f>IF(Sistema!BX48="","",Sistema!BX48)</f>
        <v/>
      </c>
      <c r="BY48" t="str">
        <f>IF(Sistema!BY48="","",Sistema!BY48)</f>
        <v/>
      </c>
      <c r="BZ48" t="str">
        <f>IF(Sistema!BZ48="","",Sistema!BZ48)</f>
        <v/>
      </c>
      <c r="CA48" t="str">
        <f>IF(Sistema!CA48="","",Sistema!CA48)</f>
        <v/>
      </c>
      <c r="CB48" t="str">
        <f>IF(Sistema!CB48="","",Sistema!CB48)</f>
        <v/>
      </c>
      <c r="CC48" t="str">
        <f>IF(Sistema!CC48="","",Sistema!CC48)</f>
        <v/>
      </c>
      <c r="CD48" t="str">
        <f>IF(Sistema!CD48="","",Sistema!CD48)</f>
        <v/>
      </c>
    </row>
    <row r="49" spans="1:82" x14ac:dyDescent="0.25">
      <c r="A49" t="str">
        <f>IF(Sistema!A49="","",Sistema!A49)</f>
        <v/>
      </c>
      <c r="B49" t="str">
        <f>IF(Sistema!B49="","",Sistema!B49)</f>
        <v/>
      </c>
      <c r="C49" t="str">
        <f>IF(Sistema!C49="","",Sistema!C49)</f>
        <v/>
      </c>
      <c r="D49" t="str">
        <f>IF(Sistema!D49="","",Sistema!D49)</f>
        <v/>
      </c>
      <c r="E49" t="str">
        <f>IF(Sistema!E49="","",Sistema!E49)</f>
        <v/>
      </c>
      <c r="F49">
        <f>IF(P49&gt;0,1,IF(Sistema!F49=0,-1,1))</f>
        <v>-1</v>
      </c>
      <c r="G49">
        <f>Sistema!G49</f>
        <v>0</v>
      </c>
      <c r="H49" t="str">
        <f>IF(OR(R49="notify",R49=1),"visible",IF(OR(Sistema!F49=-1,Sistema!F49=0,ISNUMBER(SEARCH("PCK",E49))),"hidden",IF(P49&gt;0,"visible","hidden")))</f>
        <v>hidden</v>
      </c>
      <c r="I49" t="str">
        <f>IF(B49="simple",IF(P49&gt;0,"",IF(R49="notify",Info!C$2,"")),IF(B49="variable",IF(P49&gt;0,"",IF(R49="notify",Info!C$4,"")),""))</f>
        <v/>
      </c>
      <c r="J49" t="str">
        <f>IF(Sistema!J49="","",Sistema!J49)</f>
        <v/>
      </c>
      <c r="M49" t="str">
        <f>IF(Sistema!M49="","",Sistema!M49)</f>
        <v/>
      </c>
      <c r="N49" s="6" t="s">
        <v>1557</v>
      </c>
      <c r="O49" s="6">
        <v>1</v>
      </c>
      <c r="P49">
        <f>Sistema!P49</f>
        <v>0</v>
      </c>
      <c r="Q49">
        <f>Sistema!Q49</f>
        <v>0</v>
      </c>
      <c r="R49">
        <f>IF(Sistema!R49=1,"notify",Sistema!R49)</f>
        <v>0</v>
      </c>
      <c r="T49" t="str">
        <f>IF(Sistema!T49="","",Sistema!T49)</f>
        <v/>
      </c>
      <c r="U49" t="str">
        <f>IF(Sistema!U49="","",Sistema!U49)</f>
        <v/>
      </c>
      <c r="V49" t="str">
        <f>IF(Sistema!V49="","",Sistema!V49)</f>
        <v/>
      </c>
      <c r="W49" t="str">
        <f>IF(Sistema!W49="","",Sistema!W49)</f>
        <v/>
      </c>
      <c r="X49" s="6">
        <v>1</v>
      </c>
      <c r="Z49" t="str">
        <f>IF(Sistema!Z49="","",Sistema!Z49)</f>
        <v/>
      </c>
      <c r="AA49" t="str">
        <f>IF(Sistema!AA49="","",Sistema!AA49)</f>
        <v/>
      </c>
      <c r="AB49" t="str">
        <f>IF(Sistema!AB49="","",IF(OR(ISNUMBER(SEARCH("MKP",E49)),ISNUMBER(SEARCH("MKP",C49))),"Marketplace &gt; "&amp;Sistema!AB49,Sistema!AB49))</f>
        <v/>
      </c>
      <c r="AC49" t="str">
        <f>IF(Sistema!AC49="","",Sistema!AC49)</f>
        <v/>
      </c>
      <c r="AE49" t="str">
        <f>IF(Sistema!AE49="","",Sistema!AE49)</f>
        <v/>
      </c>
      <c r="AH49" t="str">
        <f>IF(Sistema!AH49="","",Sistema!AH49)</f>
        <v/>
      </c>
      <c r="AQ49" t="str">
        <f>IF(Sistema!AQ49="","",Sistema!AQ49)</f>
        <v/>
      </c>
      <c r="AR49" t="str">
        <f>IF(Sistema!AR49="","",Sistema!AR49)</f>
        <v/>
      </c>
      <c r="AS49" t="str">
        <f>IF(Sistema!AS49="","",Sistema!AS49)</f>
        <v/>
      </c>
      <c r="AT49" t="str">
        <f>IF(Sistema!AT49="","",Sistema!AT49)</f>
        <v/>
      </c>
      <c r="AU49" t="str">
        <f>IF(Sistema!AU49="","",Sistema!AU49)</f>
        <v/>
      </c>
      <c r="AV49" t="str">
        <f>IF(Sistema!AV49="","",Sistema!AV49)</f>
        <v/>
      </c>
      <c r="AW49" t="str">
        <f>IF(Sistema!AW49="","",Sistema!AW49)</f>
        <v/>
      </c>
      <c r="AX49" t="str">
        <f>IF(Sistema!AX49="","",Sistema!AX49)</f>
        <v/>
      </c>
      <c r="AY49" t="str">
        <f>IF(Sistema!AY49="","",Sistema!AY49)</f>
        <v/>
      </c>
      <c r="AZ49" t="str">
        <f>IF(Sistema!AZ49="","",Sistema!AZ49)</f>
        <v/>
      </c>
      <c r="BA49" t="str">
        <f>IF(Sistema!BA49="","",Sistema!BA49)</f>
        <v/>
      </c>
      <c r="BB49" t="str">
        <f>IF(Sistema!BB49="","",Sistema!BB49)</f>
        <v/>
      </c>
      <c r="BC49" t="str">
        <f>IF(Sistema!BC49="","",Sistema!BC49)</f>
        <v/>
      </c>
      <c r="BD49" t="str">
        <f>IF(Sistema!BD49="","",Sistema!BD49)</f>
        <v/>
      </c>
      <c r="BE49" t="str">
        <f>IF(Sistema!BE49="","",Sistema!BE49)</f>
        <v/>
      </c>
      <c r="BF49" t="str">
        <f>IF(Sistema!BF49="","",Sistema!BF49)</f>
        <v/>
      </c>
      <c r="BG49" t="str">
        <f>IF(Sistema!BG49="","",Sistema!BG49)</f>
        <v/>
      </c>
      <c r="BH49" t="str">
        <f>IF(Sistema!BH49="","",Sistema!BH49)</f>
        <v/>
      </c>
      <c r="BI49" t="str">
        <f>IF(Sistema!BI49="","",Sistema!BI49)</f>
        <v/>
      </c>
      <c r="BJ49" t="str">
        <f>IF(Sistema!BJ49="","",Sistema!BJ49)</f>
        <v/>
      </c>
      <c r="BK49" t="str">
        <f>IF(Sistema!BK49="","",Sistema!BK49)</f>
        <v/>
      </c>
      <c r="BL49" t="str">
        <f>IF(Sistema!BL49="","",Sistema!BL49)</f>
        <v/>
      </c>
      <c r="BM49" t="str">
        <f>IF(Sistema!BM49="","",Sistema!BM49)</f>
        <v/>
      </c>
      <c r="BN49" t="str">
        <f>IF(Sistema!BN49="","",Sistema!BN49)</f>
        <v/>
      </c>
      <c r="BO49" t="str">
        <f>IF(Sistema!BO49="","",Sistema!BO49)</f>
        <v/>
      </c>
      <c r="BP49" t="str">
        <f>IF(Sistema!BP49="","",Sistema!BP49)</f>
        <v/>
      </c>
      <c r="BQ49" t="str">
        <f>IF(Sistema!BQ49="","",Sistema!BQ49)</f>
        <v/>
      </c>
      <c r="BR49" t="str">
        <f>IF(Sistema!BR49="","",Sistema!BR49)</f>
        <v/>
      </c>
      <c r="BS49" t="str">
        <f>IF(Sistema!BS49="","",Sistema!BS49)</f>
        <v/>
      </c>
      <c r="BT49" t="str">
        <f>IF(Sistema!BT49="","",Sistema!BT49)</f>
        <v/>
      </c>
      <c r="BU49" t="str">
        <f>IF(Sistema!BU49="","",Sistema!BU49)</f>
        <v/>
      </c>
      <c r="BV49" t="str">
        <f>IF(Sistema!BV49="","",Sistema!BV49)</f>
        <v/>
      </c>
      <c r="BW49" t="str">
        <f>IF(Sistema!BW49="","",Sistema!BW49)</f>
        <v/>
      </c>
      <c r="BX49" t="str">
        <f>IF(Sistema!BX49="","",Sistema!BX49)</f>
        <v/>
      </c>
      <c r="BY49" t="str">
        <f>IF(Sistema!BY49="","",Sistema!BY49)</f>
        <v/>
      </c>
      <c r="BZ49" t="str">
        <f>IF(Sistema!BZ49="","",Sistema!BZ49)</f>
        <v/>
      </c>
      <c r="CA49" t="str">
        <f>IF(Sistema!CA49="","",Sistema!CA49)</f>
        <v/>
      </c>
      <c r="CB49" t="str">
        <f>IF(Sistema!CB49="","",Sistema!CB49)</f>
        <v/>
      </c>
      <c r="CC49" t="str">
        <f>IF(Sistema!CC49="","",Sistema!CC49)</f>
        <v/>
      </c>
      <c r="CD49" t="str">
        <f>IF(Sistema!CD49="","",Sistema!CD49)</f>
        <v/>
      </c>
    </row>
    <row r="50" spans="1:82" x14ac:dyDescent="0.25">
      <c r="A50" t="str">
        <f>IF(Sistema!A50="","",Sistema!A50)</f>
        <v/>
      </c>
      <c r="B50" t="str">
        <f>IF(Sistema!B50="","",Sistema!B50)</f>
        <v/>
      </c>
      <c r="C50" t="str">
        <f>IF(Sistema!C50="","",Sistema!C50)</f>
        <v/>
      </c>
      <c r="D50" t="str">
        <f>IF(Sistema!D50="","",Sistema!D50)</f>
        <v/>
      </c>
      <c r="E50" t="str">
        <f>IF(Sistema!E50="","",Sistema!E50)</f>
        <v/>
      </c>
      <c r="F50">
        <f>IF(P50&gt;0,1,IF(Sistema!F50=0,-1,1))</f>
        <v>-1</v>
      </c>
      <c r="G50">
        <f>Sistema!G50</f>
        <v>0</v>
      </c>
      <c r="H50" t="str">
        <f>IF(OR(R50="notify",R50=1),"visible",IF(OR(Sistema!F50=-1,Sistema!F50=0,ISNUMBER(SEARCH("PCK",E50))),"hidden",IF(P50&gt;0,"visible","hidden")))</f>
        <v>hidden</v>
      </c>
      <c r="I50" t="str">
        <f>IF(B50="simple",IF(P50&gt;0,"",IF(R50="notify",Info!C$2,"")),IF(B50="variable",IF(P50&gt;0,"",IF(R50="notify",Info!C$4,"")),""))</f>
        <v/>
      </c>
      <c r="J50" t="str">
        <f>IF(Sistema!J50="","",Sistema!J50)</f>
        <v/>
      </c>
      <c r="M50" t="str">
        <f>IF(Sistema!M50="","",Sistema!M50)</f>
        <v/>
      </c>
      <c r="N50" s="6" t="s">
        <v>1557</v>
      </c>
      <c r="O50" s="6">
        <v>1</v>
      </c>
      <c r="P50">
        <f>Sistema!P50</f>
        <v>0</v>
      </c>
      <c r="Q50">
        <f>Sistema!Q50</f>
        <v>0</v>
      </c>
      <c r="R50">
        <f>IF(Sistema!R50=1,"notify",Sistema!R50)</f>
        <v>0</v>
      </c>
      <c r="T50" t="str">
        <f>IF(Sistema!T50="","",Sistema!T50)</f>
        <v/>
      </c>
      <c r="U50" t="str">
        <f>IF(Sistema!U50="","",Sistema!U50)</f>
        <v/>
      </c>
      <c r="V50" t="str">
        <f>IF(Sistema!V50="","",Sistema!V50)</f>
        <v/>
      </c>
      <c r="W50" t="str">
        <f>IF(Sistema!W50="","",Sistema!W50)</f>
        <v/>
      </c>
      <c r="X50" s="6">
        <v>1</v>
      </c>
      <c r="Z50" t="str">
        <f>IF(Sistema!Z50="","",Sistema!Z50)</f>
        <v/>
      </c>
      <c r="AA50" t="str">
        <f>IF(Sistema!AA50="","",Sistema!AA50)</f>
        <v/>
      </c>
      <c r="AB50" t="str">
        <f>IF(Sistema!AB50="","",IF(OR(ISNUMBER(SEARCH("MKP",E50)),ISNUMBER(SEARCH("MKP",C50))),"Marketplace &gt; "&amp;Sistema!AB50,Sistema!AB50))</f>
        <v/>
      </c>
      <c r="AC50" t="str">
        <f>IF(Sistema!AC50="","",Sistema!AC50)</f>
        <v/>
      </c>
      <c r="AE50" t="str">
        <f>IF(Sistema!AE50="","",Sistema!AE50)</f>
        <v/>
      </c>
      <c r="AH50" t="str">
        <f>IF(Sistema!AH50="","",Sistema!AH50)</f>
        <v/>
      </c>
      <c r="AQ50" t="str">
        <f>IF(Sistema!AQ50="","",Sistema!AQ50)</f>
        <v/>
      </c>
      <c r="AR50" t="str">
        <f>IF(Sistema!AR50="","",Sistema!AR50)</f>
        <v/>
      </c>
      <c r="AS50" t="str">
        <f>IF(Sistema!AS50="","",Sistema!AS50)</f>
        <v/>
      </c>
      <c r="AT50" t="str">
        <f>IF(Sistema!AT50="","",Sistema!AT50)</f>
        <v/>
      </c>
      <c r="AU50" t="str">
        <f>IF(Sistema!AU50="","",Sistema!AU50)</f>
        <v/>
      </c>
      <c r="AV50" t="str">
        <f>IF(Sistema!AV50="","",Sistema!AV50)</f>
        <v/>
      </c>
      <c r="AW50" t="str">
        <f>IF(Sistema!AW50="","",Sistema!AW50)</f>
        <v/>
      </c>
      <c r="AX50" t="str">
        <f>IF(Sistema!AX50="","",Sistema!AX50)</f>
        <v/>
      </c>
      <c r="AY50" t="str">
        <f>IF(Sistema!AY50="","",Sistema!AY50)</f>
        <v/>
      </c>
      <c r="AZ50" t="str">
        <f>IF(Sistema!AZ50="","",Sistema!AZ50)</f>
        <v/>
      </c>
      <c r="BA50" t="str">
        <f>IF(Sistema!BA50="","",Sistema!BA50)</f>
        <v/>
      </c>
      <c r="BB50" t="str">
        <f>IF(Sistema!BB50="","",Sistema!BB50)</f>
        <v/>
      </c>
      <c r="BC50" t="str">
        <f>IF(Sistema!BC50="","",Sistema!BC50)</f>
        <v/>
      </c>
      <c r="BD50" t="str">
        <f>IF(Sistema!BD50="","",Sistema!BD50)</f>
        <v/>
      </c>
      <c r="BE50" t="str">
        <f>IF(Sistema!BE50="","",Sistema!BE50)</f>
        <v/>
      </c>
      <c r="BF50" t="str">
        <f>IF(Sistema!BF50="","",Sistema!BF50)</f>
        <v/>
      </c>
      <c r="BG50" t="str">
        <f>IF(Sistema!BG50="","",Sistema!BG50)</f>
        <v/>
      </c>
      <c r="BH50" t="str">
        <f>IF(Sistema!BH50="","",Sistema!BH50)</f>
        <v/>
      </c>
      <c r="BI50" t="str">
        <f>IF(Sistema!BI50="","",Sistema!BI50)</f>
        <v/>
      </c>
      <c r="BJ50" t="str">
        <f>IF(Sistema!BJ50="","",Sistema!BJ50)</f>
        <v/>
      </c>
      <c r="BK50" t="str">
        <f>IF(Sistema!BK50="","",Sistema!BK50)</f>
        <v/>
      </c>
      <c r="BL50" t="str">
        <f>IF(Sistema!BL50="","",Sistema!BL50)</f>
        <v/>
      </c>
      <c r="BM50" t="str">
        <f>IF(Sistema!BM50="","",Sistema!BM50)</f>
        <v/>
      </c>
      <c r="BN50" t="str">
        <f>IF(Sistema!BN50="","",Sistema!BN50)</f>
        <v/>
      </c>
      <c r="BO50" t="str">
        <f>IF(Sistema!BO50="","",Sistema!BO50)</f>
        <v/>
      </c>
      <c r="BP50" t="str">
        <f>IF(Sistema!BP50="","",Sistema!BP50)</f>
        <v/>
      </c>
      <c r="BQ50" t="str">
        <f>IF(Sistema!BQ50="","",Sistema!BQ50)</f>
        <v/>
      </c>
      <c r="BR50" t="str">
        <f>IF(Sistema!BR50="","",Sistema!BR50)</f>
        <v/>
      </c>
      <c r="BS50" t="str">
        <f>IF(Sistema!BS50="","",Sistema!BS50)</f>
        <v/>
      </c>
      <c r="BT50" t="str">
        <f>IF(Sistema!BT50="","",Sistema!BT50)</f>
        <v/>
      </c>
      <c r="BU50" t="str">
        <f>IF(Sistema!BU50="","",Sistema!BU50)</f>
        <v/>
      </c>
      <c r="BV50" t="str">
        <f>IF(Sistema!BV50="","",Sistema!BV50)</f>
        <v/>
      </c>
      <c r="BW50" t="str">
        <f>IF(Sistema!BW50="","",Sistema!BW50)</f>
        <v/>
      </c>
      <c r="BX50" t="str">
        <f>IF(Sistema!BX50="","",Sistema!BX50)</f>
        <v/>
      </c>
      <c r="BY50" t="str">
        <f>IF(Sistema!BY50="","",Sistema!BY50)</f>
        <v/>
      </c>
      <c r="BZ50" t="str">
        <f>IF(Sistema!BZ50="","",Sistema!BZ50)</f>
        <v/>
      </c>
      <c r="CA50" t="str">
        <f>IF(Sistema!CA50="","",Sistema!CA50)</f>
        <v/>
      </c>
      <c r="CB50" t="str">
        <f>IF(Sistema!CB50="","",Sistema!CB50)</f>
        <v/>
      </c>
      <c r="CC50" t="str">
        <f>IF(Sistema!CC50="","",Sistema!CC50)</f>
        <v/>
      </c>
      <c r="CD50" t="str">
        <f>IF(Sistema!CD50="","",Sistema!CD50)</f>
        <v/>
      </c>
    </row>
    <row r="51" spans="1:82" x14ac:dyDescent="0.25">
      <c r="A51" t="str">
        <f>IF(Sistema!A51="","",Sistema!A51)</f>
        <v/>
      </c>
      <c r="B51" t="str">
        <f>IF(Sistema!B51="","",Sistema!B51)</f>
        <v/>
      </c>
      <c r="C51" t="str">
        <f>IF(Sistema!C51="","",Sistema!C51)</f>
        <v/>
      </c>
      <c r="D51" t="str">
        <f>IF(Sistema!D51="","",Sistema!D51)</f>
        <v/>
      </c>
      <c r="E51" t="str">
        <f>IF(Sistema!E51="","",Sistema!E51)</f>
        <v/>
      </c>
      <c r="F51">
        <f>IF(P51&gt;0,1,IF(Sistema!F51=0,-1,1))</f>
        <v>-1</v>
      </c>
      <c r="G51">
        <f>Sistema!G51</f>
        <v>0</v>
      </c>
      <c r="H51" t="str">
        <f>IF(OR(R51="notify",R51=1),"visible",IF(OR(Sistema!F51=-1,Sistema!F51=0,ISNUMBER(SEARCH("PCK",E51))),"hidden",IF(P51&gt;0,"visible","hidden")))</f>
        <v>hidden</v>
      </c>
      <c r="I51" t="str">
        <f>IF(B51="simple",IF(P51&gt;0,"",IF(R51="notify",Info!C$2,"")),IF(B51="variable",IF(P51&gt;0,"",IF(R51="notify",Info!C$4,"")),""))</f>
        <v/>
      </c>
      <c r="J51" t="str">
        <f>IF(Sistema!J51="","",Sistema!J51)</f>
        <v/>
      </c>
      <c r="M51" t="str">
        <f>IF(Sistema!M51="","",Sistema!M51)</f>
        <v/>
      </c>
      <c r="N51" s="6" t="s">
        <v>1557</v>
      </c>
      <c r="O51" s="6">
        <v>1</v>
      </c>
      <c r="P51">
        <f>Sistema!P51</f>
        <v>0</v>
      </c>
      <c r="Q51">
        <f>Sistema!Q51</f>
        <v>0</v>
      </c>
      <c r="R51">
        <f>IF(Sistema!R51=1,"notify",Sistema!R51)</f>
        <v>0</v>
      </c>
      <c r="T51" t="str">
        <f>IF(Sistema!T51="","",Sistema!T51)</f>
        <v/>
      </c>
      <c r="U51" t="str">
        <f>IF(Sistema!U51="","",Sistema!U51)</f>
        <v/>
      </c>
      <c r="V51" t="str">
        <f>IF(Sistema!V51="","",Sistema!V51)</f>
        <v/>
      </c>
      <c r="W51" t="str">
        <f>IF(Sistema!W51="","",Sistema!W51)</f>
        <v/>
      </c>
      <c r="X51" s="6">
        <v>1</v>
      </c>
      <c r="Z51" t="str">
        <f>IF(Sistema!Z51="","",Sistema!Z51)</f>
        <v/>
      </c>
      <c r="AA51" t="str">
        <f>IF(Sistema!AA51="","",Sistema!AA51)</f>
        <v/>
      </c>
      <c r="AB51" t="str">
        <f>IF(Sistema!AB51="","",IF(OR(ISNUMBER(SEARCH("MKP",E51)),ISNUMBER(SEARCH("MKP",C51))),"Marketplace &gt; "&amp;Sistema!AB51,Sistema!AB51))</f>
        <v/>
      </c>
      <c r="AC51" t="str">
        <f>IF(Sistema!AC51="","",Sistema!AC51)</f>
        <v/>
      </c>
      <c r="AE51" t="str">
        <f>IF(Sistema!AE51="","",Sistema!AE51)</f>
        <v/>
      </c>
      <c r="AH51" t="str">
        <f>IF(Sistema!AH51="","",Sistema!AH51)</f>
        <v/>
      </c>
      <c r="AQ51" t="str">
        <f>IF(Sistema!AQ51="","",Sistema!AQ51)</f>
        <v/>
      </c>
      <c r="AR51" t="str">
        <f>IF(Sistema!AR51="","",Sistema!AR51)</f>
        <v/>
      </c>
      <c r="AS51" t="str">
        <f>IF(Sistema!AS51="","",Sistema!AS51)</f>
        <v/>
      </c>
      <c r="AT51" t="str">
        <f>IF(Sistema!AT51="","",Sistema!AT51)</f>
        <v/>
      </c>
      <c r="AU51" t="str">
        <f>IF(Sistema!AU51="","",Sistema!AU51)</f>
        <v/>
      </c>
      <c r="AV51" t="str">
        <f>IF(Sistema!AV51="","",Sistema!AV51)</f>
        <v/>
      </c>
      <c r="AW51" t="str">
        <f>IF(Sistema!AW51="","",Sistema!AW51)</f>
        <v/>
      </c>
      <c r="AX51" t="str">
        <f>IF(Sistema!AX51="","",Sistema!AX51)</f>
        <v/>
      </c>
      <c r="AY51" t="str">
        <f>IF(Sistema!AY51="","",Sistema!AY51)</f>
        <v/>
      </c>
      <c r="AZ51" t="str">
        <f>IF(Sistema!AZ51="","",Sistema!AZ51)</f>
        <v/>
      </c>
      <c r="BA51" t="str">
        <f>IF(Sistema!BA51="","",Sistema!BA51)</f>
        <v/>
      </c>
      <c r="BB51" t="str">
        <f>IF(Sistema!BB51="","",Sistema!BB51)</f>
        <v/>
      </c>
      <c r="BC51" t="str">
        <f>IF(Sistema!BC51="","",Sistema!BC51)</f>
        <v/>
      </c>
      <c r="BD51" t="str">
        <f>IF(Sistema!BD51="","",Sistema!BD51)</f>
        <v/>
      </c>
      <c r="BE51" t="str">
        <f>IF(Sistema!BE51="","",Sistema!BE51)</f>
        <v/>
      </c>
      <c r="BF51" t="str">
        <f>IF(Sistema!BF51="","",Sistema!BF51)</f>
        <v/>
      </c>
      <c r="BG51" t="str">
        <f>IF(Sistema!BG51="","",Sistema!BG51)</f>
        <v/>
      </c>
      <c r="BH51" t="str">
        <f>IF(Sistema!BH51="","",Sistema!BH51)</f>
        <v/>
      </c>
      <c r="BI51" t="str">
        <f>IF(Sistema!BI51="","",Sistema!BI51)</f>
        <v/>
      </c>
      <c r="BJ51" t="str">
        <f>IF(Sistema!BJ51="","",Sistema!BJ51)</f>
        <v/>
      </c>
      <c r="BK51" t="str">
        <f>IF(Sistema!BK51="","",Sistema!BK51)</f>
        <v/>
      </c>
      <c r="BL51" t="str">
        <f>IF(Sistema!BL51="","",Sistema!BL51)</f>
        <v/>
      </c>
      <c r="BM51" t="str">
        <f>IF(Sistema!BM51="","",Sistema!BM51)</f>
        <v/>
      </c>
      <c r="BN51" t="str">
        <f>IF(Sistema!BN51="","",Sistema!BN51)</f>
        <v/>
      </c>
      <c r="BO51" t="str">
        <f>IF(Sistema!BO51="","",Sistema!BO51)</f>
        <v/>
      </c>
      <c r="BP51" t="str">
        <f>IF(Sistema!BP51="","",Sistema!BP51)</f>
        <v/>
      </c>
      <c r="BQ51" t="str">
        <f>IF(Sistema!BQ51="","",Sistema!BQ51)</f>
        <v/>
      </c>
      <c r="BR51" t="str">
        <f>IF(Sistema!BR51="","",Sistema!BR51)</f>
        <v/>
      </c>
      <c r="BS51" t="str">
        <f>IF(Sistema!BS51="","",Sistema!BS51)</f>
        <v/>
      </c>
      <c r="BT51" t="str">
        <f>IF(Sistema!BT51="","",Sistema!BT51)</f>
        <v/>
      </c>
      <c r="BU51" t="str">
        <f>IF(Sistema!BU51="","",Sistema!BU51)</f>
        <v/>
      </c>
      <c r="BV51" t="str">
        <f>IF(Sistema!BV51="","",Sistema!BV51)</f>
        <v/>
      </c>
      <c r="BW51" t="str">
        <f>IF(Sistema!BW51="","",Sistema!BW51)</f>
        <v/>
      </c>
      <c r="BX51" t="str">
        <f>IF(Sistema!BX51="","",Sistema!BX51)</f>
        <v/>
      </c>
      <c r="BY51" t="str">
        <f>IF(Sistema!BY51="","",Sistema!BY51)</f>
        <v/>
      </c>
      <c r="BZ51" t="str">
        <f>IF(Sistema!BZ51="","",Sistema!BZ51)</f>
        <v/>
      </c>
      <c r="CA51" t="str">
        <f>IF(Sistema!CA51="","",Sistema!CA51)</f>
        <v/>
      </c>
      <c r="CB51" t="str">
        <f>IF(Sistema!CB51="","",Sistema!CB51)</f>
        <v/>
      </c>
      <c r="CC51" t="str">
        <f>IF(Sistema!CC51="","",Sistema!CC51)</f>
        <v/>
      </c>
      <c r="CD51" t="str">
        <f>IF(Sistema!CD51="","",Sistema!CD51)</f>
        <v/>
      </c>
    </row>
    <row r="52" spans="1:82" x14ac:dyDescent="0.25">
      <c r="A52" t="str">
        <f>IF(Sistema!A52="","",Sistema!A52)</f>
        <v/>
      </c>
      <c r="B52" t="str">
        <f>IF(Sistema!B52="","",Sistema!B52)</f>
        <v/>
      </c>
      <c r="C52" t="str">
        <f>IF(Sistema!C52="","",Sistema!C52)</f>
        <v/>
      </c>
      <c r="D52" t="str">
        <f>IF(Sistema!D52="","",Sistema!D52)</f>
        <v/>
      </c>
      <c r="E52" t="str">
        <f>IF(Sistema!E52="","",Sistema!E52)</f>
        <v/>
      </c>
      <c r="F52">
        <f>IF(P52&gt;0,1,IF(Sistema!F52=0,-1,1))</f>
        <v>-1</v>
      </c>
      <c r="G52">
        <f>Sistema!G52</f>
        <v>0</v>
      </c>
      <c r="H52" t="str">
        <f>IF(OR(R52="notify",R52=1),"visible",IF(OR(Sistema!F52=-1,Sistema!F52=0,ISNUMBER(SEARCH("PCK",E52))),"hidden",IF(P52&gt;0,"visible","hidden")))</f>
        <v>hidden</v>
      </c>
      <c r="I52" t="str">
        <f>IF(B52="simple",IF(P52&gt;0,"",IF(R52="notify",Info!C$2,"")),IF(B52="variable",IF(P52&gt;0,"",IF(R52="notify",Info!C$4,"")),""))</f>
        <v/>
      </c>
      <c r="J52" t="str">
        <f>IF(Sistema!J52="","",Sistema!J52)</f>
        <v/>
      </c>
      <c r="M52" t="str">
        <f>IF(Sistema!M52="","",Sistema!M52)</f>
        <v/>
      </c>
      <c r="N52" s="6" t="s">
        <v>1557</v>
      </c>
      <c r="O52" s="6">
        <v>1</v>
      </c>
      <c r="P52">
        <f>Sistema!P52</f>
        <v>0</v>
      </c>
      <c r="Q52">
        <f>Sistema!Q52</f>
        <v>0</v>
      </c>
      <c r="R52">
        <f>IF(Sistema!R52=1,"notify",Sistema!R52)</f>
        <v>0</v>
      </c>
      <c r="T52" t="str">
        <f>IF(Sistema!T52="","",Sistema!T52)</f>
        <v/>
      </c>
      <c r="U52" t="str">
        <f>IF(Sistema!U52="","",Sistema!U52)</f>
        <v/>
      </c>
      <c r="V52" t="str">
        <f>IF(Sistema!V52="","",Sistema!V52)</f>
        <v/>
      </c>
      <c r="W52" t="str">
        <f>IF(Sistema!W52="","",Sistema!W52)</f>
        <v/>
      </c>
      <c r="X52" s="6">
        <v>1</v>
      </c>
      <c r="Z52" t="str">
        <f>IF(Sistema!Z52="","",Sistema!Z52)</f>
        <v/>
      </c>
      <c r="AA52" t="str">
        <f>IF(Sistema!AA52="","",Sistema!AA52)</f>
        <v/>
      </c>
      <c r="AB52" t="str">
        <f>IF(Sistema!AB52="","",IF(OR(ISNUMBER(SEARCH("MKP",E52)),ISNUMBER(SEARCH("MKP",C52))),"Marketplace &gt; "&amp;Sistema!AB52,Sistema!AB52))</f>
        <v/>
      </c>
      <c r="AC52" t="str">
        <f>IF(Sistema!AC52="","",Sistema!AC52)</f>
        <v/>
      </c>
      <c r="AE52" t="str">
        <f>IF(Sistema!AE52="","",Sistema!AE52)</f>
        <v/>
      </c>
      <c r="AH52" t="str">
        <f>IF(Sistema!AH52="","",Sistema!AH52)</f>
        <v/>
      </c>
      <c r="AQ52" t="str">
        <f>IF(Sistema!AQ52="","",Sistema!AQ52)</f>
        <v/>
      </c>
      <c r="AR52" t="str">
        <f>IF(Sistema!AR52="","",Sistema!AR52)</f>
        <v/>
      </c>
      <c r="AS52" t="str">
        <f>IF(Sistema!AS52="","",Sistema!AS52)</f>
        <v/>
      </c>
      <c r="AT52" t="str">
        <f>IF(Sistema!AT52="","",Sistema!AT52)</f>
        <v/>
      </c>
      <c r="AU52" t="str">
        <f>IF(Sistema!AU52="","",Sistema!AU52)</f>
        <v/>
      </c>
      <c r="AV52" t="str">
        <f>IF(Sistema!AV52="","",Sistema!AV52)</f>
        <v/>
      </c>
      <c r="AW52" t="str">
        <f>IF(Sistema!AW52="","",Sistema!AW52)</f>
        <v/>
      </c>
      <c r="AX52" t="str">
        <f>IF(Sistema!AX52="","",Sistema!AX52)</f>
        <v/>
      </c>
      <c r="AY52" t="str">
        <f>IF(Sistema!AY52="","",Sistema!AY52)</f>
        <v/>
      </c>
      <c r="AZ52" t="str">
        <f>IF(Sistema!AZ52="","",Sistema!AZ52)</f>
        <v/>
      </c>
      <c r="BA52" t="str">
        <f>IF(Sistema!BA52="","",Sistema!BA52)</f>
        <v/>
      </c>
      <c r="BB52" t="str">
        <f>IF(Sistema!BB52="","",Sistema!BB52)</f>
        <v/>
      </c>
      <c r="BC52" t="str">
        <f>IF(Sistema!BC52="","",Sistema!BC52)</f>
        <v/>
      </c>
      <c r="BD52" t="str">
        <f>IF(Sistema!BD52="","",Sistema!BD52)</f>
        <v/>
      </c>
      <c r="BE52" t="str">
        <f>IF(Sistema!BE52="","",Sistema!BE52)</f>
        <v/>
      </c>
      <c r="BF52" t="str">
        <f>IF(Sistema!BF52="","",Sistema!BF52)</f>
        <v/>
      </c>
      <c r="BG52" t="str">
        <f>IF(Sistema!BG52="","",Sistema!BG52)</f>
        <v/>
      </c>
      <c r="BH52" t="str">
        <f>IF(Sistema!BH52="","",Sistema!BH52)</f>
        <v/>
      </c>
      <c r="BI52" t="str">
        <f>IF(Sistema!BI52="","",Sistema!BI52)</f>
        <v/>
      </c>
      <c r="BJ52" t="str">
        <f>IF(Sistema!BJ52="","",Sistema!BJ52)</f>
        <v/>
      </c>
      <c r="BK52" t="str">
        <f>IF(Sistema!BK52="","",Sistema!BK52)</f>
        <v/>
      </c>
      <c r="BL52" t="str">
        <f>IF(Sistema!BL52="","",Sistema!BL52)</f>
        <v/>
      </c>
      <c r="BM52" t="str">
        <f>IF(Sistema!BM52="","",Sistema!BM52)</f>
        <v/>
      </c>
      <c r="BN52" t="str">
        <f>IF(Sistema!BN52="","",Sistema!BN52)</f>
        <v/>
      </c>
      <c r="BO52" t="str">
        <f>IF(Sistema!BO52="","",Sistema!BO52)</f>
        <v/>
      </c>
      <c r="BP52" t="str">
        <f>IF(Sistema!BP52="","",Sistema!BP52)</f>
        <v/>
      </c>
      <c r="BQ52" t="str">
        <f>IF(Sistema!BQ52="","",Sistema!BQ52)</f>
        <v/>
      </c>
      <c r="BR52" t="str">
        <f>IF(Sistema!BR52="","",Sistema!BR52)</f>
        <v/>
      </c>
      <c r="BS52" t="str">
        <f>IF(Sistema!BS52="","",Sistema!BS52)</f>
        <v/>
      </c>
      <c r="BT52" t="str">
        <f>IF(Sistema!BT52="","",Sistema!BT52)</f>
        <v/>
      </c>
      <c r="BU52" t="str">
        <f>IF(Sistema!BU52="","",Sistema!BU52)</f>
        <v/>
      </c>
      <c r="BV52" t="str">
        <f>IF(Sistema!BV52="","",Sistema!BV52)</f>
        <v/>
      </c>
      <c r="BW52" t="str">
        <f>IF(Sistema!BW52="","",Sistema!BW52)</f>
        <v/>
      </c>
      <c r="BX52" t="str">
        <f>IF(Sistema!BX52="","",Sistema!BX52)</f>
        <v/>
      </c>
      <c r="BY52" t="str">
        <f>IF(Sistema!BY52="","",Sistema!BY52)</f>
        <v/>
      </c>
      <c r="BZ52" t="str">
        <f>IF(Sistema!BZ52="","",Sistema!BZ52)</f>
        <v/>
      </c>
      <c r="CA52" t="str">
        <f>IF(Sistema!CA52="","",Sistema!CA52)</f>
        <v/>
      </c>
      <c r="CB52" t="str">
        <f>IF(Sistema!CB52="","",Sistema!CB52)</f>
        <v/>
      </c>
      <c r="CC52" t="str">
        <f>IF(Sistema!CC52="","",Sistema!CC52)</f>
        <v/>
      </c>
      <c r="CD52" t="str">
        <f>IF(Sistema!CD52="","",Sistema!CD52)</f>
        <v/>
      </c>
    </row>
    <row r="53" spans="1:82" x14ac:dyDescent="0.25">
      <c r="A53" t="str">
        <f>IF(Sistema!A53="","",Sistema!A53)</f>
        <v/>
      </c>
      <c r="B53" t="str">
        <f>IF(Sistema!B53="","",Sistema!B53)</f>
        <v/>
      </c>
      <c r="C53" t="str">
        <f>IF(Sistema!C53="","",Sistema!C53)</f>
        <v/>
      </c>
      <c r="D53" t="str">
        <f>IF(Sistema!D53="","",Sistema!D53)</f>
        <v/>
      </c>
      <c r="E53" t="str">
        <f>IF(Sistema!E53="","",Sistema!E53)</f>
        <v/>
      </c>
      <c r="F53">
        <f>IF(P53&gt;0,1,IF(Sistema!F53=0,-1,1))</f>
        <v>-1</v>
      </c>
      <c r="G53">
        <f>Sistema!G53</f>
        <v>0</v>
      </c>
      <c r="H53" t="str">
        <f>IF(OR(R53="notify",R53=1),"visible",IF(OR(Sistema!F53=-1,Sistema!F53=0,ISNUMBER(SEARCH("PCK",E53))),"hidden",IF(P53&gt;0,"visible","hidden")))</f>
        <v>hidden</v>
      </c>
      <c r="I53" t="str">
        <f>IF(B53="simple",IF(P53&gt;0,"",IF(R53="notify",Info!C$2,"")),IF(B53="variable",IF(P53&gt;0,"",IF(R53="notify",Info!C$4,"")),""))</f>
        <v/>
      </c>
      <c r="J53" t="str">
        <f>IF(Sistema!J53="","",Sistema!J53)</f>
        <v/>
      </c>
      <c r="M53" t="str">
        <f>IF(Sistema!M53="","",Sistema!M53)</f>
        <v/>
      </c>
      <c r="N53" s="6" t="s">
        <v>1557</v>
      </c>
      <c r="O53" s="6">
        <v>1</v>
      </c>
      <c r="P53">
        <f>Sistema!P53</f>
        <v>0</v>
      </c>
      <c r="Q53">
        <f>Sistema!Q53</f>
        <v>0</v>
      </c>
      <c r="R53">
        <f>IF(Sistema!R53=1,"notify",Sistema!R53)</f>
        <v>0</v>
      </c>
      <c r="T53" t="str">
        <f>IF(Sistema!T53="","",Sistema!T53)</f>
        <v/>
      </c>
      <c r="U53" t="str">
        <f>IF(Sistema!U53="","",Sistema!U53)</f>
        <v/>
      </c>
      <c r="V53" t="str">
        <f>IF(Sistema!V53="","",Sistema!V53)</f>
        <v/>
      </c>
      <c r="W53" t="str">
        <f>IF(Sistema!W53="","",Sistema!W53)</f>
        <v/>
      </c>
      <c r="X53" s="6">
        <v>1</v>
      </c>
      <c r="Z53" t="str">
        <f>IF(Sistema!Z53="","",Sistema!Z53)</f>
        <v/>
      </c>
      <c r="AA53" t="str">
        <f>IF(Sistema!AA53="","",Sistema!AA53)</f>
        <v/>
      </c>
      <c r="AB53" t="str">
        <f>IF(Sistema!AB53="","",IF(OR(ISNUMBER(SEARCH("MKP",E53)),ISNUMBER(SEARCH("MKP",C53))),"Marketplace &gt; "&amp;Sistema!AB53,Sistema!AB53))</f>
        <v/>
      </c>
      <c r="AC53" t="str">
        <f>IF(Sistema!AC53="","",Sistema!AC53)</f>
        <v/>
      </c>
      <c r="AE53" t="str">
        <f>IF(Sistema!AE53="","",Sistema!AE53)</f>
        <v/>
      </c>
      <c r="AH53" t="str">
        <f>IF(Sistema!AH53="","",Sistema!AH53)</f>
        <v/>
      </c>
      <c r="AQ53" t="str">
        <f>IF(Sistema!AQ53="","",Sistema!AQ53)</f>
        <v/>
      </c>
      <c r="AR53" t="str">
        <f>IF(Sistema!AR53="","",Sistema!AR53)</f>
        <v/>
      </c>
      <c r="AS53" t="str">
        <f>IF(Sistema!AS53="","",Sistema!AS53)</f>
        <v/>
      </c>
      <c r="AT53" t="str">
        <f>IF(Sistema!AT53="","",Sistema!AT53)</f>
        <v/>
      </c>
      <c r="AU53" t="str">
        <f>IF(Sistema!AU53="","",Sistema!AU53)</f>
        <v/>
      </c>
      <c r="AV53" t="str">
        <f>IF(Sistema!AV53="","",Sistema!AV53)</f>
        <v/>
      </c>
      <c r="AW53" t="str">
        <f>IF(Sistema!AW53="","",Sistema!AW53)</f>
        <v/>
      </c>
      <c r="AX53" t="str">
        <f>IF(Sistema!AX53="","",Sistema!AX53)</f>
        <v/>
      </c>
      <c r="AY53" t="str">
        <f>IF(Sistema!AY53="","",Sistema!AY53)</f>
        <v/>
      </c>
      <c r="AZ53" t="str">
        <f>IF(Sistema!AZ53="","",Sistema!AZ53)</f>
        <v/>
      </c>
      <c r="BA53" t="str">
        <f>IF(Sistema!BA53="","",Sistema!BA53)</f>
        <v/>
      </c>
      <c r="BB53" t="str">
        <f>IF(Sistema!BB53="","",Sistema!BB53)</f>
        <v/>
      </c>
      <c r="BC53" t="str">
        <f>IF(Sistema!BC53="","",Sistema!BC53)</f>
        <v/>
      </c>
      <c r="BD53" t="str">
        <f>IF(Sistema!BD53="","",Sistema!BD53)</f>
        <v/>
      </c>
      <c r="BE53" t="str">
        <f>IF(Sistema!BE53="","",Sistema!BE53)</f>
        <v/>
      </c>
      <c r="BF53" t="str">
        <f>IF(Sistema!BF53="","",Sistema!BF53)</f>
        <v/>
      </c>
      <c r="BG53" t="str">
        <f>IF(Sistema!BG53="","",Sistema!BG53)</f>
        <v/>
      </c>
      <c r="BH53" t="str">
        <f>IF(Sistema!BH53="","",Sistema!BH53)</f>
        <v/>
      </c>
      <c r="BI53" t="str">
        <f>IF(Sistema!BI53="","",Sistema!BI53)</f>
        <v/>
      </c>
      <c r="BJ53" t="str">
        <f>IF(Sistema!BJ53="","",Sistema!BJ53)</f>
        <v/>
      </c>
      <c r="BK53" t="str">
        <f>IF(Sistema!BK53="","",Sistema!BK53)</f>
        <v/>
      </c>
      <c r="BL53" t="str">
        <f>IF(Sistema!BL53="","",Sistema!BL53)</f>
        <v/>
      </c>
      <c r="BM53" t="str">
        <f>IF(Sistema!BM53="","",Sistema!BM53)</f>
        <v/>
      </c>
      <c r="BN53" t="str">
        <f>IF(Sistema!BN53="","",Sistema!BN53)</f>
        <v/>
      </c>
      <c r="BO53" t="str">
        <f>IF(Sistema!BO53="","",Sistema!BO53)</f>
        <v/>
      </c>
      <c r="BP53" t="str">
        <f>IF(Sistema!BP53="","",Sistema!BP53)</f>
        <v/>
      </c>
      <c r="BQ53" t="str">
        <f>IF(Sistema!BQ53="","",Sistema!BQ53)</f>
        <v/>
      </c>
      <c r="BR53" t="str">
        <f>IF(Sistema!BR53="","",Sistema!BR53)</f>
        <v/>
      </c>
      <c r="BS53" t="str">
        <f>IF(Sistema!BS53="","",Sistema!BS53)</f>
        <v/>
      </c>
      <c r="BT53" t="str">
        <f>IF(Sistema!BT53="","",Sistema!BT53)</f>
        <v/>
      </c>
      <c r="BU53" t="str">
        <f>IF(Sistema!BU53="","",Sistema!BU53)</f>
        <v/>
      </c>
      <c r="BV53" t="str">
        <f>IF(Sistema!BV53="","",Sistema!BV53)</f>
        <v/>
      </c>
      <c r="BW53" t="str">
        <f>IF(Sistema!BW53="","",Sistema!BW53)</f>
        <v/>
      </c>
      <c r="BX53" t="str">
        <f>IF(Sistema!BX53="","",Sistema!BX53)</f>
        <v/>
      </c>
      <c r="BY53" t="str">
        <f>IF(Sistema!BY53="","",Sistema!BY53)</f>
        <v/>
      </c>
      <c r="BZ53" t="str">
        <f>IF(Sistema!BZ53="","",Sistema!BZ53)</f>
        <v/>
      </c>
      <c r="CA53" t="str">
        <f>IF(Sistema!CA53="","",Sistema!CA53)</f>
        <v/>
      </c>
      <c r="CB53" t="str">
        <f>IF(Sistema!CB53="","",Sistema!CB53)</f>
        <v/>
      </c>
      <c r="CC53" t="str">
        <f>IF(Sistema!CC53="","",Sistema!CC53)</f>
        <v/>
      </c>
      <c r="CD53" t="str">
        <f>IF(Sistema!CD53="","",Sistema!CD53)</f>
        <v/>
      </c>
    </row>
    <row r="54" spans="1:82" x14ac:dyDescent="0.25">
      <c r="A54" t="str">
        <f>IF(Sistema!A54="","",Sistema!A54)</f>
        <v/>
      </c>
      <c r="B54" t="str">
        <f>IF(Sistema!B54="","",Sistema!B54)</f>
        <v/>
      </c>
      <c r="C54" t="str">
        <f>IF(Sistema!C54="","",Sistema!C54)</f>
        <v/>
      </c>
      <c r="D54" t="str">
        <f>IF(Sistema!D54="","",Sistema!D54)</f>
        <v/>
      </c>
      <c r="E54" t="str">
        <f>IF(Sistema!E54="","",Sistema!E54)</f>
        <v/>
      </c>
      <c r="F54">
        <f>IF(P54&gt;0,1,IF(Sistema!F54=0,-1,1))</f>
        <v>-1</v>
      </c>
      <c r="G54">
        <f>Sistema!G54</f>
        <v>0</v>
      </c>
      <c r="H54" t="str">
        <f>IF(OR(R54="notify",R54=1),"visible",IF(OR(Sistema!F54=-1,Sistema!F54=0,ISNUMBER(SEARCH("PCK",E54))),"hidden",IF(P54&gt;0,"visible","hidden")))</f>
        <v>hidden</v>
      </c>
      <c r="I54" t="str">
        <f>IF(B54="simple",IF(P54&gt;0,"",IF(R54="notify",Info!C$2,"")),IF(B54="variable",IF(P54&gt;0,"",IF(R54="notify",Info!C$4,"")),""))</f>
        <v/>
      </c>
      <c r="J54" t="str">
        <f>IF(Sistema!J54="","",Sistema!J54)</f>
        <v/>
      </c>
      <c r="M54" t="str">
        <f>IF(Sistema!M54="","",Sistema!M54)</f>
        <v/>
      </c>
      <c r="N54" s="6" t="s">
        <v>1557</v>
      </c>
      <c r="O54" s="6">
        <v>1</v>
      </c>
      <c r="P54">
        <f>Sistema!P54</f>
        <v>0</v>
      </c>
      <c r="Q54">
        <f>Sistema!Q54</f>
        <v>0</v>
      </c>
      <c r="R54">
        <f>IF(Sistema!R54=1,"notify",Sistema!R54)</f>
        <v>0</v>
      </c>
      <c r="T54" t="str">
        <f>IF(Sistema!T54="","",Sistema!T54)</f>
        <v/>
      </c>
      <c r="U54" t="str">
        <f>IF(Sistema!U54="","",Sistema!U54)</f>
        <v/>
      </c>
      <c r="V54" t="str">
        <f>IF(Sistema!V54="","",Sistema!V54)</f>
        <v/>
      </c>
      <c r="W54" t="str">
        <f>IF(Sistema!W54="","",Sistema!W54)</f>
        <v/>
      </c>
      <c r="X54" s="6">
        <v>1</v>
      </c>
      <c r="Z54" t="str">
        <f>IF(Sistema!Z54="","",Sistema!Z54)</f>
        <v/>
      </c>
      <c r="AA54" t="str">
        <f>IF(Sistema!AA54="","",Sistema!AA54)</f>
        <v/>
      </c>
      <c r="AB54" t="str">
        <f>IF(Sistema!AB54="","",IF(OR(ISNUMBER(SEARCH("MKP",E54)),ISNUMBER(SEARCH("MKP",C54))),"Marketplace &gt; "&amp;Sistema!AB54,Sistema!AB54))</f>
        <v/>
      </c>
      <c r="AC54" t="str">
        <f>IF(Sistema!AC54="","",Sistema!AC54)</f>
        <v/>
      </c>
      <c r="AE54" t="str">
        <f>IF(Sistema!AE54="","",Sistema!AE54)</f>
        <v/>
      </c>
      <c r="AH54" t="str">
        <f>IF(Sistema!AH54="","",Sistema!AH54)</f>
        <v/>
      </c>
      <c r="AQ54" t="str">
        <f>IF(Sistema!AQ54="","",Sistema!AQ54)</f>
        <v/>
      </c>
      <c r="AR54" t="str">
        <f>IF(Sistema!AR54="","",Sistema!AR54)</f>
        <v/>
      </c>
      <c r="AS54" t="str">
        <f>IF(Sistema!AS54="","",Sistema!AS54)</f>
        <v/>
      </c>
      <c r="AT54" t="str">
        <f>IF(Sistema!AT54="","",Sistema!AT54)</f>
        <v/>
      </c>
      <c r="AU54" t="str">
        <f>IF(Sistema!AU54="","",Sistema!AU54)</f>
        <v/>
      </c>
      <c r="AV54" t="str">
        <f>IF(Sistema!AV54="","",Sistema!AV54)</f>
        <v/>
      </c>
      <c r="AW54" t="str">
        <f>IF(Sistema!AW54="","",Sistema!AW54)</f>
        <v/>
      </c>
      <c r="AX54" t="str">
        <f>IF(Sistema!AX54="","",Sistema!AX54)</f>
        <v/>
      </c>
      <c r="AY54" t="str">
        <f>IF(Sistema!AY54="","",Sistema!AY54)</f>
        <v/>
      </c>
      <c r="AZ54" t="str">
        <f>IF(Sistema!AZ54="","",Sistema!AZ54)</f>
        <v/>
      </c>
      <c r="BA54" t="str">
        <f>IF(Sistema!BA54="","",Sistema!BA54)</f>
        <v/>
      </c>
      <c r="BB54" t="str">
        <f>IF(Sistema!BB54="","",Sistema!BB54)</f>
        <v/>
      </c>
      <c r="BC54" t="str">
        <f>IF(Sistema!BC54="","",Sistema!BC54)</f>
        <v/>
      </c>
      <c r="BD54" t="str">
        <f>IF(Sistema!BD54="","",Sistema!BD54)</f>
        <v/>
      </c>
      <c r="BE54" t="str">
        <f>IF(Sistema!BE54="","",Sistema!BE54)</f>
        <v/>
      </c>
      <c r="BF54" t="str">
        <f>IF(Sistema!BF54="","",Sistema!BF54)</f>
        <v/>
      </c>
      <c r="BG54" t="str">
        <f>IF(Sistema!BG54="","",Sistema!BG54)</f>
        <v/>
      </c>
      <c r="BH54" t="str">
        <f>IF(Sistema!BH54="","",Sistema!BH54)</f>
        <v/>
      </c>
      <c r="BI54" t="str">
        <f>IF(Sistema!BI54="","",Sistema!BI54)</f>
        <v/>
      </c>
      <c r="BJ54" t="str">
        <f>IF(Sistema!BJ54="","",Sistema!BJ54)</f>
        <v/>
      </c>
      <c r="BK54" t="str">
        <f>IF(Sistema!BK54="","",Sistema!BK54)</f>
        <v/>
      </c>
      <c r="BL54" t="str">
        <f>IF(Sistema!BL54="","",Sistema!BL54)</f>
        <v/>
      </c>
      <c r="BM54" t="str">
        <f>IF(Sistema!BM54="","",Sistema!BM54)</f>
        <v/>
      </c>
      <c r="BN54" t="str">
        <f>IF(Sistema!BN54="","",Sistema!BN54)</f>
        <v/>
      </c>
      <c r="BO54" t="str">
        <f>IF(Sistema!BO54="","",Sistema!BO54)</f>
        <v/>
      </c>
      <c r="BP54" t="str">
        <f>IF(Sistema!BP54="","",Sistema!BP54)</f>
        <v/>
      </c>
      <c r="BQ54" t="str">
        <f>IF(Sistema!BQ54="","",Sistema!BQ54)</f>
        <v/>
      </c>
      <c r="BR54" t="str">
        <f>IF(Sistema!BR54="","",Sistema!BR54)</f>
        <v/>
      </c>
      <c r="BS54" t="str">
        <f>IF(Sistema!BS54="","",Sistema!BS54)</f>
        <v/>
      </c>
      <c r="BT54" t="str">
        <f>IF(Sistema!BT54="","",Sistema!BT54)</f>
        <v/>
      </c>
      <c r="BU54" t="str">
        <f>IF(Sistema!BU54="","",Sistema!BU54)</f>
        <v/>
      </c>
      <c r="BV54" t="str">
        <f>IF(Sistema!BV54="","",Sistema!BV54)</f>
        <v/>
      </c>
      <c r="BW54" t="str">
        <f>IF(Sistema!BW54="","",Sistema!BW54)</f>
        <v/>
      </c>
      <c r="BX54" t="str">
        <f>IF(Sistema!BX54="","",Sistema!BX54)</f>
        <v/>
      </c>
      <c r="BY54" t="str">
        <f>IF(Sistema!BY54="","",Sistema!BY54)</f>
        <v/>
      </c>
      <c r="BZ54" t="str">
        <f>IF(Sistema!BZ54="","",Sistema!BZ54)</f>
        <v/>
      </c>
      <c r="CA54" t="str">
        <f>IF(Sistema!CA54="","",Sistema!CA54)</f>
        <v/>
      </c>
      <c r="CB54" t="str">
        <f>IF(Sistema!CB54="","",Sistema!CB54)</f>
        <v/>
      </c>
      <c r="CC54" t="str">
        <f>IF(Sistema!CC54="","",Sistema!CC54)</f>
        <v/>
      </c>
      <c r="CD54" t="str">
        <f>IF(Sistema!CD54="","",Sistema!CD54)</f>
        <v/>
      </c>
    </row>
    <row r="55" spans="1:82" x14ac:dyDescent="0.25">
      <c r="A55" t="str">
        <f>IF(Sistema!A55="","",Sistema!A55)</f>
        <v/>
      </c>
      <c r="B55" t="str">
        <f>IF(Sistema!B55="","",Sistema!B55)</f>
        <v/>
      </c>
      <c r="C55" t="str">
        <f>IF(Sistema!C55="","",Sistema!C55)</f>
        <v/>
      </c>
      <c r="D55" t="str">
        <f>IF(Sistema!D55="","",Sistema!D55)</f>
        <v/>
      </c>
      <c r="E55" t="str">
        <f>IF(Sistema!E55="","",Sistema!E55)</f>
        <v/>
      </c>
      <c r="F55">
        <f>IF(P55&gt;0,1,IF(Sistema!F55=0,-1,1))</f>
        <v>-1</v>
      </c>
      <c r="G55">
        <f>Sistema!G55</f>
        <v>0</v>
      </c>
      <c r="H55" t="str">
        <f>IF(OR(R55="notify",R55=1),"visible",IF(OR(Sistema!F55=-1,Sistema!F55=0,ISNUMBER(SEARCH("PCK",E55))),"hidden",IF(P55&gt;0,"visible","hidden")))</f>
        <v>hidden</v>
      </c>
      <c r="I55" t="str">
        <f>IF(B55="simple",IF(P55&gt;0,"",IF(R55="notify",Info!C$2,"")),IF(B55="variable",IF(P55&gt;0,"",IF(R55="notify",Info!C$4,"")),""))</f>
        <v/>
      </c>
      <c r="J55" t="str">
        <f>IF(Sistema!J55="","",Sistema!J55)</f>
        <v/>
      </c>
      <c r="M55" t="str">
        <f>IF(Sistema!M55="","",Sistema!M55)</f>
        <v/>
      </c>
      <c r="N55" s="6" t="s">
        <v>1557</v>
      </c>
      <c r="O55" s="6">
        <v>1</v>
      </c>
      <c r="P55">
        <f>Sistema!P55</f>
        <v>0</v>
      </c>
      <c r="Q55">
        <f>Sistema!Q55</f>
        <v>0</v>
      </c>
      <c r="R55">
        <f>IF(Sistema!R55=1,"notify",Sistema!R55)</f>
        <v>0</v>
      </c>
      <c r="T55" t="str">
        <f>IF(Sistema!T55="","",Sistema!T55)</f>
        <v/>
      </c>
      <c r="U55" t="str">
        <f>IF(Sistema!U55="","",Sistema!U55)</f>
        <v/>
      </c>
      <c r="V55" t="str">
        <f>IF(Sistema!V55="","",Sistema!V55)</f>
        <v/>
      </c>
      <c r="W55" t="str">
        <f>IF(Sistema!W55="","",Sistema!W55)</f>
        <v/>
      </c>
      <c r="X55" s="6">
        <v>1</v>
      </c>
      <c r="Z55" t="str">
        <f>IF(Sistema!Z55="","",Sistema!Z55)</f>
        <v/>
      </c>
      <c r="AA55" t="str">
        <f>IF(Sistema!AA55="","",Sistema!AA55)</f>
        <v/>
      </c>
      <c r="AB55" t="str">
        <f>IF(Sistema!AB55="","",IF(OR(ISNUMBER(SEARCH("MKP",E55)),ISNUMBER(SEARCH("MKP",C55))),"Marketplace &gt; "&amp;Sistema!AB55,Sistema!AB55))</f>
        <v/>
      </c>
      <c r="AC55" t="str">
        <f>IF(Sistema!AC55="","",Sistema!AC55)</f>
        <v/>
      </c>
      <c r="AE55" t="str">
        <f>IF(Sistema!AE55="","",Sistema!AE55)</f>
        <v/>
      </c>
      <c r="AH55" t="str">
        <f>IF(Sistema!AH55="","",Sistema!AH55)</f>
        <v/>
      </c>
      <c r="AQ55" t="str">
        <f>IF(Sistema!AQ55="","",Sistema!AQ55)</f>
        <v/>
      </c>
      <c r="AR55" t="str">
        <f>IF(Sistema!AR55="","",Sistema!AR55)</f>
        <v/>
      </c>
      <c r="AS55" t="str">
        <f>IF(Sistema!AS55="","",Sistema!AS55)</f>
        <v/>
      </c>
      <c r="AT55" t="str">
        <f>IF(Sistema!AT55="","",Sistema!AT55)</f>
        <v/>
      </c>
      <c r="AU55" t="str">
        <f>IF(Sistema!AU55="","",Sistema!AU55)</f>
        <v/>
      </c>
      <c r="AV55" t="str">
        <f>IF(Sistema!AV55="","",Sistema!AV55)</f>
        <v/>
      </c>
      <c r="AW55" t="str">
        <f>IF(Sistema!AW55="","",Sistema!AW55)</f>
        <v/>
      </c>
      <c r="AX55" t="str">
        <f>IF(Sistema!AX55="","",Sistema!AX55)</f>
        <v/>
      </c>
      <c r="AY55" t="str">
        <f>IF(Sistema!AY55="","",Sistema!AY55)</f>
        <v/>
      </c>
      <c r="AZ55" t="str">
        <f>IF(Sistema!AZ55="","",Sistema!AZ55)</f>
        <v/>
      </c>
      <c r="BA55" t="str">
        <f>IF(Sistema!BA55="","",Sistema!BA55)</f>
        <v/>
      </c>
      <c r="BB55" t="str">
        <f>IF(Sistema!BB55="","",Sistema!BB55)</f>
        <v/>
      </c>
      <c r="BC55" t="str">
        <f>IF(Sistema!BC55="","",Sistema!BC55)</f>
        <v/>
      </c>
      <c r="BD55" t="str">
        <f>IF(Sistema!BD55="","",Sistema!BD55)</f>
        <v/>
      </c>
      <c r="BE55" t="str">
        <f>IF(Sistema!BE55="","",Sistema!BE55)</f>
        <v/>
      </c>
      <c r="BF55" t="str">
        <f>IF(Sistema!BF55="","",Sistema!BF55)</f>
        <v/>
      </c>
      <c r="BG55" t="str">
        <f>IF(Sistema!BG55="","",Sistema!BG55)</f>
        <v/>
      </c>
      <c r="BH55" t="str">
        <f>IF(Sistema!BH55="","",Sistema!BH55)</f>
        <v/>
      </c>
      <c r="BI55" t="str">
        <f>IF(Sistema!BI55="","",Sistema!BI55)</f>
        <v/>
      </c>
      <c r="BJ55" t="str">
        <f>IF(Sistema!BJ55="","",Sistema!BJ55)</f>
        <v/>
      </c>
      <c r="BK55" t="str">
        <f>IF(Sistema!BK55="","",Sistema!BK55)</f>
        <v/>
      </c>
      <c r="BL55" t="str">
        <f>IF(Sistema!BL55="","",Sistema!BL55)</f>
        <v/>
      </c>
      <c r="BM55" t="str">
        <f>IF(Sistema!BM55="","",Sistema!BM55)</f>
        <v/>
      </c>
      <c r="BN55" t="str">
        <f>IF(Sistema!BN55="","",Sistema!BN55)</f>
        <v/>
      </c>
      <c r="BO55" t="str">
        <f>IF(Sistema!BO55="","",Sistema!BO55)</f>
        <v/>
      </c>
      <c r="BP55" t="str">
        <f>IF(Sistema!BP55="","",Sistema!BP55)</f>
        <v/>
      </c>
      <c r="BQ55" t="str">
        <f>IF(Sistema!BQ55="","",Sistema!BQ55)</f>
        <v/>
      </c>
      <c r="BR55" t="str">
        <f>IF(Sistema!BR55="","",Sistema!BR55)</f>
        <v/>
      </c>
      <c r="BS55" t="str">
        <f>IF(Sistema!BS55="","",Sistema!BS55)</f>
        <v/>
      </c>
      <c r="BT55" t="str">
        <f>IF(Sistema!BT55="","",Sistema!BT55)</f>
        <v/>
      </c>
      <c r="BU55" t="str">
        <f>IF(Sistema!BU55="","",Sistema!BU55)</f>
        <v/>
      </c>
      <c r="BV55" t="str">
        <f>IF(Sistema!BV55="","",Sistema!BV55)</f>
        <v/>
      </c>
      <c r="BW55" t="str">
        <f>IF(Sistema!BW55="","",Sistema!BW55)</f>
        <v/>
      </c>
      <c r="BX55" t="str">
        <f>IF(Sistema!BX55="","",Sistema!BX55)</f>
        <v/>
      </c>
      <c r="BY55" t="str">
        <f>IF(Sistema!BY55="","",Sistema!BY55)</f>
        <v/>
      </c>
      <c r="BZ55" t="str">
        <f>IF(Sistema!BZ55="","",Sistema!BZ55)</f>
        <v/>
      </c>
      <c r="CA55" t="str">
        <f>IF(Sistema!CA55="","",Sistema!CA55)</f>
        <v/>
      </c>
      <c r="CB55" t="str">
        <f>IF(Sistema!CB55="","",Sistema!CB55)</f>
        <v/>
      </c>
      <c r="CC55" t="str">
        <f>IF(Sistema!CC55="","",Sistema!CC55)</f>
        <v/>
      </c>
      <c r="CD55" t="str">
        <f>IF(Sistema!CD55="","",Sistema!CD55)</f>
        <v/>
      </c>
    </row>
    <row r="56" spans="1:82" x14ac:dyDescent="0.25">
      <c r="A56" t="str">
        <f>IF(Sistema!A56="","",Sistema!A56)</f>
        <v/>
      </c>
      <c r="B56" t="str">
        <f>IF(Sistema!B56="","",Sistema!B56)</f>
        <v/>
      </c>
      <c r="C56" t="str">
        <f>IF(Sistema!C56="","",Sistema!C56)</f>
        <v/>
      </c>
      <c r="D56" t="str">
        <f>IF(Sistema!D56="","",Sistema!D56)</f>
        <v/>
      </c>
      <c r="E56" t="str">
        <f>IF(Sistema!E56="","",Sistema!E56)</f>
        <v/>
      </c>
      <c r="F56">
        <f>IF(P56&gt;0,1,IF(Sistema!F56=0,-1,1))</f>
        <v>-1</v>
      </c>
      <c r="G56">
        <f>Sistema!G56</f>
        <v>0</v>
      </c>
      <c r="H56" t="str">
        <f>IF(OR(R56="notify",R56=1),"visible",IF(OR(Sistema!F56=-1,Sistema!F56=0,ISNUMBER(SEARCH("PCK",E56))),"hidden",IF(P56&gt;0,"visible","hidden")))</f>
        <v>hidden</v>
      </c>
      <c r="I56" t="str">
        <f>IF(B56="simple",IF(P56&gt;0,"",IF(R56="notify",Info!C$2,"")),IF(B56="variable",IF(P56&gt;0,"",IF(R56="notify",Info!C$4,"")),""))</f>
        <v/>
      </c>
      <c r="J56" t="str">
        <f>IF(Sistema!J56="","",Sistema!J56)</f>
        <v/>
      </c>
      <c r="M56" t="str">
        <f>IF(Sistema!M56="","",Sistema!M56)</f>
        <v/>
      </c>
      <c r="N56" s="6" t="s">
        <v>1557</v>
      </c>
      <c r="O56" s="6">
        <v>1</v>
      </c>
      <c r="P56">
        <f>Sistema!P56</f>
        <v>0</v>
      </c>
      <c r="Q56">
        <f>Sistema!Q56</f>
        <v>0</v>
      </c>
      <c r="R56">
        <f>IF(Sistema!R56=1,"notify",Sistema!R56)</f>
        <v>0</v>
      </c>
      <c r="T56" t="str">
        <f>IF(Sistema!T56="","",Sistema!T56)</f>
        <v/>
      </c>
      <c r="U56" t="str">
        <f>IF(Sistema!U56="","",Sistema!U56)</f>
        <v/>
      </c>
      <c r="V56" t="str">
        <f>IF(Sistema!V56="","",Sistema!V56)</f>
        <v/>
      </c>
      <c r="W56" t="str">
        <f>IF(Sistema!W56="","",Sistema!W56)</f>
        <v/>
      </c>
      <c r="X56" s="6">
        <v>1</v>
      </c>
      <c r="Z56" t="str">
        <f>IF(Sistema!Z56="","",Sistema!Z56)</f>
        <v/>
      </c>
      <c r="AA56" t="str">
        <f>IF(Sistema!AA56="","",Sistema!AA56)</f>
        <v/>
      </c>
      <c r="AB56" t="str">
        <f>IF(Sistema!AB56="","",IF(OR(ISNUMBER(SEARCH("MKP",E56)),ISNUMBER(SEARCH("MKP",C56))),"Marketplace &gt; "&amp;Sistema!AB56,Sistema!AB56))</f>
        <v/>
      </c>
      <c r="AC56" t="str">
        <f>IF(Sistema!AC56="","",Sistema!AC56)</f>
        <v/>
      </c>
      <c r="AE56" t="str">
        <f>IF(Sistema!AE56="","",Sistema!AE56)</f>
        <v/>
      </c>
      <c r="AH56" t="str">
        <f>IF(Sistema!AH56="","",Sistema!AH56)</f>
        <v/>
      </c>
      <c r="AQ56" t="str">
        <f>IF(Sistema!AQ56="","",Sistema!AQ56)</f>
        <v/>
      </c>
      <c r="AR56" t="str">
        <f>IF(Sistema!AR56="","",Sistema!AR56)</f>
        <v/>
      </c>
      <c r="AS56" t="str">
        <f>IF(Sistema!AS56="","",Sistema!AS56)</f>
        <v/>
      </c>
      <c r="AT56" t="str">
        <f>IF(Sistema!AT56="","",Sistema!AT56)</f>
        <v/>
      </c>
      <c r="AU56" t="str">
        <f>IF(Sistema!AU56="","",Sistema!AU56)</f>
        <v/>
      </c>
      <c r="AV56" t="str">
        <f>IF(Sistema!AV56="","",Sistema!AV56)</f>
        <v/>
      </c>
      <c r="AW56" t="str">
        <f>IF(Sistema!AW56="","",Sistema!AW56)</f>
        <v/>
      </c>
      <c r="AX56" t="str">
        <f>IF(Sistema!AX56="","",Sistema!AX56)</f>
        <v/>
      </c>
      <c r="AY56" t="str">
        <f>IF(Sistema!AY56="","",Sistema!AY56)</f>
        <v/>
      </c>
      <c r="AZ56" t="str">
        <f>IF(Sistema!AZ56="","",Sistema!AZ56)</f>
        <v/>
      </c>
      <c r="BA56" t="str">
        <f>IF(Sistema!BA56="","",Sistema!BA56)</f>
        <v/>
      </c>
      <c r="BB56" t="str">
        <f>IF(Sistema!BB56="","",Sistema!BB56)</f>
        <v/>
      </c>
      <c r="BC56" t="str">
        <f>IF(Sistema!BC56="","",Sistema!BC56)</f>
        <v/>
      </c>
      <c r="BD56" t="str">
        <f>IF(Sistema!BD56="","",Sistema!BD56)</f>
        <v/>
      </c>
      <c r="BE56" t="str">
        <f>IF(Sistema!BE56="","",Sistema!BE56)</f>
        <v/>
      </c>
      <c r="BF56" t="str">
        <f>IF(Sistema!BF56="","",Sistema!BF56)</f>
        <v/>
      </c>
      <c r="BG56" t="str">
        <f>IF(Sistema!BG56="","",Sistema!BG56)</f>
        <v/>
      </c>
      <c r="BH56" t="str">
        <f>IF(Sistema!BH56="","",Sistema!BH56)</f>
        <v/>
      </c>
      <c r="BI56" t="str">
        <f>IF(Sistema!BI56="","",Sistema!BI56)</f>
        <v/>
      </c>
      <c r="BJ56" t="str">
        <f>IF(Sistema!BJ56="","",Sistema!BJ56)</f>
        <v/>
      </c>
      <c r="BK56" t="str">
        <f>IF(Sistema!BK56="","",Sistema!BK56)</f>
        <v/>
      </c>
      <c r="BL56" t="str">
        <f>IF(Sistema!BL56="","",Sistema!BL56)</f>
        <v/>
      </c>
      <c r="BM56" t="str">
        <f>IF(Sistema!BM56="","",Sistema!BM56)</f>
        <v/>
      </c>
      <c r="BN56" t="str">
        <f>IF(Sistema!BN56="","",Sistema!BN56)</f>
        <v/>
      </c>
      <c r="BO56" t="str">
        <f>IF(Sistema!BO56="","",Sistema!BO56)</f>
        <v/>
      </c>
      <c r="BP56" t="str">
        <f>IF(Sistema!BP56="","",Sistema!BP56)</f>
        <v/>
      </c>
      <c r="BQ56" t="str">
        <f>IF(Sistema!BQ56="","",Sistema!BQ56)</f>
        <v/>
      </c>
      <c r="BR56" t="str">
        <f>IF(Sistema!BR56="","",Sistema!BR56)</f>
        <v/>
      </c>
      <c r="BS56" t="str">
        <f>IF(Sistema!BS56="","",Sistema!BS56)</f>
        <v/>
      </c>
      <c r="BT56" t="str">
        <f>IF(Sistema!BT56="","",Sistema!BT56)</f>
        <v/>
      </c>
      <c r="BU56" t="str">
        <f>IF(Sistema!BU56="","",Sistema!BU56)</f>
        <v/>
      </c>
      <c r="BV56" t="str">
        <f>IF(Sistema!BV56="","",Sistema!BV56)</f>
        <v/>
      </c>
      <c r="BW56" t="str">
        <f>IF(Sistema!BW56="","",Sistema!BW56)</f>
        <v/>
      </c>
      <c r="BX56" t="str">
        <f>IF(Sistema!BX56="","",Sistema!BX56)</f>
        <v/>
      </c>
      <c r="BY56" t="str">
        <f>IF(Sistema!BY56="","",Sistema!BY56)</f>
        <v/>
      </c>
      <c r="BZ56" t="str">
        <f>IF(Sistema!BZ56="","",Sistema!BZ56)</f>
        <v/>
      </c>
      <c r="CA56" t="str">
        <f>IF(Sistema!CA56="","",Sistema!CA56)</f>
        <v/>
      </c>
      <c r="CB56" t="str">
        <f>IF(Sistema!CB56="","",Sistema!CB56)</f>
        <v/>
      </c>
      <c r="CC56" t="str">
        <f>IF(Sistema!CC56="","",Sistema!CC56)</f>
        <v/>
      </c>
      <c r="CD56" t="str">
        <f>IF(Sistema!CD56="","",Sistema!CD56)</f>
        <v/>
      </c>
    </row>
    <row r="57" spans="1:82" x14ac:dyDescent="0.25">
      <c r="A57" t="str">
        <f>IF(Sistema!A57="","",Sistema!A57)</f>
        <v/>
      </c>
      <c r="B57" t="str">
        <f>IF(Sistema!B57="","",Sistema!B57)</f>
        <v/>
      </c>
      <c r="C57" t="str">
        <f>IF(Sistema!C57="","",Sistema!C57)</f>
        <v/>
      </c>
      <c r="D57" t="str">
        <f>IF(Sistema!D57="","",Sistema!D57)</f>
        <v/>
      </c>
      <c r="E57" t="str">
        <f>IF(Sistema!E57="","",Sistema!E57)</f>
        <v/>
      </c>
      <c r="F57">
        <f>IF(P57&gt;0,1,IF(Sistema!F57=0,-1,1))</f>
        <v>-1</v>
      </c>
      <c r="G57">
        <f>Sistema!G57</f>
        <v>0</v>
      </c>
      <c r="H57" t="str">
        <f>IF(OR(R57="notify",R57=1),"visible",IF(OR(Sistema!F57=-1,Sistema!F57=0,ISNUMBER(SEARCH("PCK",E57))),"hidden",IF(P57&gt;0,"visible","hidden")))</f>
        <v>hidden</v>
      </c>
      <c r="I57" t="str">
        <f>IF(B57="simple",IF(P57&gt;0,"",IF(R57="notify",Info!C$2,"")),IF(B57="variable",IF(P57&gt;0,"",IF(R57="notify",Info!C$4,"")),""))</f>
        <v/>
      </c>
      <c r="J57" t="str">
        <f>IF(Sistema!J57="","",Sistema!J57)</f>
        <v/>
      </c>
      <c r="M57" t="str">
        <f>IF(Sistema!M57="","",Sistema!M57)</f>
        <v/>
      </c>
      <c r="N57" s="6" t="s">
        <v>1557</v>
      </c>
      <c r="O57" s="6">
        <v>1</v>
      </c>
      <c r="P57">
        <f>Sistema!P57</f>
        <v>0</v>
      </c>
      <c r="Q57">
        <f>Sistema!Q57</f>
        <v>0</v>
      </c>
      <c r="R57">
        <f>IF(Sistema!R57=1,"notify",Sistema!R57)</f>
        <v>0</v>
      </c>
      <c r="T57" t="str">
        <f>IF(Sistema!T57="","",Sistema!T57)</f>
        <v/>
      </c>
      <c r="U57" t="str">
        <f>IF(Sistema!U57="","",Sistema!U57)</f>
        <v/>
      </c>
      <c r="V57" t="str">
        <f>IF(Sistema!V57="","",Sistema!V57)</f>
        <v/>
      </c>
      <c r="W57" t="str">
        <f>IF(Sistema!W57="","",Sistema!W57)</f>
        <v/>
      </c>
      <c r="X57" s="6">
        <v>1</v>
      </c>
      <c r="Z57" t="str">
        <f>IF(Sistema!Z57="","",Sistema!Z57)</f>
        <v/>
      </c>
      <c r="AA57" t="str">
        <f>IF(Sistema!AA57="","",Sistema!AA57)</f>
        <v/>
      </c>
      <c r="AB57" t="str">
        <f>IF(Sistema!AB57="","",IF(OR(ISNUMBER(SEARCH("MKP",E57)),ISNUMBER(SEARCH("MKP",C57))),"Marketplace &gt; "&amp;Sistema!AB57,Sistema!AB57))</f>
        <v/>
      </c>
      <c r="AC57" t="str">
        <f>IF(Sistema!AC57="","",Sistema!AC57)</f>
        <v/>
      </c>
      <c r="AE57" t="str">
        <f>IF(Sistema!AE57="","",Sistema!AE57)</f>
        <v/>
      </c>
      <c r="AH57" t="str">
        <f>IF(Sistema!AH57="","",Sistema!AH57)</f>
        <v/>
      </c>
      <c r="AQ57" t="str">
        <f>IF(Sistema!AQ57="","",Sistema!AQ57)</f>
        <v/>
      </c>
      <c r="AR57" t="str">
        <f>IF(Sistema!AR57="","",Sistema!AR57)</f>
        <v/>
      </c>
      <c r="AS57" t="str">
        <f>IF(Sistema!AS57="","",Sistema!AS57)</f>
        <v/>
      </c>
      <c r="AT57" t="str">
        <f>IF(Sistema!AT57="","",Sistema!AT57)</f>
        <v/>
      </c>
      <c r="AU57" t="str">
        <f>IF(Sistema!AU57="","",Sistema!AU57)</f>
        <v/>
      </c>
      <c r="AV57" t="str">
        <f>IF(Sistema!AV57="","",Sistema!AV57)</f>
        <v/>
      </c>
      <c r="AW57" t="str">
        <f>IF(Sistema!AW57="","",Sistema!AW57)</f>
        <v/>
      </c>
      <c r="AX57" t="str">
        <f>IF(Sistema!AX57="","",Sistema!AX57)</f>
        <v/>
      </c>
      <c r="AY57" t="str">
        <f>IF(Sistema!AY57="","",Sistema!AY57)</f>
        <v/>
      </c>
      <c r="AZ57" t="str">
        <f>IF(Sistema!AZ57="","",Sistema!AZ57)</f>
        <v/>
      </c>
      <c r="BA57" t="str">
        <f>IF(Sistema!BA57="","",Sistema!BA57)</f>
        <v/>
      </c>
      <c r="BB57" t="str">
        <f>IF(Sistema!BB57="","",Sistema!BB57)</f>
        <v/>
      </c>
      <c r="BC57" t="str">
        <f>IF(Sistema!BC57="","",Sistema!BC57)</f>
        <v/>
      </c>
      <c r="BD57" t="str">
        <f>IF(Sistema!BD57="","",Sistema!BD57)</f>
        <v/>
      </c>
      <c r="BE57" t="str">
        <f>IF(Sistema!BE57="","",Sistema!BE57)</f>
        <v/>
      </c>
      <c r="BF57" t="str">
        <f>IF(Sistema!BF57="","",Sistema!BF57)</f>
        <v/>
      </c>
      <c r="BG57" t="str">
        <f>IF(Sistema!BG57="","",Sistema!BG57)</f>
        <v/>
      </c>
      <c r="BH57" t="str">
        <f>IF(Sistema!BH57="","",Sistema!BH57)</f>
        <v/>
      </c>
      <c r="BI57" t="str">
        <f>IF(Sistema!BI57="","",Sistema!BI57)</f>
        <v/>
      </c>
      <c r="BJ57" t="str">
        <f>IF(Sistema!BJ57="","",Sistema!BJ57)</f>
        <v/>
      </c>
      <c r="BK57" t="str">
        <f>IF(Sistema!BK57="","",Sistema!BK57)</f>
        <v/>
      </c>
      <c r="BL57" t="str">
        <f>IF(Sistema!BL57="","",Sistema!BL57)</f>
        <v/>
      </c>
      <c r="BM57" t="str">
        <f>IF(Sistema!BM57="","",Sistema!BM57)</f>
        <v/>
      </c>
      <c r="BN57" t="str">
        <f>IF(Sistema!BN57="","",Sistema!BN57)</f>
        <v/>
      </c>
      <c r="BO57" t="str">
        <f>IF(Sistema!BO57="","",Sistema!BO57)</f>
        <v/>
      </c>
      <c r="BP57" t="str">
        <f>IF(Sistema!BP57="","",Sistema!BP57)</f>
        <v/>
      </c>
      <c r="BQ57" t="str">
        <f>IF(Sistema!BQ57="","",Sistema!BQ57)</f>
        <v/>
      </c>
      <c r="BR57" t="str">
        <f>IF(Sistema!BR57="","",Sistema!BR57)</f>
        <v/>
      </c>
      <c r="BS57" t="str">
        <f>IF(Sistema!BS57="","",Sistema!BS57)</f>
        <v/>
      </c>
      <c r="BT57" t="str">
        <f>IF(Sistema!BT57="","",Sistema!BT57)</f>
        <v/>
      </c>
      <c r="BU57" t="str">
        <f>IF(Sistema!BU57="","",Sistema!BU57)</f>
        <v/>
      </c>
      <c r="BV57" t="str">
        <f>IF(Sistema!BV57="","",Sistema!BV57)</f>
        <v/>
      </c>
      <c r="BW57" t="str">
        <f>IF(Sistema!BW57="","",Sistema!BW57)</f>
        <v/>
      </c>
      <c r="BX57" t="str">
        <f>IF(Sistema!BX57="","",Sistema!BX57)</f>
        <v/>
      </c>
      <c r="BY57" t="str">
        <f>IF(Sistema!BY57="","",Sistema!BY57)</f>
        <v/>
      </c>
      <c r="BZ57" t="str">
        <f>IF(Sistema!BZ57="","",Sistema!BZ57)</f>
        <v/>
      </c>
      <c r="CA57" t="str">
        <f>IF(Sistema!CA57="","",Sistema!CA57)</f>
        <v/>
      </c>
      <c r="CB57" t="str">
        <f>IF(Sistema!CB57="","",Sistema!CB57)</f>
        <v/>
      </c>
      <c r="CC57" t="str">
        <f>IF(Sistema!CC57="","",Sistema!CC57)</f>
        <v/>
      </c>
      <c r="CD57" t="str">
        <f>IF(Sistema!CD57="","",Sistema!CD57)</f>
        <v/>
      </c>
    </row>
    <row r="58" spans="1:82" x14ac:dyDescent="0.25">
      <c r="A58" t="str">
        <f>IF(Sistema!A58="","",Sistema!A58)</f>
        <v/>
      </c>
      <c r="B58" t="str">
        <f>IF(Sistema!B58="","",Sistema!B58)</f>
        <v/>
      </c>
      <c r="C58" t="str">
        <f>IF(Sistema!C58="","",Sistema!C58)</f>
        <v/>
      </c>
      <c r="D58" t="str">
        <f>IF(Sistema!D58="","",Sistema!D58)</f>
        <v/>
      </c>
      <c r="E58" t="str">
        <f>IF(Sistema!E58="","",Sistema!E58)</f>
        <v/>
      </c>
      <c r="F58">
        <f>IF(P58&gt;0,1,IF(Sistema!F58=0,-1,1))</f>
        <v>-1</v>
      </c>
      <c r="G58">
        <f>Sistema!G58</f>
        <v>0</v>
      </c>
      <c r="H58" t="str">
        <f>IF(OR(R58="notify",R58=1),"visible",IF(OR(Sistema!F58=-1,Sistema!F58=0,ISNUMBER(SEARCH("PCK",E58))),"hidden",IF(P58&gt;0,"visible","hidden")))</f>
        <v>hidden</v>
      </c>
      <c r="I58" t="str">
        <f>IF(B58="simple",IF(P58&gt;0,"",IF(R58="notify",Info!C$2,"")),IF(B58="variable",IF(P58&gt;0,"",IF(R58="notify",Info!C$4,"")),""))</f>
        <v/>
      </c>
      <c r="J58" t="str">
        <f>IF(Sistema!J58="","",Sistema!J58)</f>
        <v/>
      </c>
      <c r="M58" t="str">
        <f>IF(Sistema!M58="","",Sistema!M58)</f>
        <v/>
      </c>
      <c r="N58" s="6" t="s">
        <v>1557</v>
      </c>
      <c r="O58" s="6">
        <v>1</v>
      </c>
      <c r="P58">
        <f>Sistema!P58</f>
        <v>0</v>
      </c>
      <c r="Q58">
        <f>Sistema!Q58</f>
        <v>0</v>
      </c>
      <c r="R58">
        <f>IF(Sistema!R58=1,"notify",Sistema!R58)</f>
        <v>0</v>
      </c>
      <c r="T58" t="str">
        <f>IF(Sistema!T58="","",Sistema!T58)</f>
        <v/>
      </c>
      <c r="U58" t="str">
        <f>IF(Sistema!U58="","",Sistema!U58)</f>
        <v/>
      </c>
      <c r="V58" t="str">
        <f>IF(Sistema!V58="","",Sistema!V58)</f>
        <v/>
      </c>
      <c r="W58" t="str">
        <f>IF(Sistema!W58="","",Sistema!W58)</f>
        <v/>
      </c>
      <c r="X58" s="6">
        <v>1</v>
      </c>
      <c r="Z58" t="str">
        <f>IF(Sistema!Z58="","",Sistema!Z58)</f>
        <v/>
      </c>
      <c r="AA58" t="str">
        <f>IF(Sistema!AA58="","",Sistema!AA58)</f>
        <v/>
      </c>
      <c r="AB58" t="str">
        <f>IF(Sistema!AB58="","",IF(OR(ISNUMBER(SEARCH("MKP",E58)),ISNUMBER(SEARCH("MKP",C58))),"Marketplace &gt; "&amp;Sistema!AB58,Sistema!AB58))</f>
        <v/>
      </c>
      <c r="AC58" t="str">
        <f>IF(Sistema!AC58="","",Sistema!AC58)</f>
        <v/>
      </c>
      <c r="AE58" t="str">
        <f>IF(Sistema!AE58="","",Sistema!AE58)</f>
        <v/>
      </c>
      <c r="AH58" t="str">
        <f>IF(Sistema!AH58="","",Sistema!AH58)</f>
        <v/>
      </c>
      <c r="AQ58" t="str">
        <f>IF(Sistema!AQ58="","",Sistema!AQ58)</f>
        <v/>
      </c>
      <c r="AR58" t="str">
        <f>IF(Sistema!AR58="","",Sistema!AR58)</f>
        <v/>
      </c>
      <c r="AS58" t="str">
        <f>IF(Sistema!AS58="","",Sistema!AS58)</f>
        <v/>
      </c>
      <c r="AT58" t="str">
        <f>IF(Sistema!AT58="","",Sistema!AT58)</f>
        <v/>
      </c>
      <c r="AU58" t="str">
        <f>IF(Sistema!AU58="","",Sistema!AU58)</f>
        <v/>
      </c>
      <c r="AV58" t="str">
        <f>IF(Sistema!AV58="","",Sistema!AV58)</f>
        <v/>
      </c>
      <c r="AW58" t="str">
        <f>IF(Sistema!AW58="","",Sistema!AW58)</f>
        <v/>
      </c>
      <c r="AX58" t="str">
        <f>IF(Sistema!AX58="","",Sistema!AX58)</f>
        <v/>
      </c>
      <c r="AY58" t="str">
        <f>IF(Sistema!AY58="","",Sistema!AY58)</f>
        <v/>
      </c>
      <c r="AZ58" t="str">
        <f>IF(Sistema!AZ58="","",Sistema!AZ58)</f>
        <v/>
      </c>
      <c r="BA58" t="str">
        <f>IF(Sistema!BA58="","",Sistema!BA58)</f>
        <v/>
      </c>
      <c r="BB58" t="str">
        <f>IF(Sistema!BB58="","",Sistema!BB58)</f>
        <v/>
      </c>
      <c r="BC58" t="str">
        <f>IF(Sistema!BC58="","",Sistema!BC58)</f>
        <v/>
      </c>
      <c r="BD58" t="str">
        <f>IF(Sistema!BD58="","",Sistema!BD58)</f>
        <v/>
      </c>
      <c r="BE58" t="str">
        <f>IF(Sistema!BE58="","",Sistema!BE58)</f>
        <v/>
      </c>
      <c r="BF58" t="str">
        <f>IF(Sistema!BF58="","",Sistema!BF58)</f>
        <v/>
      </c>
      <c r="BG58" t="str">
        <f>IF(Sistema!BG58="","",Sistema!BG58)</f>
        <v/>
      </c>
      <c r="BH58" t="str">
        <f>IF(Sistema!BH58="","",Sistema!BH58)</f>
        <v/>
      </c>
      <c r="BI58" t="str">
        <f>IF(Sistema!BI58="","",Sistema!BI58)</f>
        <v/>
      </c>
      <c r="BJ58" t="str">
        <f>IF(Sistema!BJ58="","",Sistema!BJ58)</f>
        <v/>
      </c>
      <c r="BK58" t="str">
        <f>IF(Sistema!BK58="","",Sistema!BK58)</f>
        <v/>
      </c>
      <c r="BL58" t="str">
        <f>IF(Sistema!BL58="","",Sistema!BL58)</f>
        <v/>
      </c>
      <c r="BM58" t="str">
        <f>IF(Sistema!BM58="","",Sistema!BM58)</f>
        <v/>
      </c>
      <c r="BN58" t="str">
        <f>IF(Sistema!BN58="","",Sistema!BN58)</f>
        <v/>
      </c>
      <c r="BO58" t="str">
        <f>IF(Sistema!BO58="","",Sistema!BO58)</f>
        <v/>
      </c>
      <c r="BP58" t="str">
        <f>IF(Sistema!BP58="","",Sistema!BP58)</f>
        <v/>
      </c>
      <c r="BQ58" t="str">
        <f>IF(Sistema!BQ58="","",Sistema!BQ58)</f>
        <v/>
      </c>
      <c r="BR58" t="str">
        <f>IF(Sistema!BR58="","",Sistema!BR58)</f>
        <v/>
      </c>
      <c r="BS58" t="str">
        <f>IF(Sistema!BS58="","",Sistema!BS58)</f>
        <v/>
      </c>
      <c r="BT58" t="str">
        <f>IF(Sistema!BT58="","",Sistema!BT58)</f>
        <v/>
      </c>
      <c r="BU58" t="str">
        <f>IF(Sistema!BU58="","",Sistema!BU58)</f>
        <v/>
      </c>
      <c r="BV58" t="str">
        <f>IF(Sistema!BV58="","",Sistema!BV58)</f>
        <v/>
      </c>
      <c r="BW58" t="str">
        <f>IF(Sistema!BW58="","",Sistema!BW58)</f>
        <v/>
      </c>
      <c r="BX58" t="str">
        <f>IF(Sistema!BX58="","",Sistema!BX58)</f>
        <v/>
      </c>
      <c r="BY58" t="str">
        <f>IF(Sistema!BY58="","",Sistema!BY58)</f>
        <v/>
      </c>
      <c r="BZ58" t="str">
        <f>IF(Sistema!BZ58="","",Sistema!BZ58)</f>
        <v/>
      </c>
      <c r="CA58" t="str">
        <f>IF(Sistema!CA58="","",Sistema!CA58)</f>
        <v/>
      </c>
      <c r="CB58" t="str">
        <f>IF(Sistema!CB58="","",Sistema!CB58)</f>
        <v/>
      </c>
      <c r="CC58" t="str">
        <f>IF(Sistema!CC58="","",Sistema!CC58)</f>
        <v/>
      </c>
      <c r="CD58" t="str">
        <f>IF(Sistema!CD58="","",Sistema!CD58)</f>
        <v/>
      </c>
    </row>
    <row r="59" spans="1:82" x14ac:dyDescent="0.25">
      <c r="A59" t="str">
        <f>IF(Sistema!A59="","",Sistema!A59)</f>
        <v/>
      </c>
      <c r="B59" t="str">
        <f>IF(Sistema!B59="","",Sistema!B59)</f>
        <v/>
      </c>
      <c r="C59" t="str">
        <f>IF(Sistema!C59="","",Sistema!C59)</f>
        <v/>
      </c>
      <c r="D59" t="str">
        <f>IF(Sistema!D59="","",Sistema!D59)</f>
        <v/>
      </c>
      <c r="E59" t="str">
        <f>IF(Sistema!E59="","",Sistema!E59)</f>
        <v/>
      </c>
      <c r="F59">
        <f>IF(P59&gt;0,1,IF(Sistema!F59=0,-1,1))</f>
        <v>-1</v>
      </c>
      <c r="G59">
        <f>Sistema!G59</f>
        <v>0</v>
      </c>
      <c r="H59" t="str">
        <f>IF(OR(R59="notify",R59=1),"visible",IF(OR(Sistema!F59=-1,Sistema!F59=0,ISNUMBER(SEARCH("PCK",E59))),"hidden",IF(P59&gt;0,"visible","hidden")))</f>
        <v>hidden</v>
      </c>
      <c r="I59" t="str">
        <f>IF(B59="simple",IF(P59&gt;0,"",IF(R59="notify",Info!C$2,"")),IF(B59="variable",IF(P59&gt;0,"",IF(R59="notify",Info!C$4,"")),""))</f>
        <v/>
      </c>
      <c r="J59" t="str">
        <f>IF(Sistema!J59="","",Sistema!J59)</f>
        <v/>
      </c>
      <c r="M59" t="str">
        <f>IF(Sistema!M59="","",Sistema!M59)</f>
        <v/>
      </c>
      <c r="N59" s="6" t="s">
        <v>1557</v>
      </c>
      <c r="O59" s="6">
        <v>1</v>
      </c>
      <c r="P59">
        <f>Sistema!P59</f>
        <v>0</v>
      </c>
      <c r="Q59">
        <f>Sistema!Q59</f>
        <v>0</v>
      </c>
      <c r="R59">
        <f>IF(Sistema!R59=1,"notify",Sistema!R59)</f>
        <v>0</v>
      </c>
      <c r="T59" t="str">
        <f>IF(Sistema!T59="","",Sistema!T59)</f>
        <v/>
      </c>
      <c r="U59" t="str">
        <f>IF(Sistema!U59="","",Sistema!U59)</f>
        <v/>
      </c>
      <c r="V59" t="str">
        <f>IF(Sistema!V59="","",Sistema!V59)</f>
        <v/>
      </c>
      <c r="W59" t="str">
        <f>IF(Sistema!W59="","",Sistema!W59)</f>
        <v/>
      </c>
      <c r="X59" s="6">
        <v>1</v>
      </c>
      <c r="Z59" t="str">
        <f>IF(Sistema!Z59="","",Sistema!Z59)</f>
        <v/>
      </c>
      <c r="AA59" t="str">
        <f>IF(Sistema!AA59="","",Sistema!AA59)</f>
        <v/>
      </c>
      <c r="AB59" t="str">
        <f>IF(Sistema!AB59="","",IF(OR(ISNUMBER(SEARCH("MKP",E59)),ISNUMBER(SEARCH("MKP",C59))),"Marketplace &gt; "&amp;Sistema!AB59,Sistema!AB59))</f>
        <v/>
      </c>
      <c r="AC59" t="str">
        <f>IF(Sistema!AC59="","",Sistema!AC59)</f>
        <v/>
      </c>
      <c r="AE59" t="str">
        <f>IF(Sistema!AE59="","",Sistema!AE59)</f>
        <v/>
      </c>
      <c r="AH59" t="str">
        <f>IF(Sistema!AH59="","",Sistema!AH59)</f>
        <v/>
      </c>
      <c r="AQ59" t="str">
        <f>IF(Sistema!AQ59="","",Sistema!AQ59)</f>
        <v/>
      </c>
      <c r="AR59" t="str">
        <f>IF(Sistema!AR59="","",Sistema!AR59)</f>
        <v/>
      </c>
      <c r="AS59" t="str">
        <f>IF(Sistema!AS59="","",Sistema!AS59)</f>
        <v/>
      </c>
      <c r="AT59" t="str">
        <f>IF(Sistema!AT59="","",Sistema!AT59)</f>
        <v/>
      </c>
      <c r="AU59" t="str">
        <f>IF(Sistema!AU59="","",Sistema!AU59)</f>
        <v/>
      </c>
      <c r="AV59" t="str">
        <f>IF(Sistema!AV59="","",Sistema!AV59)</f>
        <v/>
      </c>
      <c r="AW59" t="str">
        <f>IF(Sistema!AW59="","",Sistema!AW59)</f>
        <v/>
      </c>
      <c r="AX59" t="str">
        <f>IF(Sistema!AX59="","",Sistema!AX59)</f>
        <v/>
      </c>
      <c r="AY59" t="str">
        <f>IF(Sistema!AY59="","",Sistema!AY59)</f>
        <v/>
      </c>
      <c r="AZ59" t="str">
        <f>IF(Sistema!AZ59="","",Sistema!AZ59)</f>
        <v/>
      </c>
      <c r="BA59" t="str">
        <f>IF(Sistema!BA59="","",Sistema!BA59)</f>
        <v/>
      </c>
      <c r="BB59" t="str">
        <f>IF(Sistema!BB59="","",Sistema!BB59)</f>
        <v/>
      </c>
      <c r="BC59" t="str">
        <f>IF(Sistema!BC59="","",Sistema!BC59)</f>
        <v/>
      </c>
      <c r="BD59" t="str">
        <f>IF(Sistema!BD59="","",Sistema!BD59)</f>
        <v/>
      </c>
      <c r="BE59" t="str">
        <f>IF(Sistema!BE59="","",Sistema!BE59)</f>
        <v/>
      </c>
      <c r="BF59" t="str">
        <f>IF(Sistema!BF59="","",Sistema!BF59)</f>
        <v/>
      </c>
      <c r="BG59" t="str">
        <f>IF(Sistema!BG59="","",Sistema!BG59)</f>
        <v/>
      </c>
      <c r="BH59" t="str">
        <f>IF(Sistema!BH59="","",Sistema!BH59)</f>
        <v/>
      </c>
      <c r="BI59" t="str">
        <f>IF(Sistema!BI59="","",Sistema!BI59)</f>
        <v/>
      </c>
      <c r="BJ59" t="str">
        <f>IF(Sistema!BJ59="","",Sistema!BJ59)</f>
        <v/>
      </c>
      <c r="BK59" t="str">
        <f>IF(Sistema!BK59="","",Sistema!BK59)</f>
        <v/>
      </c>
      <c r="BL59" t="str">
        <f>IF(Sistema!BL59="","",Sistema!BL59)</f>
        <v/>
      </c>
      <c r="BM59" t="str">
        <f>IF(Sistema!BM59="","",Sistema!BM59)</f>
        <v/>
      </c>
      <c r="BN59" t="str">
        <f>IF(Sistema!BN59="","",Sistema!BN59)</f>
        <v/>
      </c>
      <c r="BO59" t="str">
        <f>IF(Sistema!BO59="","",Sistema!BO59)</f>
        <v/>
      </c>
      <c r="BP59" t="str">
        <f>IF(Sistema!BP59="","",Sistema!BP59)</f>
        <v/>
      </c>
      <c r="BQ59" t="str">
        <f>IF(Sistema!BQ59="","",Sistema!BQ59)</f>
        <v/>
      </c>
      <c r="BR59" t="str">
        <f>IF(Sistema!BR59="","",Sistema!BR59)</f>
        <v/>
      </c>
      <c r="BS59" t="str">
        <f>IF(Sistema!BS59="","",Sistema!BS59)</f>
        <v/>
      </c>
      <c r="BT59" t="str">
        <f>IF(Sistema!BT59="","",Sistema!BT59)</f>
        <v/>
      </c>
      <c r="BU59" t="str">
        <f>IF(Sistema!BU59="","",Sistema!BU59)</f>
        <v/>
      </c>
      <c r="BV59" t="str">
        <f>IF(Sistema!BV59="","",Sistema!BV59)</f>
        <v/>
      </c>
      <c r="BW59" t="str">
        <f>IF(Sistema!BW59="","",Sistema!BW59)</f>
        <v/>
      </c>
      <c r="BX59" t="str">
        <f>IF(Sistema!BX59="","",Sistema!BX59)</f>
        <v/>
      </c>
      <c r="BY59" t="str">
        <f>IF(Sistema!BY59="","",Sistema!BY59)</f>
        <v/>
      </c>
      <c r="BZ59" t="str">
        <f>IF(Sistema!BZ59="","",Sistema!BZ59)</f>
        <v/>
      </c>
      <c r="CA59" t="str">
        <f>IF(Sistema!CA59="","",Sistema!CA59)</f>
        <v/>
      </c>
      <c r="CB59" t="str">
        <f>IF(Sistema!CB59="","",Sistema!CB59)</f>
        <v/>
      </c>
      <c r="CC59" t="str">
        <f>IF(Sistema!CC59="","",Sistema!CC59)</f>
        <v/>
      </c>
      <c r="CD59" t="str">
        <f>IF(Sistema!CD59="","",Sistema!CD59)</f>
        <v/>
      </c>
    </row>
    <row r="60" spans="1:82" x14ac:dyDescent="0.25">
      <c r="A60" t="str">
        <f>IF(Sistema!A60="","",Sistema!A60)</f>
        <v/>
      </c>
      <c r="B60" t="str">
        <f>IF(Sistema!B60="","",Sistema!B60)</f>
        <v/>
      </c>
      <c r="C60" t="str">
        <f>IF(Sistema!C60="","",Sistema!C60)</f>
        <v/>
      </c>
      <c r="D60" t="str">
        <f>IF(Sistema!D60="","",Sistema!D60)</f>
        <v/>
      </c>
      <c r="E60" t="str">
        <f>IF(Sistema!E60="","",Sistema!E60)</f>
        <v/>
      </c>
      <c r="F60">
        <f>IF(P60&gt;0,1,IF(Sistema!F60=0,-1,1))</f>
        <v>-1</v>
      </c>
      <c r="G60">
        <f>Sistema!G60</f>
        <v>0</v>
      </c>
      <c r="H60" t="str">
        <f>IF(OR(R60="notify",R60=1),"visible",IF(OR(Sistema!F60=-1,Sistema!F60=0,ISNUMBER(SEARCH("PCK",E60))),"hidden",IF(P60&gt;0,"visible","hidden")))</f>
        <v>hidden</v>
      </c>
      <c r="I60" t="str">
        <f>IF(B60="simple",IF(P60&gt;0,"",IF(R60="notify",Info!C$2,"")),IF(B60="variable",IF(P60&gt;0,"",IF(R60="notify",Info!C$4,"")),""))</f>
        <v/>
      </c>
      <c r="J60" t="str">
        <f>IF(Sistema!J60="","",Sistema!J60)</f>
        <v/>
      </c>
      <c r="M60" t="str">
        <f>IF(Sistema!M60="","",Sistema!M60)</f>
        <v/>
      </c>
      <c r="N60" s="6" t="s">
        <v>1557</v>
      </c>
      <c r="O60" s="6">
        <v>1</v>
      </c>
      <c r="P60">
        <f>Sistema!P60</f>
        <v>0</v>
      </c>
      <c r="Q60">
        <f>Sistema!Q60</f>
        <v>0</v>
      </c>
      <c r="R60">
        <f>IF(Sistema!R60=1,"notify",Sistema!R60)</f>
        <v>0</v>
      </c>
      <c r="T60" t="str">
        <f>IF(Sistema!T60="","",Sistema!T60)</f>
        <v/>
      </c>
      <c r="U60" t="str">
        <f>IF(Sistema!U60="","",Sistema!U60)</f>
        <v/>
      </c>
      <c r="V60" t="str">
        <f>IF(Sistema!V60="","",Sistema!V60)</f>
        <v/>
      </c>
      <c r="W60" t="str">
        <f>IF(Sistema!W60="","",Sistema!W60)</f>
        <v/>
      </c>
      <c r="X60" s="6">
        <v>1</v>
      </c>
      <c r="Z60" t="str">
        <f>IF(Sistema!Z60="","",Sistema!Z60)</f>
        <v/>
      </c>
      <c r="AA60" t="str">
        <f>IF(Sistema!AA60="","",Sistema!AA60)</f>
        <v/>
      </c>
      <c r="AB60" t="str">
        <f>IF(Sistema!AB60="","",IF(OR(ISNUMBER(SEARCH("MKP",E60)),ISNUMBER(SEARCH("MKP",C60))),"Marketplace &gt; "&amp;Sistema!AB60,Sistema!AB60))</f>
        <v/>
      </c>
      <c r="AC60" t="str">
        <f>IF(Sistema!AC60="","",Sistema!AC60)</f>
        <v/>
      </c>
      <c r="AE60" t="str">
        <f>IF(Sistema!AE60="","",Sistema!AE60)</f>
        <v/>
      </c>
      <c r="AH60" t="str">
        <f>IF(Sistema!AH60="","",Sistema!AH60)</f>
        <v/>
      </c>
      <c r="AQ60" t="str">
        <f>IF(Sistema!AQ60="","",Sistema!AQ60)</f>
        <v/>
      </c>
      <c r="AR60" t="str">
        <f>IF(Sistema!AR60="","",Sistema!AR60)</f>
        <v/>
      </c>
      <c r="AS60" t="str">
        <f>IF(Sistema!AS60="","",Sistema!AS60)</f>
        <v/>
      </c>
      <c r="AT60" t="str">
        <f>IF(Sistema!AT60="","",Sistema!AT60)</f>
        <v/>
      </c>
      <c r="AU60" t="str">
        <f>IF(Sistema!AU60="","",Sistema!AU60)</f>
        <v/>
      </c>
      <c r="AV60" t="str">
        <f>IF(Sistema!AV60="","",Sistema!AV60)</f>
        <v/>
      </c>
      <c r="AW60" t="str">
        <f>IF(Sistema!AW60="","",Sistema!AW60)</f>
        <v/>
      </c>
      <c r="AX60" t="str">
        <f>IF(Sistema!AX60="","",Sistema!AX60)</f>
        <v/>
      </c>
      <c r="AY60" t="str">
        <f>IF(Sistema!AY60="","",Sistema!AY60)</f>
        <v/>
      </c>
      <c r="AZ60" t="str">
        <f>IF(Sistema!AZ60="","",Sistema!AZ60)</f>
        <v/>
      </c>
      <c r="BA60" t="str">
        <f>IF(Sistema!BA60="","",Sistema!BA60)</f>
        <v/>
      </c>
      <c r="BB60" t="str">
        <f>IF(Sistema!BB60="","",Sistema!BB60)</f>
        <v/>
      </c>
      <c r="BC60" t="str">
        <f>IF(Sistema!BC60="","",Sistema!BC60)</f>
        <v/>
      </c>
      <c r="BD60" t="str">
        <f>IF(Sistema!BD60="","",Sistema!BD60)</f>
        <v/>
      </c>
      <c r="BE60" t="str">
        <f>IF(Sistema!BE60="","",Sistema!BE60)</f>
        <v/>
      </c>
      <c r="BF60" t="str">
        <f>IF(Sistema!BF60="","",Sistema!BF60)</f>
        <v/>
      </c>
      <c r="BG60" t="str">
        <f>IF(Sistema!BG60="","",Sistema!BG60)</f>
        <v/>
      </c>
      <c r="BH60" t="str">
        <f>IF(Sistema!BH60="","",Sistema!BH60)</f>
        <v/>
      </c>
      <c r="BI60" t="str">
        <f>IF(Sistema!BI60="","",Sistema!BI60)</f>
        <v/>
      </c>
      <c r="BJ60" t="str">
        <f>IF(Sistema!BJ60="","",Sistema!BJ60)</f>
        <v/>
      </c>
      <c r="BK60" t="str">
        <f>IF(Sistema!BK60="","",Sistema!BK60)</f>
        <v/>
      </c>
      <c r="BL60" t="str">
        <f>IF(Sistema!BL60="","",Sistema!BL60)</f>
        <v/>
      </c>
      <c r="BM60" t="str">
        <f>IF(Sistema!BM60="","",Sistema!BM60)</f>
        <v/>
      </c>
      <c r="BN60" t="str">
        <f>IF(Sistema!BN60="","",Sistema!BN60)</f>
        <v/>
      </c>
      <c r="BO60" t="str">
        <f>IF(Sistema!BO60="","",Sistema!BO60)</f>
        <v/>
      </c>
      <c r="BP60" t="str">
        <f>IF(Sistema!BP60="","",Sistema!BP60)</f>
        <v/>
      </c>
      <c r="BQ60" t="str">
        <f>IF(Sistema!BQ60="","",Sistema!BQ60)</f>
        <v/>
      </c>
      <c r="BR60" t="str">
        <f>IF(Sistema!BR60="","",Sistema!BR60)</f>
        <v/>
      </c>
      <c r="BS60" t="str">
        <f>IF(Sistema!BS60="","",Sistema!BS60)</f>
        <v/>
      </c>
      <c r="BT60" t="str">
        <f>IF(Sistema!BT60="","",Sistema!BT60)</f>
        <v/>
      </c>
      <c r="BU60" t="str">
        <f>IF(Sistema!BU60="","",Sistema!BU60)</f>
        <v/>
      </c>
      <c r="BV60" t="str">
        <f>IF(Sistema!BV60="","",Sistema!BV60)</f>
        <v/>
      </c>
      <c r="BW60" t="str">
        <f>IF(Sistema!BW60="","",Sistema!BW60)</f>
        <v/>
      </c>
      <c r="BX60" t="str">
        <f>IF(Sistema!BX60="","",Sistema!BX60)</f>
        <v/>
      </c>
      <c r="BY60" t="str">
        <f>IF(Sistema!BY60="","",Sistema!BY60)</f>
        <v/>
      </c>
      <c r="BZ60" t="str">
        <f>IF(Sistema!BZ60="","",Sistema!BZ60)</f>
        <v/>
      </c>
      <c r="CA60" t="str">
        <f>IF(Sistema!CA60="","",Sistema!CA60)</f>
        <v/>
      </c>
      <c r="CB60" t="str">
        <f>IF(Sistema!CB60="","",Sistema!CB60)</f>
        <v/>
      </c>
      <c r="CC60" t="str">
        <f>IF(Sistema!CC60="","",Sistema!CC60)</f>
        <v/>
      </c>
      <c r="CD60" t="str">
        <f>IF(Sistema!CD60="","",Sistema!CD60)</f>
        <v/>
      </c>
    </row>
    <row r="61" spans="1:82" x14ac:dyDescent="0.25">
      <c r="A61" t="str">
        <f>IF(Sistema!A61="","",Sistema!A61)</f>
        <v/>
      </c>
      <c r="B61" t="str">
        <f>IF(Sistema!B61="","",Sistema!B61)</f>
        <v/>
      </c>
      <c r="C61" t="str">
        <f>IF(Sistema!C61="","",Sistema!C61)</f>
        <v/>
      </c>
      <c r="D61" t="str">
        <f>IF(Sistema!D61="","",Sistema!D61)</f>
        <v/>
      </c>
      <c r="E61" t="str">
        <f>IF(Sistema!E61="","",Sistema!E61)</f>
        <v/>
      </c>
      <c r="F61">
        <f>IF(P61&gt;0,1,IF(Sistema!F61=0,-1,1))</f>
        <v>-1</v>
      </c>
      <c r="G61">
        <f>Sistema!G61</f>
        <v>0</v>
      </c>
      <c r="H61" t="str">
        <f>IF(OR(R61="notify",R61=1),"visible",IF(OR(Sistema!F61=-1,Sistema!F61=0,ISNUMBER(SEARCH("PCK",E61))),"hidden",IF(P61&gt;0,"visible","hidden")))</f>
        <v>hidden</v>
      </c>
      <c r="I61" t="str">
        <f>IF(B61="simple",IF(P61&gt;0,"",IF(R61="notify",Info!C$2,"")),IF(B61="variable",IF(P61&gt;0,"",IF(R61="notify",Info!C$4,"")),""))</f>
        <v/>
      </c>
      <c r="J61" t="str">
        <f>IF(Sistema!J61="","",Sistema!J61)</f>
        <v/>
      </c>
      <c r="M61" t="str">
        <f>IF(Sistema!M61="","",Sistema!M61)</f>
        <v/>
      </c>
      <c r="N61" s="6" t="s">
        <v>1557</v>
      </c>
      <c r="O61" s="6">
        <v>1</v>
      </c>
      <c r="P61">
        <f>Sistema!P61</f>
        <v>0</v>
      </c>
      <c r="Q61">
        <f>Sistema!Q61</f>
        <v>0</v>
      </c>
      <c r="R61">
        <f>IF(Sistema!R61=1,"notify",Sistema!R61)</f>
        <v>0</v>
      </c>
      <c r="T61" t="str">
        <f>IF(Sistema!T61="","",Sistema!T61)</f>
        <v/>
      </c>
      <c r="U61" t="str">
        <f>IF(Sistema!U61="","",Sistema!U61)</f>
        <v/>
      </c>
      <c r="V61" t="str">
        <f>IF(Sistema!V61="","",Sistema!V61)</f>
        <v/>
      </c>
      <c r="W61" t="str">
        <f>IF(Sistema!W61="","",Sistema!W61)</f>
        <v/>
      </c>
      <c r="X61" s="6">
        <v>1</v>
      </c>
      <c r="Z61" t="str">
        <f>IF(Sistema!Z61="","",Sistema!Z61)</f>
        <v/>
      </c>
      <c r="AA61" t="str">
        <f>IF(Sistema!AA61="","",Sistema!AA61)</f>
        <v/>
      </c>
      <c r="AB61" t="str">
        <f>IF(Sistema!AB61="","",IF(OR(ISNUMBER(SEARCH("MKP",E61)),ISNUMBER(SEARCH("MKP",C61))),"Marketplace &gt; "&amp;Sistema!AB61,Sistema!AB61))</f>
        <v/>
      </c>
      <c r="AC61" t="str">
        <f>IF(Sistema!AC61="","",Sistema!AC61)</f>
        <v/>
      </c>
      <c r="AE61" t="str">
        <f>IF(Sistema!AE61="","",Sistema!AE61)</f>
        <v/>
      </c>
      <c r="AH61" t="str">
        <f>IF(Sistema!AH61="","",Sistema!AH61)</f>
        <v/>
      </c>
      <c r="AQ61" t="str">
        <f>IF(Sistema!AQ61="","",Sistema!AQ61)</f>
        <v/>
      </c>
      <c r="AR61" t="str">
        <f>IF(Sistema!AR61="","",Sistema!AR61)</f>
        <v/>
      </c>
      <c r="AS61" t="str">
        <f>IF(Sistema!AS61="","",Sistema!AS61)</f>
        <v/>
      </c>
      <c r="AT61" t="str">
        <f>IF(Sistema!AT61="","",Sistema!AT61)</f>
        <v/>
      </c>
      <c r="AU61" t="str">
        <f>IF(Sistema!AU61="","",Sistema!AU61)</f>
        <v/>
      </c>
      <c r="AV61" t="str">
        <f>IF(Sistema!AV61="","",Sistema!AV61)</f>
        <v/>
      </c>
      <c r="AW61" t="str">
        <f>IF(Sistema!AW61="","",Sistema!AW61)</f>
        <v/>
      </c>
      <c r="AX61" t="str">
        <f>IF(Sistema!AX61="","",Sistema!AX61)</f>
        <v/>
      </c>
      <c r="AY61" t="str">
        <f>IF(Sistema!AY61="","",Sistema!AY61)</f>
        <v/>
      </c>
      <c r="AZ61" t="str">
        <f>IF(Sistema!AZ61="","",Sistema!AZ61)</f>
        <v/>
      </c>
      <c r="BA61" t="str">
        <f>IF(Sistema!BA61="","",Sistema!BA61)</f>
        <v/>
      </c>
      <c r="BB61" t="str">
        <f>IF(Sistema!BB61="","",Sistema!BB61)</f>
        <v/>
      </c>
      <c r="BC61" t="str">
        <f>IF(Sistema!BC61="","",Sistema!BC61)</f>
        <v/>
      </c>
      <c r="BD61" t="str">
        <f>IF(Sistema!BD61="","",Sistema!BD61)</f>
        <v/>
      </c>
      <c r="BE61" t="str">
        <f>IF(Sistema!BE61="","",Sistema!BE61)</f>
        <v/>
      </c>
      <c r="BF61" t="str">
        <f>IF(Sistema!BF61="","",Sistema!BF61)</f>
        <v/>
      </c>
      <c r="BG61" t="str">
        <f>IF(Sistema!BG61="","",Sistema!BG61)</f>
        <v/>
      </c>
      <c r="BH61" t="str">
        <f>IF(Sistema!BH61="","",Sistema!BH61)</f>
        <v/>
      </c>
      <c r="BI61" t="str">
        <f>IF(Sistema!BI61="","",Sistema!BI61)</f>
        <v/>
      </c>
      <c r="BJ61" t="str">
        <f>IF(Sistema!BJ61="","",Sistema!BJ61)</f>
        <v/>
      </c>
      <c r="BK61" t="str">
        <f>IF(Sistema!BK61="","",Sistema!BK61)</f>
        <v/>
      </c>
      <c r="BL61" t="str">
        <f>IF(Sistema!BL61="","",Sistema!BL61)</f>
        <v/>
      </c>
      <c r="BM61" t="str">
        <f>IF(Sistema!BM61="","",Sistema!BM61)</f>
        <v/>
      </c>
      <c r="BN61" t="str">
        <f>IF(Sistema!BN61="","",Sistema!BN61)</f>
        <v/>
      </c>
      <c r="BO61" t="str">
        <f>IF(Sistema!BO61="","",Sistema!BO61)</f>
        <v/>
      </c>
      <c r="BP61" t="str">
        <f>IF(Sistema!BP61="","",Sistema!BP61)</f>
        <v/>
      </c>
      <c r="BQ61" t="str">
        <f>IF(Sistema!BQ61="","",Sistema!BQ61)</f>
        <v/>
      </c>
      <c r="BR61" t="str">
        <f>IF(Sistema!BR61="","",Sistema!BR61)</f>
        <v/>
      </c>
      <c r="BS61" t="str">
        <f>IF(Sistema!BS61="","",Sistema!BS61)</f>
        <v/>
      </c>
      <c r="BT61" t="str">
        <f>IF(Sistema!BT61="","",Sistema!BT61)</f>
        <v/>
      </c>
      <c r="BU61" t="str">
        <f>IF(Sistema!BU61="","",Sistema!BU61)</f>
        <v/>
      </c>
      <c r="BV61" t="str">
        <f>IF(Sistema!BV61="","",Sistema!BV61)</f>
        <v/>
      </c>
      <c r="BW61" t="str">
        <f>IF(Sistema!BW61="","",Sistema!BW61)</f>
        <v/>
      </c>
      <c r="BX61" t="str">
        <f>IF(Sistema!BX61="","",Sistema!BX61)</f>
        <v/>
      </c>
      <c r="BY61" t="str">
        <f>IF(Sistema!BY61="","",Sistema!BY61)</f>
        <v/>
      </c>
      <c r="BZ61" t="str">
        <f>IF(Sistema!BZ61="","",Sistema!BZ61)</f>
        <v/>
      </c>
      <c r="CA61" t="str">
        <f>IF(Sistema!CA61="","",Sistema!CA61)</f>
        <v/>
      </c>
      <c r="CB61" t="str">
        <f>IF(Sistema!CB61="","",Sistema!CB61)</f>
        <v/>
      </c>
      <c r="CC61" t="str">
        <f>IF(Sistema!CC61="","",Sistema!CC61)</f>
        <v/>
      </c>
      <c r="CD61" t="str">
        <f>IF(Sistema!CD61="","",Sistema!CD61)</f>
        <v/>
      </c>
    </row>
    <row r="62" spans="1:82" x14ac:dyDescent="0.25">
      <c r="A62" t="str">
        <f>IF(Sistema!A62="","",Sistema!A62)</f>
        <v/>
      </c>
      <c r="B62" t="str">
        <f>IF(Sistema!B62="","",Sistema!B62)</f>
        <v/>
      </c>
      <c r="C62" t="str">
        <f>IF(Sistema!C62="","",Sistema!C62)</f>
        <v/>
      </c>
      <c r="D62" t="str">
        <f>IF(Sistema!D62="","",Sistema!D62)</f>
        <v/>
      </c>
      <c r="E62" t="str">
        <f>IF(Sistema!E62="","",Sistema!E62)</f>
        <v/>
      </c>
      <c r="F62">
        <f>IF(P62&gt;0,1,IF(Sistema!F62=0,-1,1))</f>
        <v>-1</v>
      </c>
      <c r="G62">
        <f>Sistema!G62</f>
        <v>0</v>
      </c>
      <c r="H62" t="str">
        <f>IF(OR(R62="notify",R62=1),"visible",IF(OR(Sistema!F62=-1,Sistema!F62=0,ISNUMBER(SEARCH("PCK",E62))),"hidden",IF(P62&gt;0,"visible","hidden")))</f>
        <v>hidden</v>
      </c>
      <c r="I62" t="str">
        <f>IF(B62="simple",IF(P62&gt;0,"",IF(R62="notify",Info!C$2,"")),IF(B62="variable",IF(P62&gt;0,"",IF(R62="notify",Info!C$4,"")),""))</f>
        <v/>
      </c>
      <c r="J62" t="str">
        <f>IF(Sistema!J62="","",Sistema!J62)</f>
        <v/>
      </c>
      <c r="M62" t="str">
        <f>IF(Sistema!M62="","",Sistema!M62)</f>
        <v/>
      </c>
      <c r="N62" s="6" t="s">
        <v>1557</v>
      </c>
      <c r="O62" s="6">
        <v>1</v>
      </c>
      <c r="P62">
        <f>Sistema!P62</f>
        <v>0</v>
      </c>
      <c r="Q62">
        <f>Sistema!Q62</f>
        <v>0</v>
      </c>
      <c r="R62">
        <f>IF(Sistema!R62=1,"notify",Sistema!R62)</f>
        <v>0</v>
      </c>
      <c r="T62" t="str">
        <f>IF(Sistema!T62="","",Sistema!T62)</f>
        <v/>
      </c>
      <c r="U62" t="str">
        <f>IF(Sistema!U62="","",Sistema!U62)</f>
        <v/>
      </c>
      <c r="V62" t="str">
        <f>IF(Sistema!V62="","",Sistema!V62)</f>
        <v/>
      </c>
      <c r="W62" t="str">
        <f>IF(Sistema!W62="","",Sistema!W62)</f>
        <v/>
      </c>
      <c r="X62" s="6">
        <v>1</v>
      </c>
      <c r="Z62" t="str">
        <f>IF(Sistema!Z62="","",Sistema!Z62)</f>
        <v/>
      </c>
      <c r="AA62" t="str">
        <f>IF(Sistema!AA62="","",Sistema!AA62)</f>
        <v/>
      </c>
      <c r="AB62" t="str">
        <f>IF(Sistema!AB62="","",IF(OR(ISNUMBER(SEARCH("MKP",E62)),ISNUMBER(SEARCH("MKP",C62))),"Marketplace &gt; "&amp;Sistema!AB62,Sistema!AB62))</f>
        <v/>
      </c>
      <c r="AC62" t="str">
        <f>IF(Sistema!AC62="","",Sistema!AC62)</f>
        <v/>
      </c>
      <c r="AE62" t="str">
        <f>IF(Sistema!AE62="","",Sistema!AE62)</f>
        <v/>
      </c>
      <c r="AH62" t="str">
        <f>IF(Sistema!AH62="","",Sistema!AH62)</f>
        <v/>
      </c>
      <c r="AQ62" t="str">
        <f>IF(Sistema!AQ62="","",Sistema!AQ62)</f>
        <v/>
      </c>
      <c r="AR62" t="str">
        <f>IF(Sistema!AR62="","",Sistema!AR62)</f>
        <v/>
      </c>
      <c r="AS62" t="str">
        <f>IF(Sistema!AS62="","",Sistema!AS62)</f>
        <v/>
      </c>
      <c r="AT62" t="str">
        <f>IF(Sistema!AT62="","",Sistema!AT62)</f>
        <v/>
      </c>
      <c r="AU62" t="str">
        <f>IF(Sistema!AU62="","",Sistema!AU62)</f>
        <v/>
      </c>
      <c r="AV62" t="str">
        <f>IF(Sistema!AV62="","",Sistema!AV62)</f>
        <v/>
      </c>
      <c r="AW62" t="str">
        <f>IF(Sistema!AW62="","",Sistema!AW62)</f>
        <v/>
      </c>
      <c r="AX62" t="str">
        <f>IF(Sistema!AX62="","",Sistema!AX62)</f>
        <v/>
      </c>
      <c r="AY62" t="str">
        <f>IF(Sistema!AY62="","",Sistema!AY62)</f>
        <v/>
      </c>
      <c r="AZ62" t="str">
        <f>IF(Sistema!AZ62="","",Sistema!AZ62)</f>
        <v/>
      </c>
      <c r="BA62" t="str">
        <f>IF(Sistema!BA62="","",Sistema!BA62)</f>
        <v/>
      </c>
      <c r="BB62" t="str">
        <f>IF(Sistema!BB62="","",Sistema!BB62)</f>
        <v/>
      </c>
      <c r="BC62" t="str">
        <f>IF(Sistema!BC62="","",Sistema!BC62)</f>
        <v/>
      </c>
      <c r="BD62" t="str">
        <f>IF(Sistema!BD62="","",Sistema!BD62)</f>
        <v/>
      </c>
      <c r="BE62" t="str">
        <f>IF(Sistema!BE62="","",Sistema!BE62)</f>
        <v/>
      </c>
      <c r="BF62" t="str">
        <f>IF(Sistema!BF62="","",Sistema!BF62)</f>
        <v/>
      </c>
      <c r="BG62" t="str">
        <f>IF(Sistema!BG62="","",Sistema!BG62)</f>
        <v/>
      </c>
      <c r="BH62" t="str">
        <f>IF(Sistema!BH62="","",Sistema!BH62)</f>
        <v/>
      </c>
      <c r="BI62" t="str">
        <f>IF(Sistema!BI62="","",Sistema!BI62)</f>
        <v/>
      </c>
      <c r="BJ62" t="str">
        <f>IF(Sistema!BJ62="","",Sistema!BJ62)</f>
        <v/>
      </c>
      <c r="BK62" t="str">
        <f>IF(Sistema!BK62="","",Sistema!BK62)</f>
        <v/>
      </c>
      <c r="BL62" t="str">
        <f>IF(Sistema!BL62="","",Sistema!BL62)</f>
        <v/>
      </c>
      <c r="BM62" t="str">
        <f>IF(Sistema!BM62="","",Sistema!BM62)</f>
        <v/>
      </c>
      <c r="BN62" t="str">
        <f>IF(Sistema!BN62="","",Sistema!BN62)</f>
        <v/>
      </c>
      <c r="BO62" t="str">
        <f>IF(Sistema!BO62="","",Sistema!BO62)</f>
        <v/>
      </c>
      <c r="BP62" t="str">
        <f>IF(Sistema!BP62="","",Sistema!BP62)</f>
        <v/>
      </c>
      <c r="BQ62" t="str">
        <f>IF(Sistema!BQ62="","",Sistema!BQ62)</f>
        <v/>
      </c>
      <c r="BR62" t="str">
        <f>IF(Sistema!BR62="","",Sistema!BR62)</f>
        <v/>
      </c>
      <c r="BS62" t="str">
        <f>IF(Sistema!BS62="","",Sistema!BS62)</f>
        <v/>
      </c>
      <c r="BT62" t="str">
        <f>IF(Sistema!BT62="","",Sistema!BT62)</f>
        <v/>
      </c>
      <c r="BU62" t="str">
        <f>IF(Sistema!BU62="","",Sistema!BU62)</f>
        <v/>
      </c>
      <c r="BV62" t="str">
        <f>IF(Sistema!BV62="","",Sistema!BV62)</f>
        <v/>
      </c>
      <c r="BW62" t="str">
        <f>IF(Sistema!BW62="","",Sistema!BW62)</f>
        <v/>
      </c>
      <c r="BX62" t="str">
        <f>IF(Sistema!BX62="","",Sistema!BX62)</f>
        <v/>
      </c>
      <c r="BY62" t="str">
        <f>IF(Sistema!BY62="","",Sistema!BY62)</f>
        <v/>
      </c>
      <c r="BZ62" t="str">
        <f>IF(Sistema!BZ62="","",Sistema!BZ62)</f>
        <v/>
      </c>
      <c r="CA62" t="str">
        <f>IF(Sistema!CA62="","",Sistema!CA62)</f>
        <v/>
      </c>
      <c r="CB62" t="str">
        <f>IF(Sistema!CB62="","",Sistema!CB62)</f>
        <v/>
      </c>
      <c r="CC62" t="str">
        <f>IF(Sistema!CC62="","",Sistema!CC62)</f>
        <v/>
      </c>
      <c r="CD62" t="str">
        <f>IF(Sistema!CD62="","",Sistema!CD62)</f>
        <v/>
      </c>
    </row>
    <row r="63" spans="1:82" x14ac:dyDescent="0.25">
      <c r="A63" t="str">
        <f>IF(Sistema!A63="","",Sistema!A63)</f>
        <v/>
      </c>
      <c r="B63" t="str">
        <f>IF(Sistema!B63="","",Sistema!B63)</f>
        <v/>
      </c>
      <c r="C63" t="str">
        <f>IF(Sistema!C63="","",Sistema!C63)</f>
        <v/>
      </c>
      <c r="D63" t="str">
        <f>IF(Sistema!D63="","",Sistema!D63)</f>
        <v/>
      </c>
      <c r="E63" t="str">
        <f>IF(Sistema!E63="","",Sistema!E63)</f>
        <v/>
      </c>
      <c r="F63">
        <f>IF(P63&gt;0,1,IF(Sistema!F63=0,-1,1))</f>
        <v>-1</v>
      </c>
      <c r="G63">
        <f>Sistema!G63</f>
        <v>0</v>
      </c>
      <c r="H63" t="str">
        <f>IF(OR(R63="notify",R63=1),"visible",IF(OR(Sistema!F63=-1,Sistema!F63=0,ISNUMBER(SEARCH("PCK",E63))),"hidden",IF(P63&gt;0,"visible","hidden")))</f>
        <v>hidden</v>
      </c>
      <c r="I63" t="str">
        <f>IF(B63="simple",IF(P63&gt;0,"",IF(R63="notify",Info!C$2,"")),IF(B63="variable",IF(P63&gt;0,"",IF(R63="notify",Info!C$4,"")),""))</f>
        <v/>
      </c>
      <c r="J63" t="str">
        <f>IF(Sistema!J63="","",Sistema!J63)</f>
        <v/>
      </c>
      <c r="M63" t="str">
        <f>IF(Sistema!M63="","",Sistema!M63)</f>
        <v/>
      </c>
      <c r="N63" s="6" t="s">
        <v>1557</v>
      </c>
      <c r="O63" s="6">
        <v>1</v>
      </c>
      <c r="P63">
        <f>Sistema!P63</f>
        <v>0</v>
      </c>
      <c r="Q63">
        <f>Sistema!Q63</f>
        <v>0</v>
      </c>
      <c r="R63">
        <f>IF(Sistema!R63=1,"notify",Sistema!R63)</f>
        <v>0</v>
      </c>
      <c r="T63" t="str">
        <f>IF(Sistema!T63="","",Sistema!T63)</f>
        <v/>
      </c>
      <c r="U63" t="str">
        <f>IF(Sistema!U63="","",Sistema!U63)</f>
        <v/>
      </c>
      <c r="V63" t="str">
        <f>IF(Sistema!V63="","",Sistema!V63)</f>
        <v/>
      </c>
      <c r="W63" t="str">
        <f>IF(Sistema!W63="","",Sistema!W63)</f>
        <v/>
      </c>
      <c r="X63" s="6">
        <v>1</v>
      </c>
      <c r="Z63" t="str">
        <f>IF(Sistema!Z63="","",Sistema!Z63)</f>
        <v/>
      </c>
      <c r="AA63" t="str">
        <f>IF(Sistema!AA63="","",Sistema!AA63)</f>
        <v/>
      </c>
      <c r="AB63" t="str">
        <f>IF(Sistema!AB63="","",IF(OR(ISNUMBER(SEARCH("MKP",E63)),ISNUMBER(SEARCH("MKP",C63))),"Marketplace &gt; "&amp;Sistema!AB63,Sistema!AB63))</f>
        <v/>
      </c>
      <c r="AC63" t="str">
        <f>IF(Sistema!AC63="","",Sistema!AC63)</f>
        <v/>
      </c>
      <c r="AE63" t="str">
        <f>IF(Sistema!AE63="","",Sistema!AE63)</f>
        <v/>
      </c>
      <c r="AH63" t="str">
        <f>IF(Sistema!AH63="","",Sistema!AH63)</f>
        <v/>
      </c>
      <c r="AQ63" t="str">
        <f>IF(Sistema!AQ63="","",Sistema!AQ63)</f>
        <v/>
      </c>
      <c r="AR63" t="str">
        <f>IF(Sistema!AR63="","",Sistema!AR63)</f>
        <v/>
      </c>
      <c r="AS63" t="str">
        <f>IF(Sistema!AS63="","",Sistema!AS63)</f>
        <v/>
      </c>
      <c r="AT63" t="str">
        <f>IF(Sistema!AT63="","",Sistema!AT63)</f>
        <v/>
      </c>
      <c r="AU63" t="str">
        <f>IF(Sistema!AU63="","",Sistema!AU63)</f>
        <v/>
      </c>
      <c r="AV63" t="str">
        <f>IF(Sistema!AV63="","",Sistema!AV63)</f>
        <v/>
      </c>
      <c r="AW63" t="str">
        <f>IF(Sistema!AW63="","",Sistema!AW63)</f>
        <v/>
      </c>
      <c r="AX63" t="str">
        <f>IF(Sistema!AX63="","",Sistema!AX63)</f>
        <v/>
      </c>
      <c r="AY63" t="str">
        <f>IF(Sistema!AY63="","",Sistema!AY63)</f>
        <v/>
      </c>
      <c r="AZ63" t="str">
        <f>IF(Sistema!AZ63="","",Sistema!AZ63)</f>
        <v/>
      </c>
      <c r="BA63" t="str">
        <f>IF(Sistema!BA63="","",Sistema!BA63)</f>
        <v/>
      </c>
      <c r="BB63" t="str">
        <f>IF(Sistema!BB63="","",Sistema!BB63)</f>
        <v/>
      </c>
      <c r="BC63" t="str">
        <f>IF(Sistema!BC63="","",Sistema!BC63)</f>
        <v/>
      </c>
      <c r="BD63" t="str">
        <f>IF(Sistema!BD63="","",Sistema!BD63)</f>
        <v/>
      </c>
      <c r="BE63" t="str">
        <f>IF(Sistema!BE63="","",Sistema!BE63)</f>
        <v/>
      </c>
      <c r="BF63" t="str">
        <f>IF(Sistema!BF63="","",Sistema!BF63)</f>
        <v/>
      </c>
      <c r="BG63" t="str">
        <f>IF(Sistema!BG63="","",Sistema!BG63)</f>
        <v/>
      </c>
      <c r="BH63" t="str">
        <f>IF(Sistema!BH63="","",Sistema!BH63)</f>
        <v/>
      </c>
      <c r="BI63" t="str">
        <f>IF(Sistema!BI63="","",Sistema!BI63)</f>
        <v/>
      </c>
      <c r="BJ63" t="str">
        <f>IF(Sistema!BJ63="","",Sistema!BJ63)</f>
        <v/>
      </c>
      <c r="BK63" t="str">
        <f>IF(Sistema!BK63="","",Sistema!BK63)</f>
        <v/>
      </c>
      <c r="BL63" t="str">
        <f>IF(Sistema!BL63="","",Sistema!BL63)</f>
        <v/>
      </c>
      <c r="BM63" t="str">
        <f>IF(Sistema!BM63="","",Sistema!BM63)</f>
        <v/>
      </c>
      <c r="BN63" t="str">
        <f>IF(Sistema!BN63="","",Sistema!BN63)</f>
        <v/>
      </c>
      <c r="BO63" t="str">
        <f>IF(Sistema!BO63="","",Sistema!BO63)</f>
        <v/>
      </c>
      <c r="BP63" t="str">
        <f>IF(Sistema!BP63="","",Sistema!BP63)</f>
        <v/>
      </c>
      <c r="BQ63" t="str">
        <f>IF(Sistema!BQ63="","",Sistema!BQ63)</f>
        <v/>
      </c>
      <c r="BR63" t="str">
        <f>IF(Sistema!BR63="","",Sistema!BR63)</f>
        <v/>
      </c>
      <c r="BS63" t="str">
        <f>IF(Sistema!BS63="","",Sistema!BS63)</f>
        <v/>
      </c>
      <c r="BT63" t="str">
        <f>IF(Sistema!BT63="","",Sistema!BT63)</f>
        <v/>
      </c>
      <c r="BU63" t="str">
        <f>IF(Sistema!BU63="","",Sistema!BU63)</f>
        <v/>
      </c>
      <c r="BV63" t="str">
        <f>IF(Sistema!BV63="","",Sistema!BV63)</f>
        <v/>
      </c>
      <c r="BW63" t="str">
        <f>IF(Sistema!BW63="","",Sistema!BW63)</f>
        <v/>
      </c>
      <c r="BX63" t="str">
        <f>IF(Sistema!BX63="","",Sistema!BX63)</f>
        <v/>
      </c>
      <c r="BY63" t="str">
        <f>IF(Sistema!BY63="","",Sistema!BY63)</f>
        <v/>
      </c>
      <c r="BZ63" t="str">
        <f>IF(Sistema!BZ63="","",Sistema!BZ63)</f>
        <v/>
      </c>
      <c r="CA63" t="str">
        <f>IF(Sistema!CA63="","",Sistema!CA63)</f>
        <v/>
      </c>
      <c r="CB63" t="str">
        <f>IF(Sistema!CB63="","",Sistema!CB63)</f>
        <v/>
      </c>
      <c r="CC63" t="str">
        <f>IF(Sistema!CC63="","",Sistema!CC63)</f>
        <v/>
      </c>
      <c r="CD63" t="str">
        <f>IF(Sistema!CD63="","",Sistema!CD63)</f>
        <v/>
      </c>
    </row>
    <row r="64" spans="1:82" x14ac:dyDescent="0.25">
      <c r="A64" t="str">
        <f>IF(Sistema!A64="","",Sistema!A64)</f>
        <v/>
      </c>
      <c r="B64" t="str">
        <f>IF(Sistema!B64="","",Sistema!B64)</f>
        <v/>
      </c>
      <c r="C64" t="str">
        <f>IF(Sistema!C64="","",Sistema!C64)</f>
        <v/>
      </c>
      <c r="D64" t="str">
        <f>IF(Sistema!D64="","",Sistema!D64)</f>
        <v/>
      </c>
      <c r="E64" t="str">
        <f>IF(Sistema!E64="","",Sistema!E64)</f>
        <v/>
      </c>
      <c r="F64">
        <f>IF(P64&gt;0,1,IF(Sistema!F64=0,-1,1))</f>
        <v>-1</v>
      </c>
      <c r="G64">
        <f>Sistema!G64</f>
        <v>0</v>
      </c>
      <c r="H64" t="str">
        <f>IF(OR(R64="notify",R64=1),"visible",IF(OR(Sistema!F64=-1,Sistema!F64=0,ISNUMBER(SEARCH("PCK",E64))),"hidden",IF(P64&gt;0,"visible","hidden")))</f>
        <v>hidden</v>
      </c>
      <c r="I64" t="str">
        <f>IF(B64="simple",IF(P64&gt;0,"",IF(R64="notify",Info!C$2,"")),IF(B64="variable",IF(P64&gt;0,"",IF(R64="notify",Info!C$4,"")),""))</f>
        <v/>
      </c>
      <c r="J64" t="str">
        <f>IF(Sistema!J64="","",Sistema!J64)</f>
        <v/>
      </c>
      <c r="M64" t="str">
        <f>IF(Sistema!M64="","",Sistema!M64)</f>
        <v/>
      </c>
      <c r="N64" s="6" t="s">
        <v>1557</v>
      </c>
      <c r="O64" s="6">
        <v>1</v>
      </c>
      <c r="P64">
        <f>Sistema!P64</f>
        <v>0</v>
      </c>
      <c r="Q64">
        <f>Sistema!Q64</f>
        <v>0</v>
      </c>
      <c r="R64">
        <f>IF(Sistema!R64=1,"notify",Sistema!R64)</f>
        <v>0</v>
      </c>
      <c r="T64" t="str">
        <f>IF(Sistema!T64="","",Sistema!T64)</f>
        <v/>
      </c>
      <c r="U64" t="str">
        <f>IF(Sistema!U64="","",Sistema!U64)</f>
        <v/>
      </c>
      <c r="V64" t="str">
        <f>IF(Sistema!V64="","",Sistema!V64)</f>
        <v/>
      </c>
      <c r="W64" t="str">
        <f>IF(Sistema!W64="","",Sistema!W64)</f>
        <v/>
      </c>
      <c r="X64" s="6">
        <v>1</v>
      </c>
      <c r="Z64" t="str">
        <f>IF(Sistema!Z64="","",Sistema!Z64)</f>
        <v/>
      </c>
      <c r="AA64" t="str">
        <f>IF(Sistema!AA64="","",Sistema!AA64)</f>
        <v/>
      </c>
      <c r="AB64" t="str">
        <f>IF(Sistema!AB64="","",IF(OR(ISNUMBER(SEARCH("MKP",E64)),ISNUMBER(SEARCH("MKP",C64))),"Marketplace &gt; "&amp;Sistema!AB64,Sistema!AB64))</f>
        <v/>
      </c>
      <c r="AC64" t="str">
        <f>IF(Sistema!AC64="","",Sistema!AC64)</f>
        <v/>
      </c>
      <c r="AE64" t="str">
        <f>IF(Sistema!AE64="","",Sistema!AE64)</f>
        <v/>
      </c>
      <c r="AH64" t="str">
        <f>IF(Sistema!AH64="","",Sistema!AH64)</f>
        <v/>
      </c>
      <c r="AQ64" t="str">
        <f>IF(Sistema!AQ64="","",Sistema!AQ64)</f>
        <v/>
      </c>
      <c r="AR64" t="str">
        <f>IF(Sistema!AR64="","",Sistema!AR64)</f>
        <v/>
      </c>
      <c r="AS64" t="str">
        <f>IF(Sistema!AS64="","",Sistema!AS64)</f>
        <v/>
      </c>
      <c r="AT64" t="str">
        <f>IF(Sistema!AT64="","",Sistema!AT64)</f>
        <v/>
      </c>
      <c r="AU64" t="str">
        <f>IF(Sistema!AU64="","",Sistema!AU64)</f>
        <v/>
      </c>
      <c r="AV64" t="str">
        <f>IF(Sistema!AV64="","",Sistema!AV64)</f>
        <v/>
      </c>
      <c r="AW64" t="str">
        <f>IF(Sistema!AW64="","",Sistema!AW64)</f>
        <v/>
      </c>
      <c r="AX64" t="str">
        <f>IF(Sistema!AX64="","",Sistema!AX64)</f>
        <v/>
      </c>
      <c r="AY64" t="str">
        <f>IF(Sistema!AY64="","",Sistema!AY64)</f>
        <v/>
      </c>
      <c r="AZ64" t="str">
        <f>IF(Sistema!AZ64="","",Sistema!AZ64)</f>
        <v/>
      </c>
      <c r="BA64" t="str">
        <f>IF(Sistema!BA64="","",Sistema!BA64)</f>
        <v/>
      </c>
      <c r="BB64" t="str">
        <f>IF(Sistema!BB64="","",Sistema!BB64)</f>
        <v/>
      </c>
      <c r="BC64" t="str">
        <f>IF(Sistema!BC64="","",Sistema!BC64)</f>
        <v/>
      </c>
      <c r="BD64" t="str">
        <f>IF(Sistema!BD64="","",Sistema!BD64)</f>
        <v/>
      </c>
      <c r="BE64" t="str">
        <f>IF(Sistema!BE64="","",Sistema!BE64)</f>
        <v/>
      </c>
      <c r="BF64" t="str">
        <f>IF(Sistema!BF64="","",Sistema!BF64)</f>
        <v/>
      </c>
      <c r="BG64" t="str">
        <f>IF(Sistema!BG64="","",Sistema!BG64)</f>
        <v/>
      </c>
      <c r="BH64" t="str">
        <f>IF(Sistema!BH64="","",Sistema!BH64)</f>
        <v/>
      </c>
      <c r="BI64" t="str">
        <f>IF(Sistema!BI64="","",Sistema!BI64)</f>
        <v/>
      </c>
      <c r="BJ64" t="str">
        <f>IF(Sistema!BJ64="","",Sistema!BJ64)</f>
        <v/>
      </c>
      <c r="BK64" t="str">
        <f>IF(Sistema!BK64="","",Sistema!BK64)</f>
        <v/>
      </c>
      <c r="BL64" t="str">
        <f>IF(Sistema!BL64="","",Sistema!BL64)</f>
        <v/>
      </c>
      <c r="BM64" t="str">
        <f>IF(Sistema!BM64="","",Sistema!BM64)</f>
        <v/>
      </c>
      <c r="BN64" t="str">
        <f>IF(Sistema!BN64="","",Sistema!BN64)</f>
        <v/>
      </c>
      <c r="BO64" t="str">
        <f>IF(Sistema!BO64="","",Sistema!BO64)</f>
        <v/>
      </c>
      <c r="BP64" t="str">
        <f>IF(Sistema!BP64="","",Sistema!BP64)</f>
        <v/>
      </c>
      <c r="BQ64" t="str">
        <f>IF(Sistema!BQ64="","",Sistema!BQ64)</f>
        <v/>
      </c>
      <c r="BR64" t="str">
        <f>IF(Sistema!BR64="","",Sistema!BR64)</f>
        <v/>
      </c>
      <c r="BS64" t="str">
        <f>IF(Sistema!BS64="","",Sistema!BS64)</f>
        <v/>
      </c>
      <c r="BT64" t="str">
        <f>IF(Sistema!BT64="","",Sistema!BT64)</f>
        <v/>
      </c>
      <c r="BU64" t="str">
        <f>IF(Sistema!BU64="","",Sistema!BU64)</f>
        <v/>
      </c>
      <c r="BV64" t="str">
        <f>IF(Sistema!BV64="","",Sistema!BV64)</f>
        <v/>
      </c>
      <c r="BW64" t="str">
        <f>IF(Sistema!BW64="","",Sistema!BW64)</f>
        <v/>
      </c>
      <c r="BX64" t="str">
        <f>IF(Sistema!BX64="","",Sistema!BX64)</f>
        <v/>
      </c>
      <c r="BY64" t="str">
        <f>IF(Sistema!BY64="","",Sistema!BY64)</f>
        <v/>
      </c>
      <c r="BZ64" t="str">
        <f>IF(Sistema!BZ64="","",Sistema!BZ64)</f>
        <v/>
      </c>
      <c r="CA64" t="str">
        <f>IF(Sistema!CA64="","",Sistema!CA64)</f>
        <v/>
      </c>
      <c r="CB64" t="str">
        <f>IF(Sistema!CB64="","",Sistema!CB64)</f>
        <v/>
      </c>
      <c r="CC64" t="str">
        <f>IF(Sistema!CC64="","",Sistema!CC64)</f>
        <v/>
      </c>
      <c r="CD64" t="str">
        <f>IF(Sistema!CD64="","",Sistema!CD64)</f>
        <v/>
      </c>
    </row>
    <row r="65" spans="1:82" x14ac:dyDescent="0.25">
      <c r="A65" t="str">
        <f>IF(Sistema!A65="","",Sistema!A65)</f>
        <v/>
      </c>
      <c r="B65" t="str">
        <f>IF(Sistema!B65="","",Sistema!B65)</f>
        <v/>
      </c>
      <c r="C65" t="str">
        <f>IF(Sistema!C65="","",Sistema!C65)</f>
        <v/>
      </c>
      <c r="D65" t="str">
        <f>IF(Sistema!D65="","",Sistema!D65)</f>
        <v/>
      </c>
      <c r="E65" t="str">
        <f>IF(Sistema!E65="","",Sistema!E65)</f>
        <v/>
      </c>
      <c r="F65">
        <f>IF(P65&gt;0,1,IF(Sistema!F65=0,-1,1))</f>
        <v>-1</v>
      </c>
      <c r="G65">
        <f>Sistema!G65</f>
        <v>0</v>
      </c>
      <c r="H65" t="str">
        <f>IF(OR(R65="notify",R65=1),"visible",IF(OR(Sistema!F65=-1,Sistema!F65=0,ISNUMBER(SEARCH("PCK",E65))),"hidden",IF(P65&gt;0,"visible","hidden")))</f>
        <v>hidden</v>
      </c>
      <c r="I65" t="str">
        <f>IF(B65="simple",IF(P65&gt;0,"",IF(R65="notify",Info!C$2,"")),IF(B65="variable",IF(P65&gt;0,"",IF(R65="notify",Info!C$4,"")),""))</f>
        <v/>
      </c>
      <c r="J65" t="str">
        <f>IF(Sistema!J65="","",Sistema!J65)</f>
        <v/>
      </c>
      <c r="M65" t="str">
        <f>IF(Sistema!M65="","",Sistema!M65)</f>
        <v/>
      </c>
      <c r="N65" s="6" t="s">
        <v>1557</v>
      </c>
      <c r="O65" s="6">
        <v>1</v>
      </c>
      <c r="P65">
        <f>Sistema!P65</f>
        <v>0</v>
      </c>
      <c r="Q65">
        <f>Sistema!Q65</f>
        <v>0</v>
      </c>
      <c r="R65">
        <f>IF(Sistema!R65=1,"notify",Sistema!R65)</f>
        <v>0</v>
      </c>
      <c r="T65" t="str">
        <f>IF(Sistema!T65="","",Sistema!T65)</f>
        <v/>
      </c>
      <c r="U65" t="str">
        <f>IF(Sistema!U65="","",Sistema!U65)</f>
        <v/>
      </c>
      <c r="V65" t="str">
        <f>IF(Sistema!V65="","",Sistema!V65)</f>
        <v/>
      </c>
      <c r="W65" t="str">
        <f>IF(Sistema!W65="","",Sistema!W65)</f>
        <v/>
      </c>
      <c r="X65" s="6">
        <v>1</v>
      </c>
      <c r="Z65" t="str">
        <f>IF(Sistema!Z65="","",Sistema!Z65)</f>
        <v/>
      </c>
      <c r="AA65" t="str">
        <f>IF(Sistema!AA65="","",Sistema!AA65)</f>
        <v/>
      </c>
      <c r="AB65" t="str">
        <f>IF(Sistema!AB65="","",IF(OR(ISNUMBER(SEARCH("MKP",E65)),ISNUMBER(SEARCH("MKP",C65))),"Marketplace &gt; "&amp;Sistema!AB65,Sistema!AB65))</f>
        <v/>
      </c>
      <c r="AC65" t="str">
        <f>IF(Sistema!AC65="","",Sistema!AC65)</f>
        <v/>
      </c>
      <c r="AE65" t="str">
        <f>IF(Sistema!AE65="","",Sistema!AE65)</f>
        <v/>
      </c>
      <c r="AH65" t="str">
        <f>IF(Sistema!AH65="","",Sistema!AH65)</f>
        <v/>
      </c>
      <c r="AQ65" t="str">
        <f>IF(Sistema!AQ65="","",Sistema!AQ65)</f>
        <v/>
      </c>
      <c r="AR65" t="str">
        <f>IF(Sistema!AR65="","",Sistema!AR65)</f>
        <v/>
      </c>
      <c r="AS65" t="str">
        <f>IF(Sistema!AS65="","",Sistema!AS65)</f>
        <v/>
      </c>
      <c r="AT65" t="str">
        <f>IF(Sistema!AT65="","",Sistema!AT65)</f>
        <v/>
      </c>
      <c r="AU65" t="str">
        <f>IF(Sistema!AU65="","",Sistema!AU65)</f>
        <v/>
      </c>
      <c r="AV65" t="str">
        <f>IF(Sistema!AV65="","",Sistema!AV65)</f>
        <v/>
      </c>
      <c r="AW65" t="str">
        <f>IF(Sistema!AW65="","",Sistema!AW65)</f>
        <v/>
      </c>
      <c r="AX65" t="str">
        <f>IF(Sistema!AX65="","",Sistema!AX65)</f>
        <v/>
      </c>
      <c r="AY65" t="str">
        <f>IF(Sistema!AY65="","",Sistema!AY65)</f>
        <v/>
      </c>
      <c r="AZ65" t="str">
        <f>IF(Sistema!AZ65="","",Sistema!AZ65)</f>
        <v/>
      </c>
      <c r="BA65" t="str">
        <f>IF(Sistema!BA65="","",Sistema!BA65)</f>
        <v/>
      </c>
      <c r="BB65" t="str">
        <f>IF(Sistema!BB65="","",Sistema!BB65)</f>
        <v/>
      </c>
      <c r="BC65" t="str">
        <f>IF(Sistema!BC65="","",Sistema!BC65)</f>
        <v/>
      </c>
      <c r="BD65" t="str">
        <f>IF(Sistema!BD65="","",Sistema!BD65)</f>
        <v/>
      </c>
      <c r="BE65" t="str">
        <f>IF(Sistema!BE65="","",Sistema!BE65)</f>
        <v/>
      </c>
      <c r="BF65" t="str">
        <f>IF(Sistema!BF65="","",Sistema!BF65)</f>
        <v/>
      </c>
      <c r="BG65" t="str">
        <f>IF(Sistema!BG65="","",Sistema!BG65)</f>
        <v/>
      </c>
      <c r="BH65" t="str">
        <f>IF(Sistema!BH65="","",Sistema!BH65)</f>
        <v/>
      </c>
      <c r="BI65" t="str">
        <f>IF(Sistema!BI65="","",Sistema!BI65)</f>
        <v/>
      </c>
      <c r="BJ65" t="str">
        <f>IF(Sistema!BJ65="","",Sistema!BJ65)</f>
        <v/>
      </c>
      <c r="BK65" t="str">
        <f>IF(Sistema!BK65="","",Sistema!BK65)</f>
        <v/>
      </c>
      <c r="BL65" t="str">
        <f>IF(Sistema!BL65="","",Sistema!BL65)</f>
        <v/>
      </c>
      <c r="BM65" t="str">
        <f>IF(Sistema!BM65="","",Sistema!BM65)</f>
        <v/>
      </c>
      <c r="BN65" t="str">
        <f>IF(Sistema!BN65="","",Sistema!BN65)</f>
        <v/>
      </c>
      <c r="BO65" t="str">
        <f>IF(Sistema!BO65="","",Sistema!BO65)</f>
        <v/>
      </c>
      <c r="BP65" t="str">
        <f>IF(Sistema!BP65="","",Sistema!BP65)</f>
        <v/>
      </c>
      <c r="BQ65" t="str">
        <f>IF(Sistema!BQ65="","",Sistema!BQ65)</f>
        <v/>
      </c>
      <c r="BR65" t="str">
        <f>IF(Sistema!BR65="","",Sistema!BR65)</f>
        <v/>
      </c>
      <c r="BS65" t="str">
        <f>IF(Sistema!BS65="","",Sistema!BS65)</f>
        <v/>
      </c>
      <c r="BT65" t="str">
        <f>IF(Sistema!BT65="","",Sistema!BT65)</f>
        <v/>
      </c>
      <c r="BU65" t="str">
        <f>IF(Sistema!BU65="","",Sistema!BU65)</f>
        <v/>
      </c>
      <c r="BV65" t="str">
        <f>IF(Sistema!BV65="","",Sistema!BV65)</f>
        <v/>
      </c>
      <c r="BW65" t="str">
        <f>IF(Sistema!BW65="","",Sistema!BW65)</f>
        <v/>
      </c>
      <c r="BX65" t="str">
        <f>IF(Sistema!BX65="","",Sistema!BX65)</f>
        <v/>
      </c>
      <c r="BY65" t="str">
        <f>IF(Sistema!BY65="","",Sistema!BY65)</f>
        <v/>
      </c>
      <c r="BZ65" t="str">
        <f>IF(Sistema!BZ65="","",Sistema!BZ65)</f>
        <v/>
      </c>
      <c r="CA65" t="str">
        <f>IF(Sistema!CA65="","",Sistema!CA65)</f>
        <v/>
      </c>
      <c r="CB65" t="str">
        <f>IF(Sistema!CB65="","",Sistema!CB65)</f>
        <v/>
      </c>
      <c r="CC65" t="str">
        <f>IF(Sistema!CC65="","",Sistema!CC65)</f>
        <v/>
      </c>
      <c r="CD65" t="str">
        <f>IF(Sistema!CD65="","",Sistema!CD65)</f>
        <v/>
      </c>
    </row>
    <row r="66" spans="1:82" x14ac:dyDescent="0.25">
      <c r="A66" t="str">
        <f>IF(Sistema!A66="","",Sistema!A66)</f>
        <v/>
      </c>
      <c r="B66" t="str">
        <f>IF(Sistema!B66="","",Sistema!B66)</f>
        <v/>
      </c>
      <c r="C66" t="str">
        <f>IF(Sistema!C66="","",Sistema!C66)</f>
        <v/>
      </c>
      <c r="D66" t="str">
        <f>IF(Sistema!D66="","",Sistema!D66)</f>
        <v/>
      </c>
      <c r="E66" t="str">
        <f>IF(Sistema!E66="","",Sistema!E66)</f>
        <v/>
      </c>
      <c r="F66">
        <f>IF(P66&gt;0,1,IF(Sistema!F66=0,-1,1))</f>
        <v>-1</v>
      </c>
      <c r="G66">
        <f>Sistema!G66</f>
        <v>0</v>
      </c>
      <c r="H66" t="str">
        <f>IF(OR(R66="notify",R66=1),"visible",IF(OR(Sistema!F66=-1,Sistema!F66=0,ISNUMBER(SEARCH("PCK",E66))),"hidden",IF(P66&gt;0,"visible","hidden")))</f>
        <v>hidden</v>
      </c>
      <c r="I66" t="str">
        <f>IF(B66="simple",IF(P66&gt;0,"",IF(R66="notify",Info!C$2,"")),IF(B66="variable",IF(P66&gt;0,"",IF(R66="notify",Info!C$4,"")),""))</f>
        <v/>
      </c>
      <c r="J66" t="str">
        <f>IF(Sistema!J66="","",Sistema!J66)</f>
        <v/>
      </c>
      <c r="M66" t="str">
        <f>IF(Sistema!M66="","",Sistema!M66)</f>
        <v/>
      </c>
      <c r="N66" s="6" t="s">
        <v>1557</v>
      </c>
      <c r="O66" s="6">
        <v>1</v>
      </c>
      <c r="P66">
        <f>Sistema!P66</f>
        <v>0</v>
      </c>
      <c r="Q66">
        <f>Sistema!Q66</f>
        <v>0</v>
      </c>
      <c r="R66">
        <f>IF(Sistema!R66=1,"notify",Sistema!R66)</f>
        <v>0</v>
      </c>
      <c r="T66" t="str">
        <f>IF(Sistema!T66="","",Sistema!T66)</f>
        <v/>
      </c>
      <c r="U66" t="str">
        <f>IF(Sistema!U66="","",Sistema!U66)</f>
        <v/>
      </c>
      <c r="V66" t="str">
        <f>IF(Sistema!V66="","",Sistema!V66)</f>
        <v/>
      </c>
      <c r="W66" t="str">
        <f>IF(Sistema!W66="","",Sistema!W66)</f>
        <v/>
      </c>
      <c r="X66" s="6">
        <v>1</v>
      </c>
      <c r="Z66" t="str">
        <f>IF(Sistema!Z66="","",Sistema!Z66)</f>
        <v/>
      </c>
      <c r="AA66" t="str">
        <f>IF(Sistema!AA66="","",Sistema!AA66)</f>
        <v/>
      </c>
      <c r="AB66" t="str">
        <f>IF(Sistema!AB66="","",IF(OR(ISNUMBER(SEARCH("MKP",E66)),ISNUMBER(SEARCH("MKP",C66))),"Marketplace &gt; "&amp;Sistema!AB66,Sistema!AB66))</f>
        <v/>
      </c>
      <c r="AC66" t="str">
        <f>IF(Sistema!AC66="","",Sistema!AC66)</f>
        <v/>
      </c>
      <c r="AE66" t="str">
        <f>IF(Sistema!AE66="","",Sistema!AE66)</f>
        <v/>
      </c>
      <c r="AH66" t="str">
        <f>IF(Sistema!AH66="","",Sistema!AH66)</f>
        <v/>
      </c>
      <c r="AQ66" t="str">
        <f>IF(Sistema!AQ66="","",Sistema!AQ66)</f>
        <v/>
      </c>
      <c r="AR66" t="str">
        <f>IF(Sistema!AR66="","",Sistema!AR66)</f>
        <v/>
      </c>
      <c r="AS66" t="str">
        <f>IF(Sistema!AS66="","",Sistema!AS66)</f>
        <v/>
      </c>
      <c r="AT66" t="str">
        <f>IF(Sistema!AT66="","",Sistema!AT66)</f>
        <v/>
      </c>
      <c r="AU66" t="str">
        <f>IF(Sistema!AU66="","",Sistema!AU66)</f>
        <v/>
      </c>
      <c r="AV66" t="str">
        <f>IF(Sistema!AV66="","",Sistema!AV66)</f>
        <v/>
      </c>
      <c r="AW66" t="str">
        <f>IF(Sistema!AW66="","",Sistema!AW66)</f>
        <v/>
      </c>
      <c r="AX66" t="str">
        <f>IF(Sistema!AX66="","",Sistema!AX66)</f>
        <v/>
      </c>
      <c r="AY66" t="str">
        <f>IF(Sistema!AY66="","",Sistema!AY66)</f>
        <v/>
      </c>
      <c r="AZ66" t="str">
        <f>IF(Sistema!AZ66="","",Sistema!AZ66)</f>
        <v/>
      </c>
      <c r="BA66" t="str">
        <f>IF(Sistema!BA66="","",Sistema!BA66)</f>
        <v/>
      </c>
      <c r="BB66" t="str">
        <f>IF(Sistema!BB66="","",Sistema!BB66)</f>
        <v/>
      </c>
      <c r="BC66" t="str">
        <f>IF(Sistema!BC66="","",Sistema!BC66)</f>
        <v/>
      </c>
      <c r="BD66" t="str">
        <f>IF(Sistema!BD66="","",Sistema!BD66)</f>
        <v/>
      </c>
      <c r="BE66" t="str">
        <f>IF(Sistema!BE66="","",Sistema!BE66)</f>
        <v/>
      </c>
      <c r="BF66" t="str">
        <f>IF(Sistema!BF66="","",Sistema!BF66)</f>
        <v/>
      </c>
      <c r="BG66" t="str">
        <f>IF(Sistema!BG66="","",Sistema!BG66)</f>
        <v/>
      </c>
      <c r="BH66" t="str">
        <f>IF(Sistema!BH66="","",Sistema!BH66)</f>
        <v/>
      </c>
      <c r="BI66" t="str">
        <f>IF(Sistema!BI66="","",Sistema!BI66)</f>
        <v/>
      </c>
      <c r="BJ66" t="str">
        <f>IF(Sistema!BJ66="","",Sistema!BJ66)</f>
        <v/>
      </c>
      <c r="BK66" t="str">
        <f>IF(Sistema!BK66="","",Sistema!BK66)</f>
        <v/>
      </c>
      <c r="BL66" t="str">
        <f>IF(Sistema!BL66="","",Sistema!BL66)</f>
        <v/>
      </c>
      <c r="BM66" t="str">
        <f>IF(Sistema!BM66="","",Sistema!BM66)</f>
        <v/>
      </c>
      <c r="BN66" t="str">
        <f>IF(Sistema!BN66="","",Sistema!BN66)</f>
        <v/>
      </c>
      <c r="BO66" t="str">
        <f>IF(Sistema!BO66="","",Sistema!BO66)</f>
        <v/>
      </c>
      <c r="BP66" t="str">
        <f>IF(Sistema!BP66="","",Sistema!BP66)</f>
        <v/>
      </c>
      <c r="BQ66" t="str">
        <f>IF(Sistema!BQ66="","",Sistema!BQ66)</f>
        <v/>
      </c>
      <c r="BR66" t="str">
        <f>IF(Sistema!BR66="","",Sistema!BR66)</f>
        <v/>
      </c>
      <c r="BS66" t="str">
        <f>IF(Sistema!BS66="","",Sistema!BS66)</f>
        <v/>
      </c>
      <c r="BT66" t="str">
        <f>IF(Sistema!BT66="","",Sistema!BT66)</f>
        <v/>
      </c>
      <c r="BU66" t="str">
        <f>IF(Sistema!BU66="","",Sistema!BU66)</f>
        <v/>
      </c>
      <c r="BV66" t="str">
        <f>IF(Sistema!BV66="","",Sistema!BV66)</f>
        <v/>
      </c>
      <c r="BW66" t="str">
        <f>IF(Sistema!BW66="","",Sistema!BW66)</f>
        <v/>
      </c>
      <c r="BX66" t="str">
        <f>IF(Sistema!BX66="","",Sistema!BX66)</f>
        <v/>
      </c>
      <c r="BY66" t="str">
        <f>IF(Sistema!BY66="","",Sistema!BY66)</f>
        <v/>
      </c>
      <c r="BZ66" t="str">
        <f>IF(Sistema!BZ66="","",Sistema!BZ66)</f>
        <v/>
      </c>
      <c r="CA66" t="str">
        <f>IF(Sistema!CA66="","",Sistema!CA66)</f>
        <v/>
      </c>
      <c r="CB66" t="str">
        <f>IF(Sistema!CB66="","",Sistema!CB66)</f>
        <v/>
      </c>
      <c r="CC66" t="str">
        <f>IF(Sistema!CC66="","",Sistema!CC66)</f>
        <v/>
      </c>
      <c r="CD66" t="str">
        <f>IF(Sistema!CD66="","",Sistema!CD66)</f>
        <v/>
      </c>
    </row>
    <row r="67" spans="1:82" x14ac:dyDescent="0.25">
      <c r="A67" t="str">
        <f>IF(Sistema!A67="","",Sistema!A67)</f>
        <v/>
      </c>
      <c r="B67" t="str">
        <f>IF(Sistema!B67="","",Sistema!B67)</f>
        <v/>
      </c>
      <c r="C67" t="str">
        <f>IF(Sistema!C67="","",Sistema!C67)</f>
        <v/>
      </c>
      <c r="D67" t="str">
        <f>IF(Sistema!D67="","",Sistema!D67)</f>
        <v/>
      </c>
      <c r="E67" t="str">
        <f>IF(Sistema!E67="","",Sistema!E67)</f>
        <v/>
      </c>
      <c r="F67">
        <f>IF(P67&gt;0,1,IF(Sistema!F67=0,-1,1))</f>
        <v>-1</v>
      </c>
      <c r="G67">
        <f>Sistema!G67</f>
        <v>0</v>
      </c>
      <c r="H67" t="str">
        <f>IF(OR(R67="notify",R67=1),"visible",IF(OR(Sistema!F67=-1,Sistema!F67=0,ISNUMBER(SEARCH("PCK",E67))),"hidden",IF(P67&gt;0,"visible","hidden")))</f>
        <v>hidden</v>
      </c>
      <c r="I67" t="str">
        <f>IF(B67="simple",IF(P67&gt;0,"",IF(R67="notify",Info!C$2,"")),IF(B67="variable",IF(P67&gt;0,"",IF(R67="notify",Info!C$4,"")),""))</f>
        <v/>
      </c>
      <c r="J67" t="str">
        <f>IF(Sistema!J67="","",Sistema!J67)</f>
        <v/>
      </c>
      <c r="M67" t="str">
        <f>IF(Sistema!M67="","",Sistema!M67)</f>
        <v/>
      </c>
      <c r="N67" s="6" t="s">
        <v>1557</v>
      </c>
      <c r="O67" s="6">
        <v>1</v>
      </c>
      <c r="P67">
        <f>Sistema!P67</f>
        <v>0</v>
      </c>
      <c r="Q67">
        <f>Sistema!Q67</f>
        <v>0</v>
      </c>
      <c r="R67">
        <f>IF(Sistema!R67=1,"notify",Sistema!R67)</f>
        <v>0</v>
      </c>
      <c r="T67" t="str">
        <f>IF(Sistema!T67="","",Sistema!T67)</f>
        <v/>
      </c>
      <c r="U67" t="str">
        <f>IF(Sistema!U67="","",Sistema!U67)</f>
        <v/>
      </c>
      <c r="V67" t="str">
        <f>IF(Sistema!V67="","",Sistema!V67)</f>
        <v/>
      </c>
      <c r="W67" t="str">
        <f>IF(Sistema!W67="","",Sistema!W67)</f>
        <v/>
      </c>
      <c r="X67" s="6">
        <v>1</v>
      </c>
      <c r="Z67" t="str">
        <f>IF(Sistema!Z67="","",Sistema!Z67)</f>
        <v/>
      </c>
      <c r="AA67" t="str">
        <f>IF(Sistema!AA67="","",Sistema!AA67)</f>
        <v/>
      </c>
      <c r="AB67" t="str">
        <f>IF(Sistema!AB67="","",IF(OR(ISNUMBER(SEARCH("MKP",E67)),ISNUMBER(SEARCH("MKP",C67))),"Marketplace &gt; "&amp;Sistema!AB67,Sistema!AB67))</f>
        <v/>
      </c>
      <c r="AC67" t="str">
        <f>IF(Sistema!AC67="","",Sistema!AC67)</f>
        <v/>
      </c>
      <c r="AE67" t="str">
        <f>IF(Sistema!AE67="","",Sistema!AE67)</f>
        <v/>
      </c>
      <c r="AH67" t="str">
        <f>IF(Sistema!AH67="","",Sistema!AH67)</f>
        <v/>
      </c>
      <c r="AQ67" t="str">
        <f>IF(Sistema!AQ67="","",Sistema!AQ67)</f>
        <v/>
      </c>
      <c r="AR67" t="str">
        <f>IF(Sistema!AR67="","",Sistema!AR67)</f>
        <v/>
      </c>
      <c r="AS67" t="str">
        <f>IF(Sistema!AS67="","",Sistema!AS67)</f>
        <v/>
      </c>
      <c r="AT67" t="str">
        <f>IF(Sistema!AT67="","",Sistema!AT67)</f>
        <v/>
      </c>
      <c r="AU67" t="str">
        <f>IF(Sistema!AU67="","",Sistema!AU67)</f>
        <v/>
      </c>
      <c r="AV67" t="str">
        <f>IF(Sistema!AV67="","",Sistema!AV67)</f>
        <v/>
      </c>
      <c r="AW67" t="str">
        <f>IF(Sistema!AW67="","",Sistema!AW67)</f>
        <v/>
      </c>
      <c r="AX67" t="str">
        <f>IF(Sistema!AX67="","",Sistema!AX67)</f>
        <v/>
      </c>
      <c r="AY67" t="str">
        <f>IF(Sistema!AY67="","",Sistema!AY67)</f>
        <v/>
      </c>
      <c r="AZ67" t="str">
        <f>IF(Sistema!AZ67="","",Sistema!AZ67)</f>
        <v/>
      </c>
      <c r="BA67" t="str">
        <f>IF(Sistema!BA67="","",Sistema!BA67)</f>
        <v/>
      </c>
      <c r="BB67" t="str">
        <f>IF(Sistema!BB67="","",Sistema!BB67)</f>
        <v/>
      </c>
      <c r="BC67" t="str">
        <f>IF(Sistema!BC67="","",Sistema!BC67)</f>
        <v/>
      </c>
      <c r="BD67" t="str">
        <f>IF(Sistema!BD67="","",Sistema!BD67)</f>
        <v/>
      </c>
      <c r="BE67" t="str">
        <f>IF(Sistema!BE67="","",Sistema!BE67)</f>
        <v/>
      </c>
      <c r="BF67" t="str">
        <f>IF(Sistema!BF67="","",Sistema!BF67)</f>
        <v/>
      </c>
      <c r="BG67" t="str">
        <f>IF(Sistema!BG67="","",Sistema!BG67)</f>
        <v/>
      </c>
      <c r="BH67" t="str">
        <f>IF(Sistema!BH67="","",Sistema!BH67)</f>
        <v/>
      </c>
      <c r="BI67" t="str">
        <f>IF(Sistema!BI67="","",Sistema!BI67)</f>
        <v/>
      </c>
      <c r="BJ67" t="str">
        <f>IF(Sistema!BJ67="","",Sistema!BJ67)</f>
        <v/>
      </c>
      <c r="BK67" t="str">
        <f>IF(Sistema!BK67="","",Sistema!BK67)</f>
        <v/>
      </c>
      <c r="BL67" t="str">
        <f>IF(Sistema!BL67="","",Sistema!BL67)</f>
        <v/>
      </c>
      <c r="BM67" t="str">
        <f>IF(Sistema!BM67="","",Sistema!BM67)</f>
        <v/>
      </c>
      <c r="BN67" t="str">
        <f>IF(Sistema!BN67="","",Sistema!BN67)</f>
        <v/>
      </c>
      <c r="BO67" t="str">
        <f>IF(Sistema!BO67="","",Sistema!BO67)</f>
        <v/>
      </c>
      <c r="BP67" t="str">
        <f>IF(Sistema!BP67="","",Sistema!BP67)</f>
        <v/>
      </c>
      <c r="BQ67" t="str">
        <f>IF(Sistema!BQ67="","",Sistema!BQ67)</f>
        <v/>
      </c>
      <c r="BR67" t="str">
        <f>IF(Sistema!BR67="","",Sistema!BR67)</f>
        <v/>
      </c>
      <c r="BS67" t="str">
        <f>IF(Sistema!BS67="","",Sistema!BS67)</f>
        <v/>
      </c>
      <c r="BT67" t="str">
        <f>IF(Sistema!BT67="","",Sistema!BT67)</f>
        <v/>
      </c>
      <c r="BU67" t="str">
        <f>IF(Sistema!BU67="","",Sistema!BU67)</f>
        <v/>
      </c>
      <c r="BV67" t="str">
        <f>IF(Sistema!BV67="","",Sistema!BV67)</f>
        <v/>
      </c>
      <c r="BW67" t="str">
        <f>IF(Sistema!BW67="","",Sistema!BW67)</f>
        <v/>
      </c>
      <c r="BX67" t="str">
        <f>IF(Sistema!BX67="","",Sistema!BX67)</f>
        <v/>
      </c>
      <c r="BY67" t="str">
        <f>IF(Sistema!BY67="","",Sistema!BY67)</f>
        <v/>
      </c>
      <c r="BZ67" t="str">
        <f>IF(Sistema!BZ67="","",Sistema!BZ67)</f>
        <v/>
      </c>
      <c r="CA67" t="str">
        <f>IF(Sistema!CA67="","",Sistema!CA67)</f>
        <v/>
      </c>
      <c r="CB67" t="str">
        <f>IF(Sistema!CB67="","",Sistema!CB67)</f>
        <v/>
      </c>
      <c r="CC67" t="str">
        <f>IF(Sistema!CC67="","",Sistema!CC67)</f>
        <v/>
      </c>
      <c r="CD67" t="str">
        <f>IF(Sistema!CD67="","",Sistema!CD67)</f>
        <v/>
      </c>
    </row>
    <row r="68" spans="1:82" x14ac:dyDescent="0.25">
      <c r="A68" t="str">
        <f>IF(Sistema!A68="","",Sistema!A68)</f>
        <v/>
      </c>
      <c r="B68" t="str">
        <f>IF(Sistema!B68="","",Sistema!B68)</f>
        <v/>
      </c>
      <c r="C68" t="str">
        <f>IF(Sistema!C68="","",Sistema!C68)</f>
        <v/>
      </c>
      <c r="D68" t="str">
        <f>IF(Sistema!D68="","",Sistema!D68)</f>
        <v/>
      </c>
      <c r="E68" t="str">
        <f>IF(Sistema!E68="","",Sistema!E68)</f>
        <v/>
      </c>
      <c r="F68">
        <f>IF(P68&gt;0,1,IF(Sistema!F68=0,-1,1))</f>
        <v>-1</v>
      </c>
      <c r="G68">
        <f>Sistema!G68</f>
        <v>0</v>
      </c>
      <c r="H68" t="str">
        <f>IF(OR(R68="notify",R68=1),"visible",IF(OR(Sistema!F68=-1,Sistema!F68=0,ISNUMBER(SEARCH("PCK",E68))),"hidden",IF(P68&gt;0,"visible","hidden")))</f>
        <v>hidden</v>
      </c>
      <c r="I68" t="str">
        <f>IF(B68="simple",IF(P68&gt;0,"",IF(R68="notify",Info!C$2,"")),IF(B68="variable",IF(P68&gt;0,"",IF(R68="notify",Info!C$4,"")),""))</f>
        <v/>
      </c>
      <c r="J68" t="str">
        <f>IF(Sistema!J68="","",Sistema!J68)</f>
        <v/>
      </c>
      <c r="M68" t="str">
        <f>IF(Sistema!M68="","",Sistema!M68)</f>
        <v/>
      </c>
      <c r="N68" s="6" t="s">
        <v>1557</v>
      </c>
      <c r="O68" s="6">
        <v>1</v>
      </c>
      <c r="P68">
        <f>Sistema!P68</f>
        <v>0</v>
      </c>
      <c r="Q68">
        <f>Sistema!Q68</f>
        <v>0</v>
      </c>
      <c r="R68">
        <f>IF(Sistema!R68=1,"notify",Sistema!R68)</f>
        <v>0</v>
      </c>
      <c r="T68" t="str">
        <f>IF(Sistema!T68="","",Sistema!T68)</f>
        <v/>
      </c>
      <c r="U68" t="str">
        <f>IF(Sistema!U68="","",Sistema!U68)</f>
        <v/>
      </c>
      <c r="V68" t="str">
        <f>IF(Sistema!V68="","",Sistema!V68)</f>
        <v/>
      </c>
      <c r="W68" t="str">
        <f>IF(Sistema!W68="","",Sistema!W68)</f>
        <v/>
      </c>
      <c r="X68" s="6">
        <v>1</v>
      </c>
      <c r="Z68" t="str">
        <f>IF(Sistema!Z68="","",Sistema!Z68)</f>
        <v/>
      </c>
      <c r="AA68" t="str">
        <f>IF(Sistema!AA68="","",Sistema!AA68)</f>
        <v/>
      </c>
      <c r="AB68" t="str">
        <f>IF(Sistema!AB68="","",IF(OR(ISNUMBER(SEARCH("MKP",E68)),ISNUMBER(SEARCH("MKP",C68))),"Marketplace &gt; "&amp;Sistema!AB68,Sistema!AB68))</f>
        <v/>
      </c>
      <c r="AC68" t="str">
        <f>IF(Sistema!AC68="","",Sistema!AC68)</f>
        <v/>
      </c>
      <c r="AE68" t="str">
        <f>IF(Sistema!AE68="","",Sistema!AE68)</f>
        <v/>
      </c>
      <c r="AH68" t="str">
        <f>IF(Sistema!AH68="","",Sistema!AH68)</f>
        <v/>
      </c>
      <c r="AQ68" t="str">
        <f>IF(Sistema!AQ68="","",Sistema!AQ68)</f>
        <v/>
      </c>
      <c r="AR68" t="str">
        <f>IF(Sistema!AR68="","",Sistema!AR68)</f>
        <v/>
      </c>
      <c r="AS68" t="str">
        <f>IF(Sistema!AS68="","",Sistema!AS68)</f>
        <v/>
      </c>
      <c r="AT68" t="str">
        <f>IF(Sistema!AT68="","",Sistema!AT68)</f>
        <v/>
      </c>
      <c r="AU68" t="str">
        <f>IF(Sistema!AU68="","",Sistema!AU68)</f>
        <v/>
      </c>
      <c r="AV68" t="str">
        <f>IF(Sistema!AV68="","",Sistema!AV68)</f>
        <v/>
      </c>
      <c r="AW68" t="str">
        <f>IF(Sistema!AW68="","",Sistema!AW68)</f>
        <v/>
      </c>
      <c r="AX68" t="str">
        <f>IF(Sistema!AX68="","",Sistema!AX68)</f>
        <v/>
      </c>
      <c r="AY68" t="str">
        <f>IF(Sistema!AY68="","",Sistema!AY68)</f>
        <v/>
      </c>
      <c r="AZ68" t="str">
        <f>IF(Sistema!AZ68="","",Sistema!AZ68)</f>
        <v/>
      </c>
      <c r="BA68" t="str">
        <f>IF(Sistema!BA68="","",Sistema!BA68)</f>
        <v/>
      </c>
      <c r="BB68" t="str">
        <f>IF(Sistema!BB68="","",Sistema!BB68)</f>
        <v/>
      </c>
      <c r="BC68" t="str">
        <f>IF(Sistema!BC68="","",Sistema!BC68)</f>
        <v/>
      </c>
      <c r="BD68" t="str">
        <f>IF(Sistema!BD68="","",Sistema!BD68)</f>
        <v/>
      </c>
      <c r="BE68" t="str">
        <f>IF(Sistema!BE68="","",Sistema!BE68)</f>
        <v/>
      </c>
      <c r="BF68" t="str">
        <f>IF(Sistema!BF68="","",Sistema!BF68)</f>
        <v/>
      </c>
      <c r="BG68" t="str">
        <f>IF(Sistema!BG68="","",Sistema!BG68)</f>
        <v/>
      </c>
      <c r="BH68" t="str">
        <f>IF(Sistema!BH68="","",Sistema!BH68)</f>
        <v/>
      </c>
      <c r="BI68" t="str">
        <f>IF(Sistema!BI68="","",Sistema!BI68)</f>
        <v/>
      </c>
      <c r="BJ68" t="str">
        <f>IF(Sistema!BJ68="","",Sistema!BJ68)</f>
        <v/>
      </c>
      <c r="BK68" t="str">
        <f>IF(Sistema!BK68="","",Sistema!BK68)</f>
        <v/>
      </c>
      <c r="BL68" t="str">
        <f>IF(Sistema!BL68="","",Sistema!BL68)</f>
        <v/>
      </c>
      <c r="BM68" t="str">
        <f>IF(Sistema!BM68="","",Sistema!BM68)</f>
        <v/>
      </c>
      <c r="BN68" t="str">
        <f>IF(Sistema!BN68="","",Sistema!BN68)</f>
        <v/>
      </c>
      <c r="BO68" t="str">
        <f>IF(Sistema!BO68="","",Sistema!BO68)</f>
        <v/>
      </c>
      <c r="BP68" t="str">
        <f>IF(Sistema!BP68="","",Sistema!BP68)</f>
        <v/>
      </c>
      <c r="BQ68" t="str">
        <f>IF(Sistema!BQ68="","",Sistema!BQ68)</f>
        <v/>
      </c>
      <c r="BR68" t="str">
        <f>IF(Sistema!BR68="","",Sistema!BR68)</f>
        <v/>
      </c>
      <c r="BS68" t="str">
        <f>IF(Sistema!BS68="","",Sistema!BS68)</f>
        <v/>
      </c>
      <c r="BT68" t="str">
        <f>IF(Sistema!BT68="","",Sistema!BT68)</f>
        <v/>
      </c>
      <c r="BU68" t="str">
        <f>IF(Sistema!BU68="","",Sistema!BU68)</f>
        <v/>
      </c>
      <c r="BV68" t="str">
        <f>IF(Sistema!BV68="","",Sistema!BV68)</f>
        <v/>
      </c>
      <c r="BW68" t="str">
        <f>IF(Sistema!BW68="","",Sistema!BW68)</f>
        <v/>
      </c>
      <c r="BX68" t="str">
        <f>IF(Sistema!BX68="","",Sistema!BX68)</f>
        <v/>
      </c>
      <c r="BY68" t="str">
        <f>IF(Sistema!BY68="","",Sistema!BY68)</f>
        <v/>
      </c>
      <c r="BZ68" t="str">
        <f>IF(Sistema!BZ68="","",Sistema!BZ68)</f>
        <v/>
      </c>
      <c r="CA68" t="str">
        <f>IF(Sistema!CA68="","",Sistema!CA68)</f>
        <v/>
      </c>
      <c r="CB68" t="str">
        <f>IF(Sistema!CB68="","",Sistema!CB68)</f>
        <v/>
      </c>
      <c r="CC68" t="str">
        <f>IF(Sistema!CC68="","",Sistema!CC68)</f>
        <v/>
      </c>
      <c r="CD68" t="str">
        <f>IF(Sistema!CD68="","",Sistema!CD68)</f>
        <v/>
      </c>
    </row>
    <row r="69" spans="1:82" x14ac:dyDescent="0.25">
      <c r="A69" t="str">
        <f>IF(Sistema!A69="","",Sistema!A69)</f>
        <v/>
      </c>
      <c r="B69" t="str">
        <f>IF(Sistema!B69="","",Sistema!B69)</f>
        <v/>
      </c>
      <c r="C69" t="str">
        <f>IF(Sistema!C69="","",Sistema!C69)</f>
        <v/>
      </c>
      <c r="D69" t="str">
        <f>IF(Sistema!D69="","",Sistema!D69)</f>
        <v/>
      </c>
      <c r="E69" t="str">
        <f>IF(Sistema!E69="","",Sistema!E69)</f>
        <v/>
      </c>
      <c r="F69">
        <f>IF(P69&gt;0,1,IF(Sistema!F69=0,-1,1))</f>
        <v>-1</v>
      </c>
      <c r="G69">
        <f>Sistema!G69</f>
        <v>0</v>
      </c>
      <c r="H69" t="str">
        <f>IF(OR(R69="notify",R69=1),"visible",IF(OR(Sistema!F69=-1,Sistema!F69=0,ISNUMBER(SEARCH("PCK",E69))),"hidden",IF(P69&gt;0,"visible","hidden")))</f>
        <v>hidden</v>
      </c>
      <c r="I69" t="str">
        <f>IF(B69="simple",IF(P69&gt;0,"",IF(R69="notify",Info!C$2,"")),IF(B69="variable",IF(P69&gt;0,"",IF(R69="notify",Info!C$4,"")),""))</f>
        <v/>
      </c>
      <c r="J69" t="str">
        <f>IF(Sistema!J69="","",Sistema!J69)</f>
        <v/>
      </c>
      <c r="M69" t="str">
        <f>IF(Sistema!M69="","",Sistema!M69)</f>
        <v/>
      </c>
      <c r="N69" s="6" t="s">
        <v>1557</v>
      </c>
      <c r="O69" s="6">
        <v>1</v>
      </c>
      <c r="P69">
        <f>Sistema!P69</f>
        <v>0</v>
      </c>
      <c r="Q69">
        <f>Sistema!Q69</f>
        <v>0</v>
      </c>
      <c r="R69">
        <f>IF(Sistema!R69=1,"notify",Sistema!R69)</f>
        <v>0</v>
      </c>
      <c r="T69" t="str">
        <f>IF(Sistema!T69="","",Sistema!T69)</f>
        <v/>
      </c>
      <c r="U69" t="str">
        <f>IF(Sistema!U69="","",Sistema!U69)</f>
        <v/>
      </c>
      <c r="V69" t="str">
        <f>IF(Sistema!V69="","",Sistema!V69)</f>
        <v/>
      </c>
      <c r="W69" t="str">
        <f>IF(Sistema!W69="","",Sistema!W69)</f>
        <v/>
      </c>
      <c r="X69" s="6">
        <v>1</v>
      </c>
      <c r="Z69" t="str">
        <f>IF(Sistema!Z69="","",Sistema!Z69)</f>
        <v/>
      </c>
      <c r="AA69" t="str">
        <f>IF(Sistema!AA69="","",Sistema!AA69)</f>
        <v/>
      </c>
      <c r="AB69" t="str">
        <f>IF(Sistema!AB69="","",IF(OR(ISNUMBER(SEARCH("MKP",E69)),ISNUMBER(SEARCH("MKP",C69))),"Marketplace &gt; "&amp;Sistema!AB69,Sistema!AB69))</f>
        <v/>
      </c>
      <c r="AC69" t="str">
        <f>IF(Sistema!AC69="","",Sistema!AC69)</f>
        <v/>
      </c>
      <c r="AE69" t="str">
        <f>IF(Sistema!AE69="","",Sistema!AE69)</f>
        <v/>
      </c>
      <c r="AH69" t="str">
        <f>IF(Sistema!AH69="","",Sistema!AH69)</f>
        <v/>
      </c>
      <c r="AQ69" t="str">
        <f>IF(Sistema!AQ69="","",Sistema!AQ69)</f>
        <v/>
      </c>
      <c r="AR69" t="str">
        <f>IF(Sistema!AR69="","",Sistema!AR69)</f>
        <v/>
      </c>
      <c r="AS69" t="str">
        <f>IF(Sistema!AS69="","",Sistema!AS69)</f>
        <v/>
      </c>
      <c r="AT69" t="str">
        <f>IF(Sistema!AT69="","",Sistema!AT69)</f>
        <v/>
      </c>
      <c r="AU69" t="str">
        <f>IF(Sistema!AU69="","",Sistema!AU69)</f>
        <v/>
      </c>
      <c r="AV69" t="str">
        <f>IF(Sistema!AV69="","",Sistema!AV69)</f>
        <v/>
      </c>
      <c r="AW69" t="str">
        <f>IF(Sistema!AW69="","",Sistema!AW69)</f>
        <v/>
      </c>
      <c r="AX69" t="str">
        <f>IF(Sistema!AX69="","",Sistema!AX69)</f>
        <v/>
      </c>
      <c r="AY69" t="str">
        <f>IF(Sistema!AY69="","",Sistema!AY69)</f>
        <v/>
      </c>
      <c r="AZ69" t="str">
        <f>IF(Sistema!AZ69="","",Sistema!AZ69)</f>
        <v/>
      </c>
      <c r="BA69" t="str">
        <f>IF(Sistema!BA69="","",Sistema!BA69)</f>
        <v/>
      </c>
      <c r="BB69" t="str">
        <f>IF(Sistema!BB69="","",Sistema!BB69)</f>
        <v/>
      </c>
      <c r="BC69" t="str">
        <f>IF(Sistema!BC69="","",Sistema!BC69)</f>
        <v/>
      </c>
      <c r="BD69" t="str">
        <f>IF(Sistema!BD69="","",Sistema!BD69)</f>
        <v/>
      </c>
      <c r="BE69" t="str">
        <f>IF(Sistema!BE69="","",Sistema!BE69)</f>
        <v/>
      </c>
      <c r="BF69" t="str">
        <f>IF(Sistema!BF69="","",Sistema!BF69)</f>
        <v/>
      </c>
      <c r="BG69" t="str">
        <f>IF(Sistema!BG69="","",Sistema!BG69)</f>
        <v/>
      </c>
      <c r="BH69" t="str">
        <f>IF(Sistema!BH69="","",Sistema!BH69)</f>
        <v/>
      </c>
      <c r="BI69" t="str">
        <f>IF(Sistema!BI69="","",Sistema!BI69)</f>
        <v/>
      </c>
      <c r="BJ69" t="str">
        <f>IF(Sistema!BJ69="","",Sistema!BJ69)</f>
        <v/>
      </c>
      <c r="BK69" t="str">
        <f>IF(Sistema!BK69="","",Sistema!BK69)</f>
        <v/>
      </c>
      <c r="BL69" t="str">
        <f>IF(Sistema!BL69="","",Sistema!BL69)</f>
        <v/>
      </c>
      <c r="BM69" t="str">
        <f>IF(Sistema!BM69="","",Sistema!BM69)</f>
        <v/>
      </c>
      <c r="BN69" t="str">
        <f>IF(Sistema!BN69="","",Sistema!BN69)</f>
        <v/>
      </c>
      <c r="BO69" t="str">
        <f>IF(Sistema!BO69="","",Sistema!BO69)</f>
        <v/>
      </c>
      <c r="BP69" t="str">
        <f>IF(Sistema!BP69="","",Sistema!BP69)</f>
        <v/>
      </c>
      <c r="BQ69" t="str">
        <f>IF(Sistema!BQ69="","",Sistema!BQ69)</f>
        <v/>
      </c>
      <c r="BR69" t="str">
        <f>IF(Sistema!BR69="","",Sistema!BR69)</f>
        <v/>
      </c>
      <c r="BS69" t="str">
        <f>IF(Sistema!BS69="","",Sistema!BS69)</f>
        <v/>
      </c>
      <c r="BT69" t="str">
        <f>IF(Sistema!BT69="","",Sistema!BT69)</f>
        <v/>
      </c>
      <c r="BU69" t="str">
        <f>IF(Sistema!BU69="","",Sistema!BU69)</f>
        <v/>
      </c>
      <c r="BV69" t="str">
        <f>IF(Sistema!BV69="","",Sistema!BV69)</f>
        <v/>
      </c>
      <c r="BW69" t="str">
        <f>IF(Sistema!BW69="","",Sistema!BW69)</f>
        <v/>
      </c>
      <c r="BX69" t="str">
        <f>IF(Sistema!BX69="","",Sistema!BX69)</f>
        <v/>
      </c>
      <c r="BY69" t="str">
        <f>IF(Sistema!BY69="","",Sistema!BY69)</f>
        <v/>
      </c>
      <c r="BZ69" t="str">
        <f>IF(Sistema!BZ69="","",Sistema!BZ69)</f>
        <v/>
      </c>
      <c r="CA69" t="str">
        <f>IF(Sistema!CA69="","",Sistema!CA69)</f>
        <v/>
      </c>
      <c r="CB69" t="str">
        <f>IF(Sistema!CB69="","",Sistema!CB69)</f>
        <v/>
      </c>
      <c r="CC69" t="str">
        <f>IF(Sistema!CC69="","",Sistema!CC69)</f>
        <v/>
      </c>
      <c r="CD69" t="str">
        <f>IF(Sistema!CD69="","",Sistema!CD69)</f>
        <v/>
      </c>
    </row>
    <row r="70" spans="1:82" x14ac:dyDescent="0.25">
      <c r="A70" t="str">
        <f>IF(Sistema!A70="","",Sistema!A70)</f>
        <v/>
      </c>
      <c r="B70" t="str">
        <f>IF(Sistema!B70="","",Sistema!B70)</f>
        <v/>
      </c>
      <c r="C70" t="str">
        <f>IF(Sistema!C70="","",Sistema!C70)</f>
        <v/>
      </c>
      <c r="D70" t="str">
        <f>IF(Sistema!D70="","",Sistema!D70)</f>
        <v/>
      </c>
      <c r="E70" t="str">
        <f>IF(Sistema!E70="","",Sistema!E70)</f>
        <v/>
      </c>
      <c r="F70">
        <f>IF(P70&gt;0,1,IF(Sistema!F70=0,-1,1))</f>
        <v>-1</v>
      </c>
      <c r="G70">
        <f>Sistema!G70</f>
        <v>0</v>
      </c>
      <c r="H70" t="str">
        <f>IF(OR(R70="notify",R70=1),"visible",IF(OR(Sistema!F70=-1,Sistema!F70=0,ISNUMBER(SEARCH("PCK",E70))),"hidden",IF(P70&gt;0,"visible","hidden")))</f>
        <v>hidden</v>
      </c>
      <c r="I70" t="str">
        <f>IF(B70="simple",IF(P70&gt;0,"",IF(R70="notify",Info!C$2,"")),IF(B70="variable",IF(P70&gt;0,"",IF(R70="notify",Info!C$4,"")),""))</f>
        <v/>
      </c>
      <c r="J70" t="str">
        <f>IF(Sistema!J70="","",Sistema!J70)</f>
        <v/>
      </c>
      <c r="M70" t="str">
        <f>IF(Sistema!M70="","",Sistema!M70)</f>
        <v/>
      </c>
      <c r="N70" s="6" t="s">
        <v>1557</v>
      </c>
      <c r="O70" s="6">
        <v>1</v>
      </c>
      <c r="P70">
        <f>Sistema!P70</f>
        <v>0</v>
      </c>
      <c r="Q70">
        <f>Sistema!Q70</f>
        <v>0</v>
      </c>
      <c r="R70">
        <f>IF(Sistema!R70=1,"notify",Sistema!R70)</f>
        <v>0</v>
      </c>
      <c r="T70" t="str">
        <f>IF(Sistema!T70="","",Sistema!T70)</f>
        <v/>
      </c>
      <c r="U70" t="str">
        <f>IF(Sistema!U70="","",Sistema!U70)</f>
        <v/>
      </c>
      <c r="V70" t="str">
        <f>IF(Sistema!V70="","",Sistema!V70)</f>
        <v/>
      </c>
      <c r="W70" t="str">
        <f>IF(Sistema!W70="","",Sistema!W70)</f>
        <v/>
      </c>
      <c r="X70" s="6">
        <v>1</v>
      </c>
      <c r="Z70" t="str">
        <f>IF(Sistema!Z70="","",Sistema!Z70)</f>
        <v/>
      </c>
      <c r="AA70" t="str">
        <f>IF(Sistema!AA70="","",Sistema!AA70)</f>
        <v/>
      </c>
      <c r="AB70" t="str">
        <f>IF(Sistema!AB70="","",IF(OR(ISNUMBER(SEARCH("MKP",E70)),ISNUMBER(SEARCH("MKP",C70))),"Marketplace &gt; "&amp;Sistema!AB70,Sistema!AB70))</f>
        <v/>
      </c>
      <c r="AC70" t="str">
        <f>IF(Sistema!AC70="","",Sistema!AC70)</f>
        <v/>
      </c>
      <c r="AE70" t="str">
        <f>IF(Sistema!AE70="","",Sistema!AE70)</f>
        <v/>
      </c>
      <c r="AH70" t="str">
        <f>IF(Sistema!AH70="","",Sistema!AH70)</f>
        <v/>
      </c>
      <c r="AQ70" t="str">
        <f>IF(Sistema!AQ70="","",Sistema!AQ70)</f>
        <v/>
      </c>
      <c r="AR70" t="str">
        <f>IF(Sistema!AR70="","",Sistema!AR70)</f>
        <v/>
      </c>
      <c r="AS70" t="str">
        <f>IF(Sistema!AS70="","",Sistema!AS70)</f>
        <v/>
      </c>
      <c r="AT70" t="str">
        <f>IF(Sistema!AT70="","",Sistema!AT70)</f>
        <v/>
      </c>
      <c r="AU70" t="str">
        <f>IF(Sistema!AU70="","",Sistema!AU70)</f>
        <v/>
      </c>
      <c r="AV70" t="str">
        <f>IF(Sistema!AV70="","",Sistema!AV70)</f>
        <v/>
      </c>
      <c r="AW70" t="str">
        <f>IF(Sistema!AW70="","",Sistema!AW70)</f>
        <v/>
      </c>
      <c r="AX70" t="str">
        <f>IF(Sistema!AX70="","",Sistema!AX70)</f>
        <v/>
      </c>
      <c r="AY70" t="str">
        <f>IF(Sistema!AY70="","",Sistema!AY70)</f>
        <v/>
      </c>
      <c r="AZ70" t="str">
        <f>IF(Sistema!AZ70="","",Sistema!AZ70)</f>
        <v/>
      </c>
      <c r="BA70" t="str">
        <f>IF(Sistema!BA70="","",Sistema!BA70)</f>
        <v/>
      </c>
      <c r="BB70" t="str">
        <f>IF(Sistema!BB70="","",Sistema!BB70)</f>
        <v/>
      </c>
      <c r="BC70" t="str">
        <f>IF(Sistema!BC70="","",Sistema!BC70)</f>
        <v/>
      </c>
      <c r="BD70" t="str">
        <f>IF(Sistema!BD70="","",Sistema!BD70)</f>
        <v/>
      </c>
      <c r="BE70" t="str">
        <f>IF(Sistema!BE70="","",Sistema!BE70)</f>
        <v/>
      </c>
      <c r="BF70" t="str">
        <f>IF(Sistema!BF70="","",Sistema!BF70)</f>
        <v/>
      </c>
      <c r="BG70" t="str">
        <f>IF(Sistema!BG70="","",Sistema!BG70)</f>
        <v/>
      </c>
      <c r="BH70" t="str">
        <f>IF(Sistema!BH70="","",Sistema!BH70)</f>
        <v/>
      </c>
      <c r="BI70" t="str">
        <f>IF(Sistema!BI70="","",Sistema!BI70)</f>
        <v/>
      </c>
      <c r="BJ70" t="str">
        <f>IF(Sistema!BJ70="","",Sistema!BJ70)</f>
        <v/>
      </c>
      <c r="BK70" t="str">
        <f>IF(Sistema!BK70="","",Sistema!BK70)</f>
        <v/>
      </c>
      <c r="BL70" t="str">
        <f>IF(Sistema!BL70="","",Sistema!BL70)</f>
        <v/>
      </c>
      <c r="BM70" t="str">
        <f>IF(Sistema!BM70="","",Sistema!BM70)</f>
        <v/>
      </c>
      <c r="BN70" t="str">
        <f>IF(Sistema!BN70="","",Sistema!BN70)</f>
        <v/>
      </c>
      <c r="BO70" t="str">
        <f>IF(Sistema!BO70="","",Sistema!BO70)</f>
        <v/>
      </c>
      <c r="BP70" t="str">
        <f>IF(Sistema!BP70="","",Sistema!BP70)</f>
        <v/>
      </c>
      <c r="BQ70" t="str">
        <f>IF(Sistema!BQ70="","",Sistema!BQ70)</f>
        <v/>
      </c>
      <c r="BR70" t="str">
        <f>IF(Sistema!BR70="","",Sistema!BR70)</f>
        <v/>
      </c>
      <c r="BS70" t="str">
        <f>IF(Sistema!BS70="","",Sistema!BS70)</f>
        <v/>
      </c>
      <c r="BT70" t="str">
        <f>IF(Sistema!BT70="","",Sistema!BT70)</f>
        <v/>
      </c>
      <c r="BU70" t="str">
        <f>IF(Sistema!BU70="","",Sistema!BU70)</f>
        <v/>
      </c>
      <c r="BV70" t="str">
        <f>IF(Sistema!BV70="","",Sistema!BV70)</f>
        <v/>
      </c>
      <c r="BW70" t="str">
        <f>IF(Sistema!BW70="","",Sistema!BW70)</f>
        <v/>
      </c>
      <c r="BX70" t="str">
        <f>IF(Sistema!BX70="","",Sistema!BX70)</f>
        <v/>
      </c>
      <c r="BY70" t="str">
        <f>IF(Sistema!BY70="","",Sistema!BY70)</f>
        <v/>
      </c>
      <c r="BZ70" t="str">
        <f>IF(Sistema!BZ70="","",Sistema!BZ70)</f>
        <v/>
      </c>
      <c r="CA70" t="str">
        <f>IF(Sistema!CA70="","",Sistema!CA70)</f>
        <v/>
      </c>
      <c r="CB70" t="str">
        <f>IF(Sistema!CB70="","",Sistema!CB70)</f>
        <v/>
      </c>
      <c r="CC70" t="str">
        <f>IF(Sistema!CC70="","",Sistema!CC70)</f>
        <v/>
      </c>
      <c r="CD70" t="str">
        <f>IF(Sistema!CD70="","",Sistema!CD70)</f>
        <v/>
      </c>
    </row>
    <row r="71" spans="1:82" x14ac:dyDescent="0.25">
      <c r="A71" t="str">
        <f>IF(Sistema!A71="","",Sistema!A71)</f>
        <v/>
      </c>
      <c r="B71" t="str">
        <f>IF(Sistema!B71="","",Sistema!B71)</f>
        <v/>
      </c>
      <c r="C71" t="str">
        <f>IF(Sistema!C71="","",Sistema!C71)</f>
        <v/>
      </c>
      <c r="D71" t="str">
        <f>IF(Sistema!D71="","",Sistema!D71)</f>
        <v/>
      </c>
      <c r="E71" t="str">
        <f>IF(Sistema!E71="","",Sistema!E71)</f>
        <v/>
      </c>
      <c r="F71">
        <f>IF(P71&gt;0,1,IF(Sistema!F71=0,-1,1))</f>
        <v>-1</v>
      </c>
      <c r="G71">
        <f>Sistema!G71</f>
        <v>0</v>
      </c>
      <c r="H71" t="str">
        <f>IF(OR(R71="notify",R71=1),"visible",IF(OR(Sistema!F71=-1,Sistema!F71=0,ISNUMBER(SEARCH("PCK",E71))),"hidden",IF(P71&gt;0,"visible","hidden")))</f>
        <v>hidden</v>
      </c>
      <c r="I71" t="str">
        <f>IF(B71="simple",IF(P71&gt;0,"",IF(R71="notify",Info!C$2,"")),IF(B71="variable",IF(P71&gt;0,"",IF(R71="notify",Info!C$4,"")),""))</f>
        <v/>
      </c>
      <c r="J71" t="str">
        <f>IF(Sistema!J71="","",Sistema!J71)</f>
        <v/>
      </c>
      <c r="M71" t="str">
        <f>IF(Sistema!M71="","",Sistema!M71)</f>
        <v/>
      </c>
      <c r="N71" s="6" t="s">
        <v>1557</v>
      </c>
      <c r="O71" s="6">
        <v>1</v>
      </c>
      <c r="P71">
        <f>Sistema!P71</f>
        <v>0</v>
      </c>
      <c r="Q71">
        <f>Sistema!Q71</f>
        <v>0</v>
      </c>
      <c r="R71">
        <f>IF(Sistema!R71=1,"notify",Sistema!R71)</f>
        <v>0</v>
      </c>
      <c r="T71" t="str">
        <f>IF(Sistema!T71="","",Sistema!T71)</f>
        <v/>
      </c>
      <c r="U71" t="str">
        <f>IF(Sistema!U71="","",Sistema!U71)</f>
        <v/>
      </c>
      <c r="V71" t="str">
        <f>IF(Sistema!V71="","",Sistema!V71)</f>
        <v/>
      </c>
      <c r="W71" t="str">
        <f>IF(Sistema!W71="","",Sistema!W71)</f>
        <v/>
      </c>
      <c r="X71" s="6">
        <v>1</v>
      </c>
      <c r="Z71" t="str">
        <f>IF(Sistema!Z71="","",Sistema!Z71)</f>
        <v/>
      </c>
      <c r="AA71" t="str">
        <f>IF(Sistema!AA71="","",Sistema!AA71)</f>
        <v/>
      </c>
      <c r="AB71" t="str">
        <f>IF(Sistema!AB71="","",IF(OR(ISNUMBER(SEARCH("MKP",E71)),ISNUMBER(SEARCH("MKP",C71))),"Marketplace &gt; "&amp;Sistema!AB71,Sistema!AB71))</f>
        <v/>
      </c>
      <c r="AC71" t="str">
        <f>IF(Sistema!AC71="","",Sistema!AC71)</f>
        <v/>
      </c>
      <c r="AE71" t="str">
        <f>IF(Sistema!AE71="","",Sistema!AE71)</f>
        <v/>
      </c>
      <c r="AH71" t="str">
        <f>IF(Sistema!AH71="","",Sistema!AH71)</f>
        <v/>
      </c>
      <c r="AQ71" t="str">
        <f>IF(Sistema!AQ71="","",Sistema!AQ71)</f>
        <v/>
      </c>
      <c r="AR71" t="str">
        <f>IF(Sistema!AR71="","",Sistema!AR71)</f>
        <v/>
      </c>
      <c r="AS71" t="str">
        <f>IF(Sistema!AS71="","",Sistema!AS71)</f>
        <v/>
      </c>
      <c r="AT71" t="str">
        <f>IF(Sistema!AT71="","",Sistema!AT71)</f>
        <v/>
      </c>
      <c r="AU71" t="str">
        <f>IF(Sistema!AU71="","",Sistema!AU71)</f>
        <v/>
      </c>
      <c r="AV71" t="str">
        <f>IF(Sistema!AV71="","",Sistema!AV71)</f>
        <v/>
      </c>
      <c r="AW71" t="str">
        <f>IF(Sistema!AW71="","",Sistema!AW71)</f>
        <v/>
      </c>
      <c r="AX71" t="str">
        <f>IF(Sistema!AX71="","",Sistema!AX71)</f>
        <v/>
      </c>
      <c r="AY71" t="str">
        <f>IF(Sistema!AY71="","",Sistema!AY71)</f>
        <v/>
      </c>
      <c r="AZ71" t="str">
        <f>IF(Sistema!AZ71="","",Sistema!AZ71)</f>
        <v/>
      </c>
      <c r="BA71" t="str">
        <f>IF(Sistema!BA71="","",Sistema!BA71)</f>
        <v/>
      </c>
      <c r="BB71" t="str">
        <f>IF(Sistema!BB71="","",Sistema!BB71)</f>
        <v/>
      </c>
      <c r="BC71" t="str">
        <f>IF(Sistema!BC71="","",Sistema!BC71)</f>
        <v/>
      </c>
      <c r="BD71" t="str">
        <f>IF(Sistema!BD71="","",Sistema!BD71)</f>
        <v/>
      </c>
      <c r="BE71" t="str">
        <f>IF(Sistema!BE71="","",Sistema!BE71)</f>
        <v/>
      </c>
      <c r="BF71" t="str">
        <f>IF(Sistema!BF71="","",Sistema!BF71)</f>
        <v/>
      </c>
      <c r="BG71" t="str">
        <f>IF(Sistema!BG71="","",Sistema!BG71)</f>
        <v/>
      </c>
      <c r="BH71" t="str">
        <f>IF(Sistema!BH71="","",Sistema!BH71)</f>
        <v/>
      </c>
      <c r="BI71" t="str">
        <f>IF(Sistema!BI71="","",Sistema!BI71)</f>
        <v/>
      </c>
      <c r="BJ71" t="str">
        <f>IF(Sistema!BJ71="","",Sistema!BJ71)</f>
        <v/>
      </c>
      <c r="BK71" t="str">
        <f>IF(Sistema!BK71="","",Sistema!BK71)</f>
        <v/>
      </c>
      <c r="BL71" t="str">
        <f>IF(Sistema!BL71="","",Sistema!BL71)</f>
        <v/>
      </c>
      <c r="BM71" t="str">
        <f>IF(Sistema!BM71="","",Sistema!BM71)</f>
        <v/>
      </c>
      <c r="BN71" t="str">
        <f>IF(Sistema!BN71="","",Sistema!BN71)</f>
        <v/>
      </c>
      <c r="BO71" t="str">
        <f>IF(Sistema!BO71="","",Sistema!BO71)</f>
        <v/>
      </c>
      <c r="BP71" t="str">
        <f>IF(Sistema!BP71="","",Sistema!BP71)</f>
        <v/>
      </c>
      <c r="BQ71" t="str">
        <f>IF(Sistema!BQ71="","",Sistema!BQ71)</f>
        <v/>
      </c>
      <c r="BR71" t="str">
        <f>IF(Sistema!BR71="","",Sistema!BR71)</f>
        <v/>
      </c>
      <c r="BS71" t="str">
        <f>IF(Sistema!BS71="","",Sistema!BS71)</f>
        <v/>
      </c>
      <c r="BT71" t="str">
        <f>IF(Sistema!BT71="","",Sistema!BT71)</f>
        <v/>
      </c>
      <c r="BU71" t="str">
        <f>IF(Sistema!BU71="","",Sistema!BU71)</f>
        <v/>
      </c>
      <c r="BV71" t="str">
        <f>IF(Sistema!BV71="","",Sistema!BV71)</f>
        <v/>
      </c>
      <c r="BW71" t="str">
        <f>IF(Sistema!BW71="","",Sistema!BW71)</f>
        <v/>
      </c>
      <c r="BX71" t="str">
        <f>IF(Sistema!BX71="","",Sistema!BX71)</f>
        <v/>
      </c>
      <c r="BY71" t="str">
        <f>IF(Sistema!BY71="","",Sistema!BY71)</f>
        <v/>
      </c>
      <c r="BZ71" t="str">
        <f>IF(Sistema!BZ71="","",Sistema!BZ71)</f>
        <v/>
      </c>
      <c r="CA71" t="str">
        <f>IF(Sistema!CA71="","",Sistema!CA71)</f>
        <v/>
      </c>
      <c r="CB71" t="str">
        <f>IF(Sistema!CB71="","",Sistema!CB71)</f>
        <v/>
      </c>
      <c r="CC71" t="str">
        <f>IF(Sistema!CC71="","",Sistema!CC71)</f>
        <v/>
      </c>
      <c r="CD71" t="str">
        <f>IF(Sistema!CD71="","",Sistema!CD71)</f>
        <v/>
      </c>
    </row>
    <row r="72" spans="1:82" x14ac:dyDescent="0.25">
      <c r="A72" t="str">
        <f>IF(Sistema!A72="","",Sistema!A72)</f>
        <v/>
      </c>
      <c r="B72" t="str">
        <f>IF(Sistema!B72="","",Sistema!B72)</f>
        <v/>
      </c>
      <c r="C72" t="str">
        <f>IF(Sistema!C72="","",Sistema!C72)</f>
        <v/>
      </c>
      <c r="D72" t="str">
        <f>IF(Sistema!D72="","",Sistema!D72)</f>
        <v/>
      </c>
      <c r="E72" t="str">
        <f>IF(Sistema!E72="","",Sistema!E72)</f>
        <v/>
      </c>
      <c r="F72">
        <f>IF(P72&gt;0,1,IF(Sistema!F72=0,-1,1))</f>
        <v>-1</v>
      </c>
      <c r="G72">
        <f>Sistema!G72</f>
        <v>0</v>
      </c>
      <c r="H72" t="str">
        <f>IF(OR(R72="notify",R72=1),"visible",IF(OR(Sistema!F72=-1,Sistema!F72=0,ISNUMBER(SEARCH("PCK",E72))),"hidden",IF(P72&gt;0,"visible","hidden")))</f>
        <v>hidden</v>
      </c>
      <c r="I72" t="str">
        <f>IF(B72="simple",IF(P72&gt;0,"",IF(R72="notify",Info!C$2,"")),IF(B72="variable",IF(P72&gt;0,"",IF(R72="notify",Info!C$4,"")),""))</f>
        <v/>
      </c>
      <c r="J72" t="str">
        <f>IF(Sistema!J72="","",Sistema!J72)</f>
        <v/>
      </c>
      <c r="M72" t="str">
        <f>IF(Sistema!M72="","",Sistema!M72)</f>
        <v/>
      </c>
      <c r="N72" s="6" t="s">
        <v>1557</v>
      </c>
      <c r="O72" s="6">
        <v>1</v>
      </c>
      <c r="P72">
        <f>Sistema!P72</f>
        <v>0</v>
      </c>
      <c r="Q72">
        <f>Sistema!Q72</f>
        <v>0</v>
      </c>
      <c r="R72">
        <f>IF(Sistema!R72=1,"notify",Sistema!R72)</f>
        <v>0</v>
      </c>
      <c r="T72" t="str">
        <f>IF(Sistema!T72="","",Sistema!T72)</f>
        <v/>
      </c>
      <c r="U72" t="str">
        <f>IF(Sistema!U72="","",Sistema!U72)</f>
        <v/>
      </c>
      <c r="V72" t="str">
        <f>IF(Sistema!V72="","",Sistema!V72)</f>
        <v/>
      </c>
      <c r="W72" t="str">
        <f>IF(Sistema!W72="","",Sistema!W72)</f>
        <v/>
      </c>
      <c r="X72" s="6">
        <v>1</v>
      </c>
      <c r="Z72" t="str">
        <f>IF(Sistema!Z72="","",Sistema!Z72)</f>
        <v/>
      </c>
      <c r="AA72" t="str">
        <f>IF(Sistema!AA72="","",Sistema!AA72)</f>
        <v/>
      </c>
      <c r="AB72" t="str">
        <f>IF(Sistema!AB72="","",IF(OR(ISNUMBER(SEARCH("MKP",E72)),ISNUMBER(SEARCH("MKP",C72))),"Marketplace &gt; "&amp;Sistema!AB72,Sistema!AB72))</f>
        <v/>
      </c>
      <c r="AC72" t="str">
        <f>IF(Sistema!AC72="","",Sistema!AC72)</f>
        <v/>
      </c>
      <c r="AE72" t="str">
        <f>IF(Sistema!AE72="","",Sistema!AE72)</f>
        <v/>
      </c>
      <c r="AH72" t="str">
        <f>IF(Sistema!AH72="","",Sistema!AH72)</f>
        <v/>
      </c>
      <c r="AQ72" t="str">
        <f>IF(Sistema!AQ72="","",Sistema!AQ72)</f>
        <v/>
      </c>
      <c r="AR72" t="str">
        <f>IF(Sistema!AR72="","",Sistema!AR72)</f>
        <v/>
      </c>
      <c r="AS72" t="str">
        <f>IF(Sistema!AS72="","",Sistema!AS72)</f>
        <v/>
      </c>
      <c r="AT72" t="str">
        <f>IF(Sistema!AT72="","",Sistema!AT72)</f>
        <v/>
      </c>
      <c r="AU72" t="str">
        <f>IF(Sistema!AU72="","",Sistema!AU72)</f>
        <v/>
      </c>
      <c r="AV72" t="str">
        <f>IF(Sistema!AV72="","",Sistema!AV72)</f>
        <v/>
      </c>
      <c r="AW72" t="str">
        <f>IF(Sistema!AW72="","",Sistema!AW72)</f>
        <v/>
      </c>
      <c r="AX72" t="str">
        <f>IF(Sistema!AX72="","",Sistema!AX72)</f>
        <v/>
      </c>
      <c r="AY72" t="str">
        <f>IF(Sistema!AY72="","",Sistema!AY72)</f>
        <v/>
      </c>
      <c r="AZ72" t="str">
        <f>IF(Sistema!AZ72="","",Sistema!AZ72)</f>
        <v/>
      </c>
      <c r="BA72" t="str">
        <f>IF(Sistema!BA72="","",Sistema!BA72)</f>
        <v/>
      </c>
      <c r="BB72" t="str">
        <f>IF(Sistema!BB72="","",Sistema!BB72)</f>
        <v/>
      </c>
      <c r="BC72" t="str">
        <f>IF(Sistema!BC72="","",Sistema!BC72)</f>
        <v/>
      </c>
      <c r="BD72" t="str">
        <f>IF(Sistema!BD72="","",Sistema!BD72)</f>
        <v/>
      </c>
      <c r="BE72" t="str">
        <f>IF(Sistema!BE72="","",Sistema!BE72)</f>
        <v/>
      </c>
      <c r="BF72" t="str">
        <f>IF(Sistema!BF72="","",Sistema!BF72)</f>
        <v/>
      </c>
      <c r="BG72" t="str">
        <f>IF(Sistema!BG72="","",Sistema!BG72)</f>
        <v/>
      </c>
      <c r="BH72" t="str">
        <f>IF(Sistema!BH72="","",Sistema!BH72)</f>
        <v/>
      </c>
      <c r="BI72" t="str">
        <f>IF(Sistema!BI72="","",Sistema!BI72)</f>
        <v/>
      </c>
      <c r="BJ72" t="str">
        <f>IF(Sistema!BJ72="","",Sistema!BJ72)</f>
        <v/>
      </c>
      <c r="BK72" t="str">
        <f>IF(Sistema!BK72="","",Sistema!BK72)</f>
        <v/>
      </c>
      <c r="BL72" t="str">
        <f>IF(Sistema!BL72="","",Sistema!BL72)</f>
        <v/>
      </c>
      <c r="BM72" t="str">
        <f>IF(Sistema!BM72="","",Sistema!BM72)</f>
        <v/>
      </c>
      <c r="BN72" t="str">
        <f>IF(Sistema!BN72="","",Sistema!BN72)</f>
        <v/>
      </c>
      <c r="BO72" t="str">
        <f>IF(Sistema!BO72="","",Sistema!BO72)</f>
        <v/>
      </c>
      <c r="BP72" t="str">
        <f>IF(Sistema!BP72="","",Sistema!BP72)</f>
        <v/>
      </c>
      <c r="BQ72" t="str">
        <f>IF(Sistema!BQ72="","",Sistema!BQ72)</f>
        <v/>
      </c>
      <c r="BR72" t="str">
        <f>IF(Sistema!BR72="","",Sistema!BR72)</f>
        <v/>
      </c>
      <c r="BS72" t="str">
        <f>IF(Sistema!BS72="","",Sistema!BS72)</f>
        <v/>
      </c>
      <c r="BT72" t="str">
        <f>IF(Sistema!BT72="","",Sistema!BT72)</f>
        <v/>
      </c>
      <c r="BU72" t="str">
        <f>IF(Sistema!BU72="","",Sistema!BU72)</f>
        <v/>
      </c>
      <c r="BV72" t="str">
        <f>IF(Sistema!BV72="","",Sistema!BV72)</f>
        <v/>
      </c>
      <c r="BW72" t="str">
        <f>IF(Sistema!BW72="","",Sistema!BW72)</f>
        <v/>
      </c>
      <c r="BX72" t="str">
        <f>IF(Sistema!BX72="","",Sistema!BX72)</f>
        <v/>
      </c>
      <c r="BY72" t="str">
        <f>IF(Sistema!BY72="","",Sistema!BY72)</f>
        <v/>
      </c>
      <c r="BZ72" t="str">
        <f>IF(Sistema!BZ72="","",Sistema!BZ72)</f>
        <v/>
      </c>
      <c r="CA72" t="str">
        <f>IF(Sistema!CA72="","",Sistema!CA72)</f>
        <v/>
      </c>
      <c r="CB72" t="str">
        <f>IF(Sistema!CB72="","",Sistema!CB72)</f>
        <v/>
      </c>
      <c r="CC72" t="str">
        <f>IF(Sistema!CC72="","",Sistema!CC72)</f>
        <v/>
      </c>
      <c r="CD72" t="str">
        <f>IF(Sistema!CD72="","",Sistema!CD72)</f>
        <v/>
      </c>
    </row>
    <row r="73" spans="1:82" x14ac:dyDescent="0.25">
      <c r="A73" t="str">
        <f>IF(Sistema!A73="","",Sistema!A73)</f>
        <v/>
      </c>
      <c r="B73" t="str">
        <f>IF(Sistema!B73="","",Sistema!B73)</f>
        <v/>
      </c>
      <c r="C73" t="str">
        <f>IF(Sistema!C73="","",Sistema!C73)</f>
        <v/>
      </c>
      <c r="D73" t="str">
        <f>IF(Sistema!D73="","",Sistema!D73)</f>
        <v/>
      </c>
      <c r="E73" t="str">
        <f>IF(Sistema!E73="","",Sistema!E73)</f>
        <v/>
      </c>
      <c r="F73">
        <f>IF(P73&gt;0,1,IF(Sistema!F73=0,-1,1))</f>
        <v>-1</v>
      </c>
      <c r="G73">
        <f>Sistema!G73</f>
        <v>0</v>
      </c>
      <c r="H73" t="str">
        <f>IF(OR(R73="notify",R73=1),"visible",IF(OR(Sistema!F73=-1,Sistema!F73=0,ISNUMBER(SEARCH("PCK",E73))),"hidden",IF(P73&gt;0,"visible","hidden")))</f>
        <v>hidden</v>
      </c>
      <c r="I73" t="str">
        <f>IF(B73="simple",IF(P73&gt;0,"",IF(R73="notify",Info!C$2,"")),IF(B73="variable",IF(P73&gt;0,"",IF(R73="notify",Info!C$4,"")),""))</f>
        <v/>
      </c>
      <c r="J73" t="str">
        <f>IF(Sistema!J73="","",Sistema!J73)</f>
        <v/>
      </c>
      <c r="M73" t="str">
        <f>IF(Sistema!M73="","",Sistema!M73)</f>
        <v/>
      </c>
      <c r="N73" s="6" t="s">
        <v>1557</v>
      </c>
      <c r="O73" s="6">
        <v>1</v>
      </c>
      <c r="P73">
        <f>Sistema!P73</f>
        <v>0</v>
      </c>
      <c r="Q73">
        <f>Sistema!Q73</f>
        <v>0</v>
      </c>
      <c r="R73">
        <f>IF(Sistema!R73=1,"notify",Sistema!R73)</f>
        <v>0</v>
      </c>
      <c r="T73" t="str">
        <f>IF(Sistema!T73="","",Sistema!T73)</f>
        <v/>
      </c>
      <c r="U73" t="str">
        <f>IF(Sistema!U73="","",Sistema!U73)</f>
        <v/>
      </c>
      <c r="V73" t="str">
        <f>IF(Sistema!V73="","",Sistema!V73)</f>
        <v/>
      </c>
      <c r="W73" t="str">
        <f>IF(Sistema!W73="","",Sistema!W73)</f>
        <v/>
      </c>
      <c r="X73" s="6">
        <v>1</v>
      </c>
      <c r="Z73" t="str">
        <f>IF(Sistema!Z73="","",Sistema!Z73)</f>
        <v/>
      </c>
      <c r="AA73" t="str">
        <f>IF(Sistema!AA73="","",Sistema!AA73)</f>
        <v/>
      </c>
      <c r="AB73" t="str">
        <f>IF(Sistema!AB73="","",IF(OR(ISNUMBER(SEARCH("MKP",E73)),ISNUMBER(SEARCH("MKP",C73))),"Marketplace &gt; "&amp;Sistema!AB73,Sistema!AB73))</f>
        <v/>
      </c>
      <c r="AC73" t="str">
        <f>IF(Sistema!AC73="","",Sistema!AC73)</f>
        <v/>
      </c>
      <c r="AE73" t="str">
        <f>IF(Sistema!AE73="","",Sistema!AE73)</f>
        <v/>
      </c>
      <c r="AH73" t="str">
        <f>IF(Sistema!AH73="","",Sistema!AH73)</f>
        <v/>
      </c>
      <c r="AQ73" t="str">
        <f>IF(Sistema!AQ73="","",Sistema!AQ73)</f>
        <v/>
      </c>
      <c r="AR73" t="str">
        <f>IF(Sistema!AR73="","",Sistema!AR73)</f>
        <v/>
      </c>
      <c r="AS73" t="str">
        <f>IF(Sistema!AS73="","",Sistema!AS73)</f>
        <v/>
      </c>
      <c r="AT73" t="str">
        <f>IF(Sistema!AT73="","",Sistema!AT73)</f>
        <v/>
      </c>
      <c r="AU73" t="str">
        <f>IF(Sistema!AU73="","",Sistema!AU73)</f>
        <v/>
      </c>
      <c r="AV73" t="str">
        <f>IF(Sistema!AV73="","",Sistema!AV73)</f>
        <v/>
      </c>
      <c r="AW73" t="str">
        <f>IF(Sistema!AW73="","",Sistema!AW73)</f>
        <v/>
      </c>
      <c r="AX73" t="str">
        <f>IF(Sistema!AX73="","",Sistema!AX73)</f>
        <v/>
      </c>
      <c r="AY73" t="str">
        <f>IF(Sistema!AY73="","",Sistema!AY73)</f>
        <v/>
      </c>
      <c r="AZ73" t="str">
        <f>IF(Sistema!AZ73="","",Sistema!AZ73)</f>
        <v/>
      </c>
      <c r="BA73" t="str">
        <f>IF(Sistema!BA73="","",Sistema!BA73)</f>
        <v/>
      </c>
      <c r="BB73" t="str">
        <f>IF(Sistema!BB73="","",Sistema!BB73)</f>
        <v/>
      </c>
      <c r="BC73" t="str">
        <f>IF(Sistema!BC73="","",Sistema!BC73)</f>
        <v/>
      </c>
      <c r="BD73" t="str">
        <f>IF(Sistema!BD73="","",Sistema!BD73)</f>
        <v/>
      </c>
      <c r="BE73" t="str">
        <f>IF(Sistema!BE73="","",Sistema!BE73)</f>
        <v/>
      </c>
      <c r="BF73" t="str">
        <f>IF(Sistema!BF73="","",Sistema!BF73)</f>
        <v/>
      </c>
      <c r="BG73" t="str">
        <f>IF(Sistema!BG73="","",Sistema!BG73)</f>
        <v/>
      </c>
      <c r="BH73" t="str">
        <f>IF(Sistema!BH73="","",Sistema!BH73)</f>
        <v/>
      </c>
      <c r="BI73" t="str">
        <f>IF(Sistema!BI73="","",Sistema!BI73)</f>
        <v/>
      </c>
      <c r="BJ73" t="str">
        <f>IF(Sistema!BJ73="","",Sistema!BJ73)</f>
        <v/>
      </c>
      <c r="BK73" t="str">
        <f>IF(Sistema!BK73="","",Sistema!BK73)</f>
        <v/>
      </c>
      <c r="BL73" t="str">
        <f>IF(Sistema!BL73="","",Sistema!BL73)</f>
        <v/>
      </c>
      <c r="BM73" t="str">
        <f>IF(Sistema!BM73="","",Sistema!BM73)</f>
        <v/>
      </c>
      <c r="BN73" t="str">
        <f>IF(Sistema!BN73="","",Sistema!BN73)</f>
        <v/>
      </c>
      <c r="BO73" t="str">
        <f>IF(Sistema!BO73="","",Sistema!BO73)</f>
        <v/>
      </c>
      <c r="BP73" t="str">
        <f>IF(Sistema!BP73="","",Sistema!BP73)</f>
        <v/>
      </c>
      <c r="BQ73" t="str">
        <f>IF(Sistema!BQ73="","",Sistema!BQ73)</f>
        <v/>
      </c>
      <c r="BR73" t="str">
        <f>IF(Sistema!BR73="","",Sistema!BR73)</f>
        <v/>
      </c>
      <c r="BS73" t="str">
        <f>IF(Sistema!BS73="","",Sistema!BS73)</f>
        <v/>
      </c>
      <c r="BT73" t="str">
        <f>IF(Sistema!BT73="","",Sistema!BT73)</f>
        <v/>
      </c>
      <c r="BU73" t="str">
        <f>IF(Sistema!BU73="","",Sistema!BU73)</f>
        <v/>
      </c>
      <c r="BV73" t="str">
        <f>IF(Sistema!BV73="","",Sistema!BV73)</f>
        <v/>
      </c>
      <c r="BW73" t="str">
        <f>IF(Sistema!BW73="","",Sistema!BW73)</f>
        <v/>
      </c>
      <c r="BX73" t="str">
        <f>IF(Sistema!BX73="","",Sistema!BX73)</f>
        <v/>
      </c>
      <c r="BY73" t="str">
        <f>IF(Sistema!BY73="","",Sistema!BY73)</f>
        <v/>
      </c>
      <c r="BZ73" t="str">
        <f>IF(Sistema!BZ73="","",Sistema!BZ73)</f>
        <v/>
      </c>
      <c r="CA73" t="str">
        <f>IF(Sistema!CA73="","",Sistema!CA73)</f>
        <v/>
      </c>
      <c r="CB73" t="str">
        <f>IF(Sistema!CB73="","",Sistema!CB73)</f>
        <v/>
      </c>
      <c r="CC73" t="str">
        <f>IF(Sistema!CC73="","",Sistema!CC73)</f>
        <v/>
      </c>
      <c r="CD73" t="str">
        <f>IF(Sistema!CD73="","",Sistema!CD73)</f>
        <v/>
      </c>
    </row>
    <row r="74" spans="1:82" x14ac:dyDescent="0.25">
      <c r="A74" t="str">
        <f>IF(Sistema!A74="","",Sistema!A74)</f>
        <v/>
      </c>
      <c r="B74" t="str">
        <f>IF(Sistema!B74="","",Sistema!B74)</f>
        <v/>
      </c>
      <c r="C74" t="str">
        <f>IF(Sistema!C74="","",Sistema!C74)</f>
        <v/>
      </c>
      <c r="D74" t="str">
        <f>IF(Sistema!D74="","",Sistema!D74)</f>
        <v/>
      </c>
      <c r="E74" t="str">
        <f>IF(Sistema!E74="","",Sistema!E74)</f>
        <v/>
      </c>
      <c r="F74">
        <f>IF(P74&gt;0,1,IF(Sistema!F74=0,-1,1))</f>
        <v>-1</v>
      </c>
      <c r="G74">
        <f>Sistema!G74</f>
        <v>0</v>
      </c>
      <c r="H74" t="str">
        <f>IF(OR(R74="notify",R74=1),"visible",IF(OR(Sistema!F74=-1,Sistema!F74=0,ISNUMBER(SEARCH("PCK",E74))),"hidden",IF(P74&gt;0,"visible","hidden")))</f>
        <v>hidden</v>
      </c>
      <c r="I74" t="str">
        <f>IF(B74="simple",IF(P74&gt;0,"",IF(R74="notify",Info!C$2,"")),IF(B74="variable",IF(P74&gt;0,"",IF(R74="notify",Info!C$4,"")),""))</f>
        <v/>
      </c>
      <c r="J74" t="str">
        <f>IF(Sistema!J74="","",Sistema!J74)</f>
        <v/>
      </c>
      <c r="M74" t="str">
        <f>IF(Sistema!M74="","",Sistema!M74)</f>
        <v/>
      </c>
      <c r="N74" s="6" t="s">
        <v>1557</v>
      </c>
      <c r="O74" s="6">
        <v>1</v>
      </c>
      <c r="P74">
        <f>Sistema!P74</f>
        <v>0</v>
      </c>
      <c r="Q74">
        <f>Sistema!Q74</f>
        <v>0</v>
      </c>
      <c r="R74">
        <f>IF(Sistema!R74=1,"notify",Sistema!R74)</f>
        <v>0</v>
      </c>
      <c r="T74" t="str">
        <f>IF(Sistema!T74="","",Sistema!T74)</f>
        <v/>
      </c>
      <c r="U74" t="str">
        <f>IF(Sistema!U74="","",Sistema!U74)</f>
        <v/>
      </c>
      <c r="V74" t="str">
        <f>IF(Sistema!V74="","",Sistema!V74)</f>
        <v/>
      </c>
      <c r="W74" t="str">
        <f>IF(Sistema!W74="","",Sistema!W74)</f>
        <v/>
      </c>
      <c r="X74" s="6">
        <v>1</v>
      </c>
      <c r="Z74" t="str">
        <f>IF(Sistema!Z74="","",Sistema!Z74)</f>
        <v/>
      </c>
      <c r="AA74" t="str">
        <f>IF(Sistema!AA74="","",Sistema!AA74)</f>
        <v/>
      </c>
      <c r="AB74" t="str">
        <f>IF(Sistema!AB74="","",IF(OR(ISNUMBER(SEARCH("MKP",E74)),ISNUMBER(SEARCH("MKP",C74))),"Marketplace &gt; "&amp;Sistema!AB74,Sistema!AB74))</f>
        <v/>
      </c>
      <c r="AC74" t="str">
        <f>IF(Sistema!AC74="","",Sistema!AC74)</f>
        <v/>
      </c>
      <c r="AE74" t="str">
        <f>IF(Sistema!AE74="","",Sistema!AE74)</f>
        <v/>
      </c>
      <c r="AH74" t="str">
        <f>IF(Sistema!AH74="","",Sistema!AH74)</f>
        <v/>
      </c>
      <c r="AQ74" t="str">
        <f>IF(Sistema!AQ74="","",Sistema!AQ74)</f>
        <v/>
      </c>
      <c r="AR74" t="str">
        <f>IF(Sistema!AR74="","",Sistema!AR74)</f>
        <v/>
      </c>
      <c r="AS74" t="str">
        <f>IF(Sistema!AS74="","",Sistema!AS74)</f>
        <v/>
      </c>
      <c r="AT74" t="str">
        <f>IF(Sistema!AT74="","",Sistema!AT74)</f>
        <v/>
      </c>
      <c r="AU74" t="str">
        <f>IF(Sistema!AU74="","",Sistema!AU74)</f>
        <v/>
      </c>
      <c r="AV74" t="str">
        <f>IF(Sistema!AV74="","",Sistema!AV74)</f>
        <v/>
      </c>
      <c r="AW74" t="str">
        <f>IF(Sistema!AW74="","",Sistema!AW74)</f>
        <v/>
      </c>
      <c r="AX74" t="str">
        <f>IF(Sistema!AX74="","",Sistema!AX74)</f>
        <v/>
      </c>
      <c r="AY74" t="str">
        <f>IF(Sistema!AY74="","",Sistema!AY74)</f>
        <v/>
      </c>
      <c r="AZ74" t="str">
        <f>IF(Sistema!AZ74="","",Sistema!AZ74)</f>
        <v/>
      </c>
      <c r="BA74" t="str">
        <f>IF(Sistema!BA74="","",Sistema!BA74)</f>
        <v/>
      </c>
      <c r="BB74" t="str">
        <f>IF(Sistema!BB74="","",Sistema!BB74)</f>
        <v/>
      </c>
      <c r="BC74" t="str">
        <f>IF(Sistema!BC74="","",Sistema!BC74)</f>
        <v/>
      </c>
      <c r="BD74" t="str">
        <f>IF(Sistema!BD74="","",Sistema!BD74)</f>
        <v/>
      </c>
      <c r="BE74" t="str">
        <f>IF(Sistema!BE74="","",Sistema!BE74)</f>
        <v/>
      </c>
      <c r="BF74" t="str">
        <f>IF(Sistema!BF74="","",Sistema!BF74)</f>
        <v/>
      </c>
      <c r="BG74" t="str">
        <f>IF(Sistema!BG74="","",Sistema!BG74)</f>
        <v/>
      </c>
      <c r="BH74" t="str">
        <f>IF(Sistema!BH74="","",Sistema!BH74)</f>
        <v/>
      </c>
      <c r="BI74" t="str">
        <f>IF(Sistema!BI74="","",Sistema!BI74)</f>
        <v/>
      </c>
      <c r="BJ74" t="str">
        <f>IF(Sistema!BJ74="","",Sistema!BJ74)</f>
        <v/>
      </c>
      <c r="BK74" t="str">
        <f>IF(Sistema!BK74="","",Sistema!BK74)</f>
        <v/>
      </c>
      <c r="BL74" t="str">
        <f>IF(Sistema!BL74="","",Sistema!BL74)</f>
        <v/>
      </c>
      <c r="BM74" t="str">
        <f>IF(Sistema!BM74="","",Sistema!BM74)</f>
        <v/>
      </c>
      <c r="BN74" t="str">
        <f>IF(Sistema!BN74="","",Sistema!BN74)</f>
        <v/>
      </c>
      <c r="BO74" t="str">
        <f>IF(Sistema!BO74="","",Sistema!BO74)</f>
        <v/>
      </c>
      <c r="BP74" t="str">
        <f>IF(Sistema!BP74="","",Sistema!BP74)</f>
        <v/>
      </c>
      <c r="BQ74" t="str">
        <f>IF(Sistema!BQ74="","",Sistema!BQ74)</f>
        <v/>
      </c>
      <c r="BR74" t="str">
        <f>IF(Sistema!BR74="","",Sistema!BR74)</f>
        <v/>
      </c>
      <c r="BS74" t="str">
        <f>IF(Sistema!BS74="","",Sistema!BS74)</f>
        <v/>
      </c>
      <c r="BT74" t="str">
        <f>IF(Sistema!BT74="","",Sistema!BT74)</f>
        <v/>
      </c>
      <c r="BU74" t="str">
        <f>IF(Sistema!BU74="","",Sistema!BU74)</f>
        <v/>
      </c>
      <c r="BV74" t="str">
        <f>IF(Sistema!BV74="","",Sistema!BV74)</f>
        <v/>
      </c>
      <c r="BW74" t="str">
        <f>IF(Sistema!BW74="","",Sistema!BW74)</f>
        <v/>
      </c>
      <c r="BX74" t="str">
        <f>IF(Sistema!BX74="","",Sistema!BX74)</f>
        <v/>
      </c>
      <c r="BY74" t="str">
        <f>IF(Sistema!BY74="","",Sistema!BY74)</f>
        <v/>
      </c>
      <c r="BZ74" t="str">
        <f>IF(Sistema!BZ74="","",Sistema!BZ74)</f>
        <v/>
      </c>
      <c r="CA74" t="str">
        <f>IF(Sistema!CA74="","",Sistema!CA74)</f>
        <v/>
      </c>
      <c r="CB74" t="str">
        <f>IF(Sistema!CB74="","",Sistema!CB74)</f>
        <v/>
      </c>
      <c r="CC74" t="str">
        <f>IF(Sistema!CC74="","",Sistema!CC74)</f>
        <v/>
      </c>
      <c r="CD74" t="str">
        <f>IF(Sistema!CD74="","",Sistema!CD74)</f>
        <v/>
      </c>
    </row>
    <row r="75" spans="1:82" x14ac:dyDescent="0.25">
      <c r="A75" t="str">
        <f>IF(Sistema!A75="","",Sistema!A75)</f>
        <v/>
      </c>
      <c r="B75" t="str">
        <f>IF(Sistema!B75="","",Sistema!B75)</f>
        <v/>
      </c>
      <c r="C75" t="str">
        <f>IF(Sistema!C75="","",Sistema!C75)</f>
        <v/>
      </c>
      <c r="D75" t="str">
        <f>IF(Sistema!D75="","",Sistema!D75)</f>
        <v/>
      </c>
      <c r="E75" t="str">
        <f>IF(Sistema!E75="","",Sistema!E75)</f>
        <v/>
      </c>
      <c r="F75">
        <f>IF(P75&gt;0,1,IF(Sistema!F75=0,-1,1))</f>
        <v>-1</v>
      </c>
      <c r="G75">
        <f>Sistema!G75</f>
        <v>0</v>
      </c>
      <c r="H75" t="str">
        <f>IF(OR(R75="notify",R75=1),"visible",IF(OR(Sistema!F75=-1,Sistema!F75=0,ISNUMBER(SEARCH("PCK",E75))),"hidden",IF(P75&gt;0,"visible","hidden")))</f>
        <v>hidden</v>
      </c>
      <c r="I75" t="str">
        <f>IF(B75="simple",IF(P75&gt;0,"",IF(R75="notify",Info!C$2,"")),IF(B75="variable",IF(P75&gt;0,"",IF(R75="notify",Info!C$4,"")),""))</f>
        <v/>
      </c>
      <c r="J75" t="str">
        <f>IF(Sistema!J75="","",Sistema!J75)</f>
        <v/>
      </c>
      <c r="M75" t="str">
        <f>IF(Sistema!M75="","",Sistema!M75)</f>
        <v/>
      </c>
      <c r="N75" s="6" t="s">
        <v>1557</v>
      </c>
      <c r="O75" s="6">
        <v>1</v>
      </c>
      <c r="P75">
        <f>Sistema!P75</f>
        <v>0</v>
      </c>
      <c r="Q75">
        <f>Sistema!Q75</f>
        <v>0</v>
      </c>
      <c r="R75">
        <f>IF(Sistema!R75=1,"notify",Sistema!R75)</f>
        <v>0</v>
      </c>
      <c r="T75" t="str">
        <f>IF(Sistema!T75="","",Sistema!T75)</f>
        <v/>
      </c>
      <c r="U75" t="str">
        <f>IF(Sistema!U75="","",Sistema!U75)</f>
        <v/>
      </c>
      <c r="V75" t="str">
        <f>IF(Sistema!V75="","",Sistema!V75)</f>
        <v/>
      </c>
      <c r="W75" t="str">
        <f>IF(Sistema!W75="","",Sistema!W75)</f>
        <v/>
      </c>
      <c r="X75" s="6">
        <v>1</v>
      </c>
      <c r="Z75" t="str">
        <f>IF(Sistema!Z75="","",Sistema!Z75)</f>
        <v/>
      </c>
      <c r="AA75" t="str">
        <f>IF(Sistema!AA75="","",Sistema!AA75)</f>
        <v/>
      </c>
      <c r="AB75" t="str">
        <f>IF(Sistema!AB75="","",IF(OR(ISNUMBER(SEARCH("MKP",E75)),ISNUMBER(SEARCH("MKP",C75))),"Marketplace &gt; "&amp;Sistema!AB75,Sistema!AB75))</f>
        <v/>
      </c>
      <c r="AC75" t="str">
        <f>IF(Sistema!AC75="","",Sistema!AC75)</f>
        <v/>
      </c>
      <c r="AE75" t="str">
        <f>IF(Sistema!AE75="","",Sistema!AE75)</f>
        <v/>
      </c>
      <c r="AH75" t="str">
        <f>IF(Sistema!AH75="","",Sistema!AH75)</f>
        <v/>
      </c>
      <c r="AQ75" t="str">
        <f>IF(Sistema!AQ75="","",Sistema!AQ75)</f>
        <v/>
      </c>
      <c r="AR75" t="str">
        <f>IF(Sistema!AR75="","",Sistema!AR75)</f>
        <v/>
      </c>
      <c r="AS75" t="str">
        <f>IF(Sistema!AS75="","",Sistema!AS75)</f>
        <v/>
      </c>
      <c r="AT75" t="str">
        <f>IF(Sistema!AT75="","",Sistema!AT75)</f>
        <v/>
      </c>
      <c r="AU75" t="str">
        <f>IF(Sistema!AU75="","",Sistema!AU75)</f>
        <v/>
      </c>
      <c r="AV75" t="str">
        <f>IF(Sistema!AV75="","",Sistema!AV75)</f>
        <v/>
      </c>
      <c r="AW75" t="str">
        <f>IF(Sistema!AW75="","",Sistema!AW75)</f>
        <v/>
      </c>
      <c r="AX75" t="str">
        <f>IF(Sistema!AX75="","",Sistema!AX75)</f>
        <v/>
      </c>
      <c r="AY75" t="str">
        <f>IF(Sistema!AY75="","",Sistema!AY75)</f>
        <v/>
      </c>
      <c r="AZ75" t="str">
        <f>IF(Sistema!AZ75="","",Sistema!AZ75)</f>
        <v/>
      </c>
      <c r="BA75" t="str">
        <f>IF(Sistema!BA75="","",Sistema!BA75)</f>
        <v/>
      </c>
      <c r="BB75" t="str">
        <f>IF(Sistema!BB75="","",Sistema!BB75)</f>
        <v/>
      </c>
      <c r="BC75" t="str">
        <f>IF(Sistema!BC75="","",Sistema!BC75)</f>
        <v/>
      </c>
      <c r="BD75" t="str">
        <f>IF(Sistema!BD75="","",Sistema!BD75)</f>
        <v/>
      </c>
      <c r="BE75" t="str">
        <f>IF(Sistema!BE75="","",Sistema!BE75)</f>
        <v/>
      </c>
      <c r="BF75" t="str">
        <f>IF(Sistema!BF75="","",Sistema!BF75)</f>
        <v/>
      </c>
      <c r="BG75" t="str">
        <f>IF(Sistema!BG75="","",Sistema!BG75)</f>
        <v/>
      </c>
      <c r="BH75" t="str">
        <f>IF(Sistema!BH75="","",Sistema!BH75)</f>
        <v/>
      </c>
      <c r="BI75" t="str">
        <f>IF(Sistema!BI75="","",Sistema!BI75)</f>
        <v/>
      </c>
      <c r="BJ75" t="str">
        <f>IF(Sistema!BJ75="","",Sistema!BJ75)</f>
        <v/>
      </c>
      <c r="BK75" t="str">
        <f>IF(Sistema!BK75="","",Sistema!BK75)</f>
        <v/>
      </c>
      <c r="BL75" t="str">
        <f>IF(Sistema!BL75="","",Sistema!BL75)</f>
        <v/>
      </c>
      <c r="BM75" t="str">
        <f>IF(Sistema!BM75="","",Sistema!BM75)</f>
        <v/>
      </c>
      <c r="BN75" t="str">
        <f>IF(Sistema!BN75="","",Sistema!BN75)</f>
        <v/>
      </c>
      <c r="BO75" t="str">
        <f>IF(Sistema!BO75="","",Sistema!BO75)</f>
        <v/>
      </c>
      <c r="BP75" t="str">
        <f>IF(Sistema!BP75="","",Sistema!BP75)</f>
        <v/>
      </c>
      <c r="BQ75" t="str">
        <f>IF(Sistema!BQ75="","",Sistema!BQ75)</f>
        <v/>
      </c>
      <c r="BR75" t="str">
        <f>IF(Sistema!BR75="","",Sistema!BR75)</f>
        <v/>
      </c>
      <c r="BS75" t="str">
        <f>IF(Sistema!BS75="","",Sistema!BS75)</f>
        <v/>
      </c>
      <c r="BT75" t="str">
        <f>IF(Sistema!BT75="","",Sistema!BT75)</f>
        <v/>
      </c>
      <c r="BU75" t="str">
        <f>IF(Sistema!BU75="","",Sistema!BU75)</f>
        <v/>
      </c>
      <c r="BV75" t="str">
        <f>IF(Sistema!BV75="","",Sistema!BV75)</f>
        <v/>
      </c>
      <c r="BW75" t="str">
        <f>IF(Sistema!BW75="","",Sistema!BW75)</f>
        <v/>
      </c>
      <c r="BX75" t="str">
        <f>IF(Sistema!BX75="","",Sistema!BX75)</f>
        <v/>
      </c>
      <c r="BY75" t="str">
        <f>IF(Sistema!BY75="","",Sistema!BY75)</f>
        <v/>
      </c>
      <c r="BZ75" t="str">
        <f>IF(Sistema!BZ75="","",Sistema!BZ75)</f>
        <v/>
      </c>
      <c r="CA75" t="str">
        <f>IF(Sistema!CA75="","",Sistema!CA75)</f>
        <v/>
      </c>
      <c r="CB75" t="str">
        <f>IF(Sistema!CB75="","",Sistema!CB75)</f>
        <v/>
      </c>
      <c r="CC75" t="str">
        <f>IF(Sistema!CC75="","",Sistema!CC75)</f>
        <v/>
      </c>
      <c r="CD75" t="str">
        <f>IF(Sistema!CD75="","",Sistema!CD75)</f>
        <v/>
      </c>
    </row>
    <row r="76" spans="1:82" x14ac:dyDescent="0.25">
      <c r="A76" t="str">
        <f>IF(Sistema!A76="","",Sistema!A76)</f>
        <v/>
      </c>
      <c r="B76" t="str">
        <f>IF(Sistema!B76="","",Sistema!B76)</f>
        <v/>
      </c>
      <c r="C76" t="str">
        <f>IF(Sistema!C76="","",Sistema!C76)</f>
        <v/>
      </c>
      <c r="D76" t="str">
        <f>IF(Sistema!D76="","",Sistema!D76)</f>
        <v/>
      </c>
      <c r="E76" t="str">
        <f>IF(Sistema!E76="","",Sistema!E76)</f>
        <v/>
      </c>
      <c r="F76">
        <f>IF(P76&gt;0,1,IF(Sistema!F76=0,-1,1))</f>
        <v>-1</v>
      </c>
      <c r="G76">
        <f>Sistema!G76</f>
        <v>0</v>
      </c>
      <c r="H76" t="str">
        <f>IF(OR(R76="notify",R76=1),"visible",IF(OR(Sistema!F76=-1,Sistema!F76=0,ISNUMBER(SEARCH("PCK",E76))),"hidden",IF(P76&gt;0,"visible","hidden")))</f>
        <v>hidden</v>
      </c>
      <c r="I76" t="str">
        <f>IF(B76="simple",IF(P76&gt;0,"",IF(R76="notify",Info!C$2,"")),IF(B76="variable",IF(P76&gt;0,"",IF(R76="notify",Info!C$4,"")),""))</f>
        <v/>
      </c>
      <c r="J76" t="str">
        <f>IF(Sistema!J76="","",Sistema!J76)</f>
        <v/>
      </c>
      <c r="M76" t="str">
        <f>IF(Sistema!M76="","",Sistema!M76)</f>
        <v/>
      </c>
      <c r="N76" s="6" t="s">
        <v>1557</v>
      </c>
      <c r="O76" s="6">
        <v>1</v>
      </c>
      <c r="P76">
        <f>Sistema!P76</f>
        <v>0</v>
      </c>
      <c r="Q76">
        <f>Sistema!Q76</f>
        <v>0</v>
      </c>
      <c r="R76">
        <f>IF(Sistema!R76=1,"notify",Sistema!R76)</f>
        <v>0</v>
      </c>
      <c r="T76" t="str">
        <f>IF(Sistema!T76="","",Sistema!T76)</f>
        <v/>
      </c>
      <c r="U76" t="str">
        <f>IF(Sistema!U76="","",Sistema!U76)</f>
        <v/>
      </c>
      <c r="V76" t="str">
        <f>IF(Sistema!V76="","",Sistema!V76)</f>
        <v/>
      </c>
      <c r="W76" t="str">
        <f>IF(Sistema!W76="","",Sistema!W76)</f>
        <v/>
      </c>
      <c r="X76" s="6">
        <v>1</v>
      </c>
      <c r="Z76" t="str">
        <f>IF(Sistema!Z76="","",Sistema!Z76)</f>
        <v/>
      </c>
      <c r="AA76" t="str">
        <f>IF(Sistema!AA76="","",Sistema!AA76)</f>
        <v/>
      </c>
      <c r="AB76" t="str">
        <f>IF(Sistema!AB76="","",IF(OR(ISNUMBER(SEARCH("MKP",E76)),ISNUMBER(SEARCH("MKP",C76))),"Marketplace &gt; "&amp;Sistema!AB76,Sistema!AB76))</f>
        <v/>
      </c>
      <c r="AC76" t="str">
        <f>IF(Sistema!AC76="","",Sistema!AC76)</f>
        <v/>
      </c>
      <c r="AE76" t="str">
        <f>IF(Sistema!AE76="","",Sistema!AE76)</f>
        <v/>
      </c>
      <c r="AH76" t="str">
        <f>IF(Sistema!AH76="","",Sistema!AH76)</f>
        <v/>
      </c>
      <c r="AQ76" t="str">
        <f>IF(Sistema!AQ76="","",Sistema!AQ76)</f>
        <v/>
      </c>
      <c r="AR76" t="str">
        <f>IF(Sistema!AR76="","",Sistema!AR76)</f>
        <v/>
      </c>
      <c r="AS76" t="str">
        <f>IF(Sistema!AS76="","",Sistema!AS76)</f>
        <v/>
      </c>
      <c r="AT76" t="str">
        <f>IF(Sistema!AT76="","",Sistema!AT76)</f>
        <v/>
      </c>
      <c r="AU76" t="str">
        <f>IF(Sistema!AU76="","",Sistema!AU76)</f>
        <v/>
      </c>
      <c r="AV76" t="str">
        <f>IF(Sistema!AV76="","",Sistema!AV76)</f>
        <v/>
      </c>
      <c r="AW76" t="str">
        <f>IF(Sistema!AW76="","",Sistema!AW76)</f>
        <v/>
      </c>
      <c r="AX76" t="str">
        <f>IF(Sistema!AX76="","",Sistema!AX76)</f>
        <v/>
      </c>
      <c r="AY76" t="str">
        <f>IF(Sistema!AY76="","",Sistema!AY76)</f>
        <v/>
      </c>
      <c r="AZ76" t="str">
        <f>IF(Sistema!AZ76="","",Sistema!AZ76)</f>
        <v/>
      </c>
      <c r="BA76" t="str">
        <f>IF(Sistema!BA76="","",Sistema!BA76)</f>
        <v/>
      </c>
      <c r="BB76" t="str">
        <f>IF(Sistema!BB76="","",Sistema!BB76)</f>
        <v/>
      </c>
      <c r="BC76" t="str">
        <f>IF(Sistema!BC76="","",Sistema!BC76)</f>
        <v/>
      </c>
      <c r="BD76" t="str">
        <f>IF(Sistema!BD76="","",Sistema!BD76)</f>
        <v/>
      </c>
      <c r="BE76" t="str">
        <f>IF(Sistema!BE76="","",Sistema!BE76)</f>
        <v/>
      </c>
      <c r="BF76" t="str">
        <f>IF(Sistema!BF76="","",Sistema!BF76)</f>
        <v/>
      </c>
      <c r="BG76" t="str">
        <f>IF(Sistema!BG76="","",Sistema!BG76)</f>
        <v/>
      </c>
      <c r="BH76" t="str">
        <f>IF(Sistema!BH76="","",Sistema!BH76)</f>
        <v/>
      </c>
      <c r="BI76" t="str">
        <f>IF(Sistema!BI76="","",Sistema!BI76)</f>
        <v/>
      </c>
      <c r="BJ76" t="str">
        <f>IF(Sistema!BJ76="","",Sistema!BJ76)</f>
        <v/>
      </c>
      <c r="BK76" t="str">
        <f>IF(Sistema!BK76="","",Sistema!BK76)</f>
        <v/>
      </c>
      <c r="BL76" t="str">
        <f>IF(Sistema!BL76="","",Sistema!BL76)</f>
        <v/>
      </c>
      <c r="BM76" t="str">
        <f>IF(Sistema!BM76="","",Sistema!BM76)</f>
        <v/>
      </c>
      <c r="BN76" t="str">
        <f>IF(Sistema!BN76="","",Sistema!BN76)</f>
        <v/>
      </c>
      <c r="BO76" t="str">
        <f>IF(Sistema!BO76="","",Sistema!BO76)</f>
        <v/>
      </c>
      <c r="BP76" t="str">
        <f>IF(Sistema!BP76="","",Sistema!BP76)</f>
        <v/>
      </c>
      <c r="BQ76" t="str">
        <f>IF(Sistema!BQ76="","",Sistema!BQ76)</f>
        <v/>
      </c>
      <c r="BR76" t="str">
        <f>IF(Sistema!BR76="","",Sistema!BR76)</f>
        <v/>
      </c>
      <c r="BS76" t="str">
        <f>IF(Sistema!BS76="","",Sistema!BS76)</f>
        <v/>
      </c>
      <c r="BT76" t="str">
        <f>IF(Sistema!BT76="","",Sistema!BT76)</f>
        <v/>
      </c>
      <c r="BU76" t="str">
        <f>IF(Sistema!BU76="","",Sistema!BU76)</f>
        <v/>
      </c>
      <c r="BV76" t="str">
        <f>IF(Sistema!BV76="","",Sistema!BV76)</f>
        <v/>
      </c>
      <c r="BW76" t="str">
        <f>IF(Sistema!BW76="","",Sistema!BW76)</f>
        <v/>
      </c>
      <c r="BX76" t="str">
        <f>IF(Sistema!BX76="","",Sistema!BX76)</f>
        <v/>
      </c>
      <c r="BY76" t="str">
        <f>IF(Sistema!BY76="","",Sistema!BY76)</f>
        <v/>
      </c>
      <c r="BZ76" t="str">
        <f>IF(Sistema!BZ76="","",Sistema!BZ76)</f>
        <v/>
      </c>
      <c r="CA76" t="str">
        <f>IF(Sistema!CA76="","",Sistema!CA76)</f>
        <v/>
      </c>
      <c r="CB76" t="str">
        <f>IF(Sistema!CB76="","",Sistema!CB76)</f>
        <v/>
      </c>
      <c r="CC76" t="str">
        <f>IF(Sistema!CC76="","",Sistema!CC76)</f>
        <v/>
      </c>
      <c r="CD76" t="str">
        <f>IF(Sistema!CD76="","",Sistema!CD76)</f>
        <v/>
      </c>
    </row>
    <row r="77" spans="1:82" x14ac:dyDescent="0.25">
      <c r="A77" t="str">
        <f>IF(Sistema!A77="","",Sistema!A77)</f>
        <v/>
      </c>
      <c r="B77" t="str">
        <f>IF(Sistema!B77="","",Sistema!B77)</f>
        <v/>
      </c>
      <c r="C77" t="str">
        <f>IF(Sistema!C77="","",Sistema!C77)</f>
        <v/>
      </c>
      <c r="D77" t="str">
        <f>IF(Sistema!D77="","",Sistema!D77)</f>
        <v/>
      </c>
      <c r="E77" t="str">
        <f>IF(Sistema!E77="","",Sistema!E77)</f>
        <v/>
      </c>
      <c r="F77">
        <f>IF(P77&gt;0,1,IF(Sistema!F77=0,-1,1))</f>
        <v>-1</v>
      </c>
      <c r="G77">
        <f>Sistema!G77</f>
        <v>0</v>
      </c>
      <c r="H77" t="str">
        <f>IF(OR(R77="notify",R77=1),"visible",IF(OR(Sistema!F77=-1,Sistema!F77=0,ISNUMBER(SEARCH("PCK",E77))),"hidden",IF(P77&gt;0,"visible","hidden")))</f>
        <v>hidden</v>
      </c>
      <c r="I77" t="str">
        <f>IF(B77="simple",IF(P77&gt;0,"",IF(R77="notify",Info!C$2,"")),IF(B77="variable",IF(P77&gt;0,"",IF(R77="notify",Info!C$4,"")),""))</f>
        <v/>
      </c>
      <c r="J77" t="str">
        <f>IF(Sistema!J77="","",Sistema!J77)</f>
        <v/>
      </c>
      <c r="M77" t="str">
        <f>IF(Sistema!M77="","",Sistema!M77)</f>
        <v/>
      </c>
      <c r="N77" s="6" t="s">
        <v>1557</v>
      </c>
      <c r="O77" s="6">
        <v>1</v>
      </c>
      <c r="P77">
        <f>Sistema!P77</f>
        <v>0</v>
      </c>
      <c r="Q77">
        <f>Sistema!Q77</f>
        <v>0</v>
      </c>
      <c r="R77">
        <f>IF(Sistema!R77=1,"notify",Sistema!R77)</f>
        <v>0</v>
      </c>
      <c r="T77" t="str">
        <f>IF(Sistema!T77="","",Sistema!T77)</f>
        <v/>
      </c>
      <c r="U77" t="str">
        <f>IF(Sistema!U77="","",Sistema!U77)</f>
        <v/>
      </c>
      <c r="V77" t="str">
        <f>IF(Sistema!V77="","",Sistema!V77)</f>
        <v/>
      </c>
      <c r="W77" t="str">
        <f>IF(Sistema!W77="","",Sistema!W77)</f>
        <v/>
      </c>
      <c r="X77" s="6">
        <v>1</v>
      </c>
      <c r="Z77" t="str">
        <f>IF(Sistema!Z77="","",Sistema!Z77)</f>
        <v/>
      </c>
      <c r="AA77" t="str">
        <f>IF(Sistema!AA77="","",Sistema!AA77)</f>
        <v/>
      </c>
      <c r="AB77" t="str">
        <f>IF(Sistema!AB77="","",IF(OR(ISNUMBER(SEARCH("MKP",E77)),ISNUMBER(SEARCH("MKP",C77))),"Marketplace &gt; "&amp;Sistema!AB77,Sistema!AB77))</f>
        <v/>
      </c>
      <c r="AC77" t="str">
        <f>IF(Sistema!AC77="","",Sistema!AC77)</f>
        <v/>
      </c>
      <c r="AE77" t="str">
        <f>IF(Sistema!AE77="","",Sistema!AE77)</f>
        <v/>
      </c>
      <c r="AH77" t="str">
        <f>IF(Sistema!AH77="","",Sistema!AH77)</f>
        <v/>
      </c>
      <c r="AQ77" t="str">
        <f>IF(Sistema!AQ77="","",Sistema!AQ77)</f>
        <v/>
      </c>
      <c r="AR77" t="str">
        <f>IF(Sistema!AR77="","",Sistema!AR77)</f>
        <v/>
      </c>
      <c r="AS77" t="str">
        <f>IF(Sistema!AS77="","",Sistema!AS77)</f>
        <v/>
      </c>
      <c r="AT77" t="str">
        <f>IF(Sistema!AT77="","",Sistema!AT77)</f>
        <v/>
      </c>
      <c r="AU77" t="str">
        <f>IF(Sistema!AU77="","",Sistema!AU77)</f>
        <v/>
      </c>
      <c r="AV77" t="str">
        <f>IF(Sistema!AV77="","",Sistema!AV77)</f>
        <v/>
      </c>
      <c r="AW77" t="str">
        <f>IF(Sistema!AW77="","",Sistema!AW77)</f>
        <v/>
      </c>
      <c r="AX77" t="str">
        <f>IF(Sistema!AX77="","",Sistema!AX77)</f>
        <v/>
      </c>
      <c r="AY77" t="str">
        <f>IF(Sistema!AY77="","",Sistema!AY77)</f>
        <v/>
      </c>
      <c r="AZ77" t="str">
        <f>IF(Sistema!AZ77="","",Sistema!AZ77)</f>
        <v/>
      </c>
      <c r="BA77" t="str">
        <f>IF(Sistema!BA77="","",Sistema!BA77)</f>
        <v/>
      </c>
      <c r="BB77" t="str">
        <f>IF(Sistema!BB77="","",Sistema!BB77)</f>
        <v/>
      </c>
      <c r="BC77" t="str">
        <f>IF(Sistema!BC77="","",Sistema!BC77)</f>
        <v/>
      </c>
      <c r="BD77" t="str">
        <f>IF(Sistema!BD77="","",Sistema!BD77)</f>
        <v/>
      </c>
      <c r="BE77" t="str">
        <f>IF(Sistema!BE77="","",Sistema!BE77)</f>
        <v/>
      </c>
      <c r="BF77" t="str">
        <f>IF(Sistema!BF77="","",Sistema!BF77)</f>
        <v/>
      </c>
      <c r="BG77" t="str">
        <f>IF(Sistema!BG77="","",Sistema!BG77)</f>
        <v/>
      </c>
      <c r="BH77" t="str">
        <f>IF(Sistema!BH77="","",Sistema!BH77)</f>
        <v/>
      </c>
      <c r="BI77" t="str">
        <f>IF(Sistema!BI77="","",Sistema!BI77)</f>
        <v/>
      </c>
      <c r="BJ77" t="str">
        <f>IF(Sistema!BJ77="","",Sistema!BJ77)</f>
        <v/>
      </c>
      <c r="BK77" t="str">
        <f>IF(Sistema!BK77="","",Sistema!BK77)</f>
        <v/>
      </c>
      <c r="BL77" t="str">
        <f>IF(Sistema!BL77="","",Sistema!BL77)</f>
        <v/>
      </c>
      <c r="BM77" t="str">
        <f>IF(Sistema!BM77="","",Sistema!BM77)</f>
        <v/>
      </c>
      <c r="BN77" t="str">
        <f>IF(Sistema!BN77="","",Sistema!BN77)</f>
        <v/>
      </c>
      <c r="BO77" t="str">
        <f>IF(Sistema!BO77="","",Sistema!BO77)</f>
        <v/>
      </c>
      <c r="BP77" t="str">
        <f>IF(Sistema!BP77="","",Sistema!BP77)</f>
        <v/>
      </c>
      <c r="BQ77" t="str">
        <f>IF(Sistema!BQ77="","",Sistema!BQ77)</f>
        <v/>
      </c>
      <c r="BR77" t="str">
        <f>IF(Sistema!BR77="","",Sistema!BR77)</f>
        <v/>
      </c>
      <c r="BS77" t="str">
        <f>IF(Sistema!BS77="","",Sistema!BS77)</f>
        <v/>
      </c>
      <c r="BT77" t="str">
        <f>IF(Sistema!BT77="","",Sistema!BT77)</f>
        <v/>
      </c>
      <c r="BU77" t="str">
        <f>IF(Sistema!BU77="","",Sistema!BU77)</f>
        <v/>
      </c>
      <c r="BV77" t="str">
        <f>IF(Sistema!BV77="","",Sistema!BV77)</f>
        <v/>
      </c>
      <c r="BW77" t="str">
        <f>IF(Sistema!BW77="","",Sistema!BW77)</f>
        <v/>
      </c>
      <c r="BX77" t="str">
        <f>IF(Sistema!BX77="","",Sistema!BX77)</f>
        <v/>
      </c>
      <c r="BY77" t="str">
        <f>IF(Sistema!BY77="","",Sistema!BY77)</f>
        <v/>
      </c>
      <c r="BZ77" t="str">
        <f>IF(Sistema!BZ77="","",Sistema!BZ77)</f>
        <v/>
      </c>
      <c r="CA77" t="str">
        <f>IF(Sistema!CA77="","",Sistema!CA77)</f>
        <v/>
      </c>
      <c r="CB77" t="str">
        <f>IF(Sistema!CB77="","",Sistema!CB77)</f>
        <v/>
      </c>
      <c r="CC77" t="str">
        <f>IF(Sistema!CC77="","",Sistema!CC77)</f>
        <v/>
      </c>
      <c r="CD77" t="str">
        <f>IF(Sistema!CD77="","",Sistema!CD77)</f>
        <v/>
      </c>
    </row>
    <row r="78" spans="1:82" x14ac:dyDescent="0.25">
      <c r="A78" t="str">
        <f>IF(Sistema!A78="","",Sistema!A78)</f>
        <v/>
      </c>
      <c r="B78" t="str">
        <f>IF(Sistema!B78="","",Sistema!B78)</f>
        <v/>
      </c>
      <c r="C78" t="str">
        <f>IF(Sistema!C78="","",Sistema!C78)</f>
        <v/>
      </c>
      <c r="D78" t="str">
        <f>IF(Sistema!D78="","",Sistema!D78)</f>
        <v/>
      </c>
      <c r="E78" t="str">
        <f>IF(Sistema!E78="","",Sistema!E78)</f>
        <v/>
      </c>
      <c r="F78">
        <f>IF(P78&gt;0,1,IF(Sistema!F78=0,-1,1))</f>
        <v>-1</v>
      </c>
      <c r="G78">
        <f>Sistema!G78</f>
        <v>0</v>
      </c>
      <c r="H78" t="str">
        <f>IF(OR(R78="notify",R78=1),"visible",IF(OR(Sistema!F78=-1,Sistema!F78=0,ISNUMBER(SEARCH("PCK",E78))),"hidden",IF(P78&gt;0,"visible","hidden")))</f>
        <v>hidden</v>
      </c>
      <c r="I78" t="str">
        <f>IF(B78="simple",IF(P78&gt;0,"",IF(R78="notify",Info!C$2,"")),IF(B78="variable",IF(P78&gt;0,"",IF(R78="notify",Info!C$4,"")),""))</f>
        <v/>
      </c>
      <c r="J78" t="str">
        <f>IF(Sistema!J78="","",Sistema!J78)</f>
        <v/>
      </c>
      <c r="M78" t="str">
        <f>IF(Sistema!M78="","",Sistema!M78)</f>
        <v/>
      </c>
      <c r="N78" s="6" t="s">
        <v>1557</v>
      </c>
      <c r="O78" s="6">
        <v>1</v>
      </c>
      <c r="P78">
        <f>Sistema!P78</f>
        <v>0</v>
      </c>
      <c r="Q78">
        <f>Sistema!Q78</f>
        <v>0</v>
      </c>
      <c r="R78">
        <f>IF(Sistema!R78=1,"notify",Sistema!R78)</f>
        <v>0</v>
      </c>
      <c r="T78" t="str">
        <f>IF(Sistema!T78="","",Sistema!T78)</f>
        <v/>
      </c>
      <c r="U78" t="str">
        <f>IF(Sistema!U78="","",Sistema!U78)</f>
        <v/>
      </c>
      <c r="V78" t="str">
        <f>IF(Sistema!V78="","",Sistema!V78)</f>
        <v/>
      </c>
      <c r="W78" t="str">
        <f>IF(Sistema!W78="","",Sistema!W78)</f>
        <v/>
      </c>
      <c r="X78" s="6">
        <v>1</v>
      </c>
      <c r="Z78" t="str">
        <f>IF(Sistema!Z78="","",Sistema!Z78)</f>
        <v/>
      </c>
      <c r="AA78" t="str">
        <f>IF(Sistema!AA78="","",Sistema!AA78)</f>
        <v/>
      </c>
      <c r="AB78" t="str">
        <f>IF(Sistema!AB78="","",IF(OR(ISNUMBER(SEARCH("MKP",E78)),ISNUMBER(SEARCH("MKP",C78))),"Marketplace &gt; "&amp;Sistema!AB78,Sistema!AB78))</f>
        <v/>
      </c>
      <c r="AC78" t="str">
        <f>IF(Sistema!AC78="","",Sistema!AC78)</f>
        <v/>
      </c>
      <c r="AE78" t="str">
        <f>IF(Sistema!AE78="","",Sistema!AE78)</f>
        <v/>
      </c>
      <c r="AH78" t="str">
        <f>IF(Sistema!AH78="","",Sistema!AH78)</f>
        <v/>
      </c>
      <c r="AQ78" t="str">
        <f>IF(Sistema!AQ78="","",Sistema!AQ78)</f>
        <v/>
      </c>
      <c r="AR78" t="str">
        <f>IF(Sistema!AR78="","",Sistema!AR78)</f>
        <v/>
      </c>
      <c r="AS78" t="str">
        <f>IF(Sistema!AS78="","",Sistema!AS78)</f>
        <v/>
      </c>
      <c r="AT78" t="str">
        <f>IF(Sistema!AT78="","",Sistema!AT78)</f>
        <v/>
      </c>
      <c r="AU78" t="str">
        <f>IF(Sistema!AU78="","",Sistema!AU78)</f>
        <v/>
      </c>
      <c r="AV78" t="str">
        <f>IF(Sistema!AV78="","",Sistema!AV78)</f>
        <v/>
      </c>
      <c r="AW78" t="str">
        <f>IF(Sistema!AW78="","",Sistema!AW78)</f>
        <v/>
      </c>
      <c r="AX78" t="str">
        <f>IF(Sistema!AX78="","",Sistema!AX78)</f>
        <v/>
      </c>
      <c r="AY78" t="str">
        <f>IF(Sistema!AY78="","",Sistema!AY78)</f>
        <v/>
      </c>
      <c r="AZ78" t="str">
        <f>IF(Sistema!AZ78="","",Sistema!AZ78)</f>
        <v/>
      </c>
      <c r="BA78" t="str">
        <f>IF(Sistema!BA78="","",Sistema!BA78)</f>
        <v/>
      </c>
      <c r="BB78" t="str">
        <f>IF(Sistema!BB78="","",Sistema!BB78)</f>
        <v/>
      </c>
      <c r="BC78" t="str">
        <f>IF(Sistema!BC78="","",Sistema!BC78)</f>
        <v/>
      </c>
      <c r="BD78" t="str">
        <f>IF(Sistema!BD78="","",Sistema!BD78)</f>
        <v/>
      </c>
      <c r="BE78" t="str">
        <f>IF(Sistema!BE78="","",Sistema!BE78)</f>
        <v/>
      </c>
      <c r="BF78" t="str">
        <f>IF(Sistema!BF78="","",Sistema!BF78)</f>
        <v/>
      </c>
      <c r="BG78" t="str">
        <f>IF(Sistema!BG78="","",Sistema!BG78)</f>
        <v/>
      </c>
      <c r="BH78" t="str">
        <f>IF(Sistema!BH78="","",Sistema!BH78)</f>
        <v/>
      </c>
      <c r="BI78" t="str">
        <f>IF(Sistema!BI78="","",Sistema!BI78)</f>
        <v/>
      </c>
      <c r="BJ78" t="str">
        <f>IF(Sistema!BJ78="","",Sistema!BJ78)</f>
        <v/>
      </c>
      <c r="BK78" t="str">
        <f>IF(Sistema!BK78="","",Sistema!BK78)</f>
        <v/>
      </c>
      <c r="BL78" t="str">
        <f>IF(Sistema!BL78="","",Sistema!BL78)</f>
        <v/>
      </c>
      <c r="BM78" t="str">
        <f>IF(Sistema!BM78="","",Sistema!BM78)</f>
        <v/>
      </c>
      <c r="BN78" t="str">
        <f>IF(Sistema!BN78="","",Sistema!BN78)</f>
        <v/>
      </c>
      <c r="BO78" t="str">
        <f>IF(Sistema!BO78="","",Sistema!BO78)</f>
        <v/>
      </c>
      <c r="BP78" t="str">
        <f>IF(Sistema!BP78="","",Sistema!BP78)</f>
        <v/>
      </c>
      <c r="BQ78" t="str">
        <f>IF(Sistema!BQ78="","",Sistema!BQ78)</f>
        <v/>
      </c>
      <c r="BR78" t="str">
        <f>IF(Sistema!BR78="","",Sistema!BR78)</f>
        <v/>
      </c>
      <c r="BS78" t="str">
        <f>IF(Sistema!BS78="","",Sistema!BS78)</f>
        <v/>
      </c>
      <c r="BT78" t="str">
        <f>IF(Sistema!BT78="","",Sistema!BT78)</f>
        <v/>
      </c>
      <c r="BU78" t="str">
        <f>IF(Sistema!BU78="","",Sistema!BU78)</f>
        <v/>
      </c>
      <c r="BV78" t="str">
        <f>IF(Sistema!BV78="","",Sistema!BV78)</f>
        <v/>
      </c>
      <c r="BW78" t="str">
        <f>IF(Sistema!BW78="","",Sistema!BW78)</f>
        <v/>
      </c>
      <c r="BX78" t="str">
        <f>IF(Sistema!BX78="","",Sistema!BX78)</f>
        <v/>
      </c>
      <c r="BY78" t="str">
        <f>IF(Sistema!BY78="","",Sistema!BY78)</f>
        <v/>
      </c>
      <c r="BZ78" t="str">
        <f>IF(Sistema!BZ78="","",Sistema!BZ78)</f>
        <v/>
      </c>
      <c r="CA78" t="str">
        <f>IF(Sistema!CA78="","",Sistema!CA78)</f>
        <v/>
      </c>
      <c r="CB78" t="str">
        <f>IF(Sistema!CB78="","",Sistema!CB78)</f>
        <v/>
      </c>
      <c r="CC78" t="str">
        <f>IF(Sistema!CC78="","",Sistema!CC78)</f>
        <v/>
      </c>
      <c r="CD78" t="str">
        <f>IF(Sistema!CD78="","",Sistema!CD78)</f>
        <v/>
      </c>
    </row>
    <row r="79" spans="1:82" x14ac:dyDescent="0.25">
      <c r="A79" t="str">
        <f>IF(Sistema!A79="","",Sistema!A79)</f>
        <v/>
      </c>
      <c r="B79" t="str">
        <f>IF(Sistema!B79="","",Sistema!B79)</f>
        <v/>
      </c>
      <c r="C79" t="str">
        <f>IF(Sistema!C79="","",Sistema!C79)</f>
        <v/>
      </c>
      <c r="D79" t="str">
        <f>IF(Sistema!D79="","",Sistema!D79)</f>
        <v/>
      </c>
      <c r="E79" t="str">
        <f>IF(Sistema!E79="","",Sistema!E79)</f>
        <v/>
      </c>
      <c r="F79">
        <f>IF(P79&gt;0,1,IF(Sistema!F79=0,-1,1))</f>
        <v>-1</v>
      </c>
      <c r="G79">
        <f>Sistema!G79</f>
        <v>0</v>
      </c>
      <c r="H79" t="str">
        <f>IF(OR(R79="notify",R79=1),"visible",IF(OR(Sistema!F79=-1,Sistema!F79=0,ISNUMBER(SEARCH("PCK",E79))),"hidden",IF(P79&gt;0,"visible","hidden")))</f>
        <v>hidden</v>
      </c>
      <c r="I79" t="str">
        <f>IF(B79="simple",IF(P79&gt;0,"",IF(R79="notify",Info!C$2,"")),IF(B79="variable",IF(P79&gt;0,"",IF(R79="notify",Info!C$4,"")),""))</f>
        <v/>
      </c>
      <c r="J79" t="str">
        <f>IF(Sistema!J79="","",Sistema!J79)</f>
        <v/>
      </c>
      <c r="M79" t="str">
        <f>IF(Sistema!M79="","",Sistema!M79)</f>
        <v/>
      </c>
      <c r="N79" s="6" t="s">
        <v>1557</v>
      </c>
      <c r="O79" s="6">
        <v>1</v>
      </c>
      <c r="P79">
        <f>Sistema!P79</f>
        <v>0</v>
      </c>
      <c r="Q79">
        <f>Sistema!Q79</f>
        <v>0</v>
      </c>
      <c r="R79">
        <f>IF(Sistema!R79=1,"notify",Sistema!R79)</f>
        <v>0</v>
      </c>
      <c r="T79" t="str">
        <f>IF(Sistema!T79="","",Sistema!T79)</f>
        <v/>
      </c>
      <c r="U79" t="str">
        <f>IF(Sistema!U79="","",Sistema!U79)</f>
        <v/>
      </c>
      <c r="V79" t="str">
        <f>IF(Sistema!V79="","",Sistema!V79)</f>
        <v/>
      </c>
      <c r="W79" t="str">
        <f>IF(Sistema!W79="","",Sistema!W79)</f>
        <v/>
      </c>
      <c r="X79" s="6">
        <v>1</v>
      </c>
      <c r="Z79" t="str">
        <f>IF(Sistema!Z79="","",Sistema!Z79)</f>
        <v/>
      </c>
      <c r="AA79" t="str">
        <f>IF(Sistema!AA79="","",Sistema!AA79)</f>
        <v/>
      </c>
      <c r="AB79" t="str">
        <f>IF(Sistema!AB79="","",IF(OR(ISNUMBER(SEARCH("MKP",E79)),ISNUMBER(SEARCH("MKP",C79))),"Marketplace &gt; "&amp;Sistema!AB79,Sistema!AB79))</f>
        <v/>
      </c>
      <c r="AC79" t="str">
        <f>IF(Sistema!AC79="","",Sistema!AC79)</f>
        <v/>
      </c>
      <c r="AE79" t="str">
        <f>IF(Sistema!AE79="","",Sistema!AE79)</f>
        <v/>
      </c>
      <c r="AH79" t="str">
        <f>IF(Sistema!AH79="","",Sistema!AH79)</f>
        <v/>
      </c>
      <c r="AQ79" t="str">
        <f>IF(Sistema!AQ79="","",Sistema!AQ79)</f>
        <v/>
      </c>
      <c r="AR79" t="str">
        <f>IF(Sistema!AR79="","",Sistema!AR79)</f>
        <v/>
      </c>
      <c r="AS79" t="str">
        <f>IF(Sistema!AS79="","",Sistema!AS79)</f>
        <v/>
      </c>
      <c r="AT79" t="str">
        <f>IF(Sistema!AT79="","",Sistema!AT79)</f>
        <v/>
      </c>
      <c r="AU79" t="str">
        <f>IF(Sistema!AU79="","",Sistema!AU79)</f>
        <v/>
      </c>
      <c r="AV79" t="str">
        <f>IF(Sistema!AV79="","",Sistema!AV79)</f>
        <v/>
      </c>
      <c r="AW79" t="str">
        <f>IF(Sistema!AW79="","",Sistema!AW79)</f>
        <v/>
      </c>
      <c r="AX79" t="str">
        <f>IF(Sistema!AX79="","",Sistema!AX79)</f>
        <v/>
      </c>
      <c r="AY79" t="str">
        <f>IF(Sistema!AY79="","",Sistema!AY79)</f>
        <v/>
      </c>
      <c r="AZ79" t="str">
        <f>IF(Sistema!AZ79="","",Sistema!AZ79)</f>
        <v/>
      </c>
      <c r="BA79" t="str">
        <f>IF(Sistema!BA79="","",Sistema!BA79)</f>
        <v/>
      </c>
      <c r="BB79" t="str">
        <f>IF(Sistema!BB79="","",Sistema!BB79)</f>
        <v/>
      </c>
      <c r="BC79" t="str">
        <f>IF(Sistema!BC79="","",Sistema!BC79)</f>
        <v/>
      </c>
      <c r="BD79" t="str">
        <f>IF(Sistema!BD79="","",Sistema!BD79)</f>
        <v/>
      </c>
      <c r="BE79" t="str">
        <f>IF(Sistema!BE79="","",Sistema!BE79)</f>
        <v/>
      </c>
      <c r="BF79" t="str">
        <f>IF(Sistema!BF79="","",Sistema!BF79)</f>
        <v/>
      </c>
      <c r="BG79" t="str">
        <f>IF(Sistema!BG79="","",Sistema!BG79)</f>
        <v/>
      </c>
      <c r="BH79" t="str">
        <f>IF(Sistema!BH79="","",Sistema!BH79)</f>
        <v/>
      </c>
      <c r="BI79" t="str">
        <f>IF(Sistema!BI79="","",Sistema!BI79)</f>
        <v/>
      </c>
      <c r="BJ79" t="str">
        <f>IF(Sistema!BJ79="","",Sistema!BJ79)</f>
        <v/>
      </c>
      <c r="BK79" t="str">
        <f>IF(Sistema!BK79="","",Sistema!BK79)</f>
        <v/>
      </c>
      <c r="BL79" t="str">
        <f>IF(Sistema!BL79="","",Sistema!BL79)</f>
        <v/>
      </c>
      <c r="BM79" t="str">
        <f>IF(Sistema!BM79="","",Sistema!BM79)</f>
        <v/>
      </c>
      <c r="BN79" t="str">
        <f>IF(Sistema!BN79="","",Sistema!BN79)</f>
        <v/>
      </c>
      <c r="BO79" t="str">
        <f>IF(Sistema!BO79="","",Sistema!BO79)</f>
        <v/>
      </c>
      <c r="BP79" t="str">
        <f>IF(Sistema!BP79="","",Sistema!BP79)</f>
        <v/>
      </c>
      <c r="BQ79" t="str">
        <f>IF(Sistema!BQ79="","",Sistema!BQ79)</f>
        <v/>
      </c>
      <c r="BR79" t="str">
        <f>IF(Sistema!BR79="","",Sistema!BR79)</f>
        <v/>
      </c>
      <c r="BS79" t="str">
        <f>IF(Sistema!BS79="","",Sistema!BS79)</f>
        <v/>
      </c>
      <c r="BT79" t="str">
        <f>IF(Sistema!BT79="","",Sistema!BT79)</f>
        <v/>
      </c>
      <c r="BU79" t="str">
        <f>IF(Sistema!BU79="","",Sistema!BU79)</f>
        <v/>
      </c>
      <c r="BV79" t="str">
        <f>IF(Sistema!BV79="","",Sistema!BV79)</f>
        <v/>
      </c>
      <c r="BW79" t="str">
        <f>IF(Sistema!BW79="","",Sistema!BW79)</f>
        <v/>
      </c>
      <c r="BX79" t="str">
        <f>IF(Sistema!BX79="","",Sistema!BX79)</f>
        <v/>
      </c>
      <c r="BY79" t="str">
        <f>IF(Sistema!BY79="","",Sistema!BY79)</f>
        <v/>
      </c>
      <c r="BZ79" t="str">
        <f>IF(Sistema!BZ79="","",Sistema!BZ79)</f>
        <v/>
      </c>
      <c r="CA79" t="str">
        <f>IF(Sistema!CA79="","",Sistema!CA79)</f>
        <v/>
      </c>
      <c r="CB79" t="str">
        <f>IF(Sistema!CB79="","",Sistema!CB79)</f>
        <v/>
      </c>
      <c r="CC79" t="str">
        <f>IF(Sistema!CC79="","",Sistema!CC79)</f>
        <v/>
      </c>
      <c r="CD79" t="str">
        <f>IF(Sistema!CD79="","",Sistema!CD79)</f>
        <v/>
      </c>
    </row>
    <row r="80" spans="1:82" x14ac:dyDescent="0.25">
      <c r="A80" t="str">
        <f>IF(Sistema!A80="","",Sistema!A80)</f>
        <v/>
      </c>
      <c r="B80" t="str">
        <f>IF(Sistema!B80="","",Sistema!B80)</f>
        <v/>
      </c>
      <c r="C80" t="str">
        <f>IF(Sistema!C80="","",Sistema!C80)</f>
        <v/>
      </c>
      <c r="D80" t="str">
        <f>IF(Sistema!D80="","",Sistema!D80)</f>
        <v/>
      </c>
      <c r="E80" t="str">
        <f>IF(Sistema!E80="","",Sistema!E80)</f>
        <v/>
      </c>
      <c r="F80">
        <f>IF(P80&gt;0,1,IF(Sistema!F80=0,-1,1))</f>
        <v>-1</v>
      </c>
      <c r="G80">
        <f>Sistema!G80</f>
        <v>0</v>
      </c>
      <c r="H80" t="str">
        <f>IF(OR(R80="notify",R80=1),"visible",IF(OR(Sistema!F80=-1,Sistema!F80=0,ISNUMBER(SEARCH("PCK",E80))),"hidden",IF(P80&gt;0,"visible","hidden")))</f>
        <v>hidden</v>
      </c>
      <c r="I80" t="str">
        <f>IF(B80="simple",IF(P80&gt;0,"",IF(R80="notify",Info!C$2,"")),IF(B80="variable",IF(P80&gt;0,"",IF(R80="notify",Info!C$4,"")),""))</f>
        <v/>
      </c>
      <c r="J80" t="str">
        <f>IF(Sistema!J80="","",Sistema!J80)</f>
        <v/>
      </c>
      <c r="M80" t="str">
        <f>IF(Sistema!M80="","",Sistema!M80)</f>
        <v/>
      </c>
      <c r="N80" s="6" t="s">
        <v>1557</v>
      </c>
      <c r="O80" s="6">
        <v>1</v>
      </c>
      <c r="P80">
        <f>Sistema!P80</f>
        <v>0</v>
      </c>
      <c r="Q80">
        <f>Sistema!Q80</f>
        <v>0</v>
      </c>
      <c r="R80">
        <f>IF(Sistema!R80=1,"notify",Sistema!R80)</f>
        <v>0</v>
      </c>
      <c r="T80" t="str">
        <f>IF(Sistema!T80="","",Sistema!T80)</f>
        <v/>
      </c>
      <c r="U80" t="str">
        <f>IF(Sistema!U80="","",Sistema!U80)</f>
        <v/>
      </c>
      <c r="V80" t="str">
        <f>IF(Sistema!V80="","",Sistema!V80)</f>
        <v/>
      </c>
      <c r="W80" t="str">
        <f>IF(Sistema!W80="","",Sistema!W80)</f>
        <v/>
      </c>
      <c r="X80" s="6">
        <v>1</v>
      </c>
      <c r="Z80" t="str">
        <f>IF(Sistema!Z80="","",Sistema!Z80)</f>
        <v/>
      </c>
      <c r="AA80" t="str">
        <f>IF(Sistema!AA80="","",Sistema!AA80)</f>
        <v/>
      </c>
      <c r="AB80" t="str">
        <f>IF(Sistema!AB80="","",IF(OR(ISNUMBER(SEARCH("MKP",E80)),ISNUMBER(SEARCH("MKP",C80))),"Marketplace &gt; "&amp;Sistema!AB80,Sistema!AB80))</f>
        <v/>
      </c>
      <c r="AC80" t="str">
        <f>IF(Sistema!AC80="","",Sistema!AC80)</f>
        <v/>
      </c>
      <c r="AE80" t="str">
        <f>IF(Sistema!AE80="","",Sistema!AE80)</f>
        <v/>
      </c>
      <c r="AH80" t="str">
        <f>IF(Sistema!AH80="","",Sistema!AH80)</f>
        <v/>
      </c>
      <c r="AQ80" t="str">
        <f>IF(Sistema!AQ80="","",Sistema!AQ80)</f>
        <v/>
      </c>
      <c r="AR80" t="str">
        <f>IF(Sistema!AR80="","",Sistema!AR80)</f>
        <v/>
      </c>
      <c r="AS80" t="str">
        <f>IF(Sistema!AS80="","",Sistema!AS80)</f>
        <v/>
      </c>
      <c r="AT80" t="str">
        <f>IF(Sistema!AT80="","",Sistema!AT80)</f>
        <v/>
      </c>
      <c r="AU80" t="str">
        <f>IF(Sistema!AU80="","",Sistema!AU80)</f>
        <v/>
      </c>
      <c r="AV80" t="str">
        <f>IF(Sistema!AV80="","",Sistema!AV80)</f>
        <v/>
      </c>
      <c r="AW80" t="str">
        <f>IF(Sistema!AW80="","",Sistema!AW80)</f>
        <v/>
      </c>
      <c r="AX80" t="str">
        <f>IF(Sistema!AX80="","",Sistema!AX80)</f>
        <v/>
      </c>
      <c r="AY80" t="str">
        <f>IF(Sistema!AY80="","",Sistema!AY80)</f>
        <v/>
      </c>
      <c r="AZ80" t="str">
        <f>IF(Sistema!AZ80="","",Sistema!AZ80)</f>
        <v/>
      </c>
      <c r="BA80" t="str">
        <f>IF(Sistema!BA80="","",Sistema!BA80)</f>
        <v/>
      </c>
      <c r="BB80" t="str">
        <f>IF(Sistema!BB80="","",Sistema!BB80)</f>
        <v/>
      </c>
      <c r="BC80" t="str">
        <f>IF(Sistema!BC80="","",Sistema!BC80)</f>
        <v/>
      </c>
      <c r="BD80" t="str">
        <f>IF(Sistema!BD80="","",Sistema!BD80)</f>
        <v/>
      </c>
      <c r="BE80" t="str">
        <f>IF(Sistema!BE80="","",Sistema!BE80)</f>
        <v/>
      </c>
      <c r="BF80" t="str">
        <f>IF(Sistema!BF80="","",Sistema!BF80)</f>
        <v/>
      </c>
      <c r="BG80" t="str">
        <f>IF(Sistema!BG80="","",Sistema!BG80)</f>
        <v/>
      </c>
      <c r="BH80" t="str">
        <f>IF(Sistema!BH80="","",Sistema!BH80)</f>
        <v/>
      </c>
      <c r="BI80" t="str">
        <f>IF(Sistema!BI80="","",Sistema!BI80)</f>
        <v/>
      </c>
      <c r="BJ80" t="str">
        <f>IF(Sistema!BJ80="","",Sistema!BJ80)</f>
        <v/>
      </c>
      <c r="BK80" t="str">
        <f>IF(Sistema!BK80="","",Sistema!BK80)</f>
        <v/>
      </c>
      <c r="BL80" t="str">
        <f>IF(Sistema!BL80="","",Sistema!BL80)</f>
        <v/>
      </c>
      <c r="BM80" t="str">
        <f>IF(Sistema!BM80="","",Sistema!BM80)</f>
        <v/>
      </c>
      <c r="BN80" t="str">
        <f>IF(Sistema!BN80="","",Sistema!BN80)</f>
        <v/>
      </c>
      <c r="BO80" t="str">
        <f>IF(Sistema!BO80="","",Sistema!BO80)</f>
        <v/>
      </c>
      <c r="BP80" t="str">
        <f>IF(Sistema!BP80="","",Sistema!BP80)</f>
        <v/>
      </c>
      <c r="BQ80" t="str">
        <f>IF(Sistema!BQ80="","",Sistema!BQ80)</f>
        <v/>
      </c>
      <c r="BR80" t="str">
        <f>IF(Sistema!BR80="","",Sistema!BR80)</f>
        <v/>
      </c>
      <c r="BS80" t="str">
        <f>IF(Sistema!BS80="","",Sistema!BS80)</f>
        <v/>
      </c>
      <c r="BT80" t="str">
        <f>IF(Sistema!BT80="","",Sistema!BT80)</f>
        <v/>
      </c>
      <c r="BU80" t="str">
        <f>IF(Sistema!BU80="","",Sistema!BU80)</f>
        <v/>
      </c>
      <c r="BV80" t="str">
        <f>IF(Sistema!BV80="","",Sistema!BV80)</f>
        <v/>
      </c>
      <c r="BW80" t="str">
        <f>IF(Sistema!BW80="","",Sistema!BW80)</f>
        <v/>
      </c>
      <c r="BX80" t="str">
        <f>IF(Sistema!BX80="","",Sistema!BX80)</f>
        <v/>
      </c>
      <c r="BY80" t="str">
        <f>IF(Sistema!BY80="","",Sistema!BY80)</f>
        <v/>
      </c>
      <c r="BZ80" t="str">
        <f>IF(Sistema!BZ80="","",Sistema!BZ80)</f>
        <v/>
      </c>
      <c r="CA80" t="str">
        <f>IF(Sistema!CA80="","",Sistema!CA80)</f>
        <v/>
      </c>
      <c r="CB80" t="str">
        <f>IF(Sistema!CB80="","",Sistema!CB80)</f>
        <v/>
      </c>
      <c r="CC80" t="str">
        <f>IF(Sistema!CC80="","",Sistema!CC80)</f>
        <v/>
      </c>
      <c r="CD80" t="str">
        <f>IF(Sistema!CD80="","",Sistema!CD80)</f>
        <v/>
      </c>
    </row>
    <row r="81" spans="1:82" x14ac:dyDescent="0.25">
      <c r="A81" t="str">
        <f>IF(Sistema!A81="","",Sistema!A81)</f>
        <v/>
      </c>
      <c r="B81" t="str">
        <f>IF(Sistema!B81="","",Sistema!B81)</f>
        <v/>
      </c>
      <c r="C81" t="str">
        <f>IF(Sistema!C81="","",Sistema!C81)</f>
        <v/>
      </c>
      <c r="D81" t="str">
        <f>IF(Sistema!D81="","",Sistema!D81)</f>
        <v/>
      </c>
      <c r="E81" t="str">
        <f>IF(Sistema!E81="","",Sistema!E81)</f>
        <v/>
      </c>
      <c r="F81">
        <f>IF(P81&gt;0,1,IF(Sistema!F81=0,-1,1))</f>
        <v>-1</v>
      </c>
      <c r="G81">
        <f>Sistema!G81</f>
        <v>0</v>
      </c>
      <c r="H81" t="str">
        <f>IF(OR(R81="notify",R81=1),"visible",IF(OR(Sistema!F81=-1,Sistema!F81=0,ISNUMBER(SEARCH("PCK",E81))),"hidden",IF(P81&gt;0,"visible","hidden")))</f>
        <v>hidden</v>
      </c>
      <c r="I81" t="str">
        <f>IF(B81="simple",IF(P81&gt;0,"",IF(R81="notify",Info!C$2,"")),IF(B81="variable",IF(P81&gt;0,"",IF(R81="notify",Info!C$4,"")),""))</f>
        <v/>
      </c>
      <c r="J81" t="str">
        <f>IF(Sistema!J81="","",Sistema!J81)</f>
        <v/>
      </c>
      <c r="M81" t="str">
        <f>IF(Sistema!M81="","",Sistema!M81)</f>
        <v/>
      </c>
      <c r="N81" s="6" t="s">
        <v>1557</v>
      </c>
      <c r="O81" s="6">
        <v>1</v>
      </c>
      <c r="P81">
        <f>Sistema!P81</f>
        <v>0</v>
      </c>
      <c r="Q81">
        <f>Sistema!Q81</f>
        <v>0</v>
      </c>
      <c r="R81">
        <f>IF(Sistema!R81=1,"notify",Sistema!R81)</f>
        <v>0</v>
      </c>
      <c r="T81" t="str">
        <f>IF(Sistema!T81="","",Sistema!T81)</f>
        <v/>
      </c>
      <c r="U81" t="str">
        <f>IF(Sistema!U81="","",Sistema!U81)</f>
        <v/>
      </c>
      <c r="V81" t="str">
        <f>IF(Sistema!V81="","",Sistema!V81)</f>
        <v/>
      </c>
      <c r="W81" t="str">
        <f>IF(Sistema!W81="","",Sistema!W81)</f>
        <v/>
      </c>
      <c r="X81" s="6">
        <v>1</v>
      </c>
      <c r="Z81" t="str">
        <f>IF(Sistema!Z81="","",Sistema!Z81)</f>
        <v/>
      </c>
      <c r="AA81" t="str">
        <f>IF(Sistema!AA81="","",Sistema!AA81)</f>
        <v/>
      </c>
      <c r="AB81" t="str">
        <f>IF(Sistema!AB81="","",IF(OR(ISNUMBER(SEARCH("MKP",E81)),ISNUMBER(SEARCH("MKP",C81))),"Marketplace &gt; "&amp;Sistema!AB81,Sistema!AB81))</f>
        <v/>
      </c>
      <c r="AC81" t="str">
        <f>IF(Sistema!AC81="","",Sistema!AC81)</f>
        <v/>
      </c>
      <c r="AE81" t="str">
        <f>IF(Sistema!AE81="","",Sistema!AE81)</f>
        <v/>
      </c>
      <c r="AH81" t="str">
        <f>IF(Sistema!AH81="","",Sistema!AH81)</f>
        <v/>
      </c>
      <c r="AQ81" t="str">
        <f>IF(Sistema!AQ81="","",Sistema!AQ81)</f>
        <v/>
      </c>
      <c r="AR81" t="str">
        <f>IF(Sistema!AR81="","",Sistema!AR81)</f>
        <v/>
      </c>
      <c r="AS81" t="str">
        <f>IF(Sistema!AS81="","",Sistema!AS81)</f>
        <v/>
      </c>
      <c r="AT81" t="str">
        <f>IF(Sistema!AT81="","",Sistema!AT81)</f>
        <v/>
      </c>
      <c r="AU81" t="str">
        <f>IF(Sistema!AU81="","",Sistema!AU81)</f>
        <v/>
      </c>
      <c r="AV81" t="str">
        <f>IF(Sistema!AV81="","",Sistema!AV81)</f>
        <v/>
      </c>
      <c r="AW81" t="str">
        <f>IF(Sistema!AW81="","",Sistema!AW81)</f>
        <v/>
      </c>
      <c r="AX81" t="str">
        <f>IF(Sistema!AX81="","",Sistema!AX81)</f>
        <v/>
      </c>
      <c r="AY81" t="str">
        <f>IF(Sistema!AY81="","",Sistema!AY81)</f>
        <v/>
      </c>
      <c r="AZ81" t="str">
        <f>IF(Sistema!AZ81="","",Sistema!AZ81)</f>
        <v/>
      </c>
      <c r="BA81" t="str">
        <f>IF(Sistema!BA81="","",Sistema!BA81)</f>
        <v/>
      </c>
      <c r="BB81" t="str">
        <f>IF(Sistema!BB81="","",Sistema!BB81)</f>
        <v/>
      </c>
      <c r="BC81" t="str">
        <f>IF(Sistema!BC81="","",Sistema!BC81)</f>
        <v/>
      </c>
      <c r="BD81" t="str">
        <f>IF(Sistema!BD81="","",Sistema!BD81)</f>
        <v/>
      </c>
      <c r="BE81" t="str">
        <f>IF(Sistema!BE81="","",Sistema!BE81)</f>
        <v/>
      </c>
      <c r="BF81" t="str">
        <f>IF(Sistema!BF81="","",Sistema!BF81)</f>
        <v/>
      </c>
      <c r="BG81" t="str">
        <f>IF(Sistema!BG81="","",Sistema!BG81)</f>
        <v/>
      </c>
      <c r="BH81" t="str">
        <f>IF(Sistema!BH81="","",Sistema!BH81)</f>
        <v/>
      </c>
      <c r="BI81" t="str">
        <f>IF(Sistema!BI81="","",Sistema!BI81)</f>
        <v/>
      </c>
      <c r="BJ81" t="str">
        <f>IF(Sistema!BJ81="","",Sistema!BJ81)</f>
        <v/>
      </c>
      <c r="BK81" t="str">
        <f>IF(Sistema!BK81="","",Sistema!BK81)</f>
        <v/>
      </c>
      <c r="BL81" t="str">
        <f>IF(Sistema!BL81="","",Sistema!BL81)</f>
        <v/>
      </c>
      <c r="BM81" t="str">
        <f>IF(Sistema!BM81="","",Sistema!BM81)</f>
        <v/>
      </c>
      <c r="BN81" t="str">
        <f>IF(Sistema!BN81="","",Sistema!BN81)</f>
        <v/>
      </c>
      <c r="BO81" t="str">
        <f>IF(Sistema!BO81="","",Sistema!BO81)</f>
        <v/>
      </c>
      <c r="BP81" t="str">
        <f>IF(Sistema!BP81="","",Sistema!BP81)</f>
        <v/>
      </c>
      <c r="BQ81" t="str">
        <f>IF(Sistema!BQ81="","",Sistema!BQ81)</f>
        <v/>
      </c>
      <c r="BR81" t="str">
        <f>IF(Sistema!BR81="","",Sistema!BR81)</f>
        <v/>
      </c>
      <c r="BS81" t="str">
        <f>IF(Sistema!BS81="","",Sistema!BS81)</f>
        <v/>
      </c>
      <c r="BT81" t="str">
        <f>IF(Sistema!BT81="","",Sistema!BT81)</f>
        <v/>
      </c>
      <c r="BU81" t="str">
        <f>IF(Sistema!BU81="","",Sistema!BU81)</f>
        <v/>
      </c>
      <c r="BV81" t="str">
        <f>IF(Sistema!BV81="","",Sistema!BV81)</f>
        <v/>
      </c>
      <c r="BW81" t="str">
        <f>IF(Sistema!BW81="","",Sistema!BW81)</f>
        <v/>
      </c>
      <c r="BX81" t="str">
        <f>IF(Sistema!BX81="","",Sistema!BX81)</f>
        <v/>
      </c>
      <c r="BY81" t="str">
        <f>IF(Sistema!BY81="","",Sistema!BY81)</f>
        <v/>
      </c>
      <c r="BZ81" t="str">
        <f>IF(Sistema!BZ81="","",Sistema!BZ81)</f>
        <v/>
      </c>
      <c r="CA81" t="str">
        <f>IF(Sistema!CA81="","",Sistema!CA81)</f>
        <v/>
      </c>
      <c r="CB81" t="str">
        <f>IF(Sistema!CB81="","",Sistema!CB81)</f>
        <v/>
      </c>
      <c r="CC81" t="str">
        <f>IF(Sistema!CC81="","",Sistema!CC81)</f>
        <v/>
      </c>
      <c r="CD81" t="str">
        <f>IF(Sistema!CD81="","",Sistema!CD81)</f>
        <v/>
      </c>
    </row>
    <row r="82" spans="1:82" x14ac:dyDescent="0.25">
      <c r="A82" t="str">
        <f>IF(Sistema!A82="","",Sistema!A82)</f>
        <v/>
      </c>
      <c r="B82" t="str">
        <f>IF(Sistema!B82="","",Sistema!B82)</f>
        <v/>
      </c>
      <c r="C82" t="str">
        <f>IF(Sistema!C82="","",Sistema!C82)</f>
        <v/>
      </c>
      <c r="D82" t="str">
        <f>IF(Sistema!D82="","",Sistema!D82)</f>
        <v/>
      </c>
      <c r="E82" t="str">
        <f>IF(Sistema!E82="","",Sistema!E82)</f>
        <v/>
      </c>
      <c r="F82">
        <f>IF(P82&gt;0,1,IF(Sistema!F82=0,-1,1))</f>
        <v>-1</v>
      </c>
      <c r="G82">
        <f>Sistema!G82</f>
        <v>0</v>
      </c>
      <c r="H82" t="str">
        <f>IF(OR(R82="notify",R82=1),"visible",IF(OR(Sistema!F82=-1,Sistema!F82=0,ISNUMBER(SEARCH("PCK",E82))),"hidden",IF(P82&gt;0,"visible","hidden")))</f>
        <v>hidden</v>
      </c>
      <c r="I82" t="str">
        <f>IF(B82="simple",IF(P82&gt;0,"",IF(R82="notify",Info!C$2,"")),IF(B82="variable",IF(P82&gt;0,"",IF(R82="notify",Info!C$4,"")),""))</f>
        <v/>
      </c>
      <c r="J82" t="str">
        <f>IF(Sistema!J82="","",Sistema!J82)</f>
        <v/>
      </c>
      <c r="M82" t="str">
        <f>IF(Sistema!M82="","",Sistema!M82)</f>
        <v/>
      </c>
      <c r="N82" s="6" t="s">
        <v>1557</v>
      </c>
      <c r="O82" s="6">
        <v>1</v>
      </c>
      <c r="P82">
        <f>Sistema!P82</f>
        <v>0</v>
      </c>
      <c r="Q82">
        <f>Sistema!Q82</f>
        <v>0</v>
      </c>
      <c r="R82">
        <f>IF(Sistema!R82=1,"notify",Sistema!R82)</f>
        <v>0</v>
      </c>
      <c r="T82" t="str">
        <f>IF(Sistema!T82="","",Sistema!T82)</f>
        <v/>
      </c>
      <c r="U82" t="str">
        <f>IF(Sistema!U82="","",Sistema!U82)</f>
        <v/>
      </c>
      <c r="V82" t="str">
        <f>IF(Sistema!V82="","",Sistema!V82)</f>
        <v/>
      </c>
      <c r="W82" t="str">
        <f>IF(Sistema!W82="","",Sistema!W82)</f>
        <v/>
      </c>
      <c r="X82" s="6">
        <v>1</v>
      </c>
      <c r="Z82" t="str">
        <f>IF(Sistema!Z82="","",Sistema!Z82)</f>
        <v/>
      </c>
      <c r="AA82" t="str">
        <f>IF(Sistema!AA82="","",Sistema!AA82)</f>
        <v/>
      </c>
      <c r="AB82" t="str">
        <f>IF(Sistema!AB82="","",IF(OR(ISNUMBER(SEARCH("MKP",E82)),ISNUMBER(SEARCH("MKP",C82))),"Marketplace &gt; "&amp;Sistema!AB82,Sistema!AB82))</f>
        <v/>
      </c>
      <c r="AC82" t="str">
        <f>IF(Sistema!AC82="","",Sistema!AC82)</f>
        <v/>
      </c>
      <c r="AE82" t="str">
        <f>IF(Sistema!AE82="","",Sistema!AE82)</f>
        <v/>
      </c>
      <c r="AH82" t="str">
        <f>IF(Sistema!AH82="","",Sistema!AH82)</f>
        <v/>
      </c>
      <c r="AQ82" t="str">
        <f>IF(Sistema!AQ82="","",Sistema!AQ82)</f>
        <v/>
      </c>
      <c r="AR82" t="str">
        <f>IF(Sistema!AR82="","",Sistema!AR82)</f>
        <v/>
      </c>
      <c r="AS82" t="str">
        <f>IF(Sistema!AS82="","",Sistema!AS82)</f>
        <v/>
      </c>
      <c r="AT82" t="str">
        <f>IF(Sistema!AT82="","",Sistema!AT82)</f>
        <v/>
      </c>
      <c r="AU82" t="str">
        <f>IF(Sistema!AU82="","",Sistema!AU82)</f>
        <v/>
      </c>
      <c r="AV82" t="str">
        <f>IF(Sistema!AV82="","",Sistema!AV82)</f>
        <v/>
      </c>
      <c r="AW82" t="str">
        <f>IF(Sistema!AW82="","",Sistema!AW82)</f>
        <v/>
      </c>
      <c r="AX82" t="str">
        <f>IF(Sistema!AX82="","",Sistema!AX82)</f>
        <v/>
      </c>
      <c r="AY82" t="str">
        <f>IF(Sistema!AY82="","",Sistema!AY82)</f>
        <v/>
      </c>
      <c r="AZ82" t="str">
        <f>IF(Sistema!AZ82="","",Sistema!AZ82)</f>
        <v/>
      </c>
      <c r="BA82" t="str">
        <f>IF(Sistema!BA82="","",Sistema!BA82)</f>
        <v/>
      </c>
      <c r="BB82" t="str">
        <f>IF(Sistema!BB82="","",Sistema!BB82)</f>
        <v/>
      </c>
      <c r="BC82" t="str">
        <f>IF(Sistema!BC82="","",Sistema!BC82)</f>
        <v/>
      </c>
      <c r="BD82" t="str">
        <f>IF(Sistema!BD82="","",Sistema!BD82)</f>
        <v/>
      </c>
      <c r="BE82" t="str">
        <f>IF(Sistema!BE82="","",Sistema!BE82)</f>
        <v/>
      </c>
      <c r="BF82" t="str">
        <f>IF(Sistema!BF82="","",Sistema!BF82)</f>
        <v/>
      </c>
      <c r="BG82" t="str">
        <f>IF(Sistema!BG82="","",Sistema!BG82)</f>
        <v/>
      </c>
      <c r="BH82" t="str">
        <f>IF(Sistema!BH82="","",Sistema!BH82)</f>
        <v/>
      </c>
      <c r="BI82" t="str">
        <f>IF(Sistema!BI82="","",Sistema!BI82)</f>
        <v/>
      </c>
      <c r="BJ82" t="str">
        <f>IF(Sistema!BJ82="","",Sistema!BJ82)</f>
        <v/>
      </c>
      <c r="BK82" t="str">
        <f>IF(Sistema!BK82="","",Sistema!BK82)</f>
        <v/>
      </c>
      <c r="BL82" t="str">
        <f>IF(Sistema!BL82="","",Sistema!BL82)</f>
        <v/>
      </c>
      <c r="BM82" t="str">
        <f>IF(Sistema!BM82="","",Sistema!BM82)</f>
        <v/>
      </c>
      <c r="BN82" t="str">
        <f>IF(Sistema!BN82="","",Sistema!BN82)</f>
        <v/>
      </c>
      <c r="BO82" t="str">
        <f>IF(Sistema!BO82="","",Sistema!BO82)</f>
        <v/>
      </c>
      <c r="BP82" t="str">
        <f>IF(Sistema!BP82="","",Sistema!BP82)</f>
        <v/>
      </c>
      <c r="BQ82" t="str">
        <f>IF(Sistema!BQ82="","",Sistema!BQ82)</f>
        <v/>
      </c>
      <c r="BR82" t="str">
        <f>IF(Sistema!BR82="","",Sistema!BR82)</f>
        <v/>
      </c>
      <c r="BS82" t="str">
        <f>IF(Sistema!BS82="","",Sistema!BS82)</f>
        <v/>
      </c>
      <c r="BT82" t="str">
        <f>IF(Sistema!BT82="","",Sistema!BT82)</f>
        <v/>
      </c>
      <c r="BU82" t="str">
        <f>IF(Sistema!BU82="","",Sistema!BU82)</f>
        <v/>
      </c>
      <c r="BV82" t="str">
        <f>IF(Sistema!BV82="","",Sistema!BV82)</f>
        <v/>
      </c>
      <c r="BW82" t="str">
        <f>IF(Sistema!BW82="","",Sistema!BW82)</f>
        <v/>
      </c>
      <c r="BX82" t="str">
        <f>IF(Sistema!BX82="","",Sistema!BX82)</f>
        <v/>
      </c>
      <c r="BY82" t="str">
        <f>IF(Sistema!BY82="","",Sistema!BY82)</f>
        <v/>
      </c>
      <c r="BZ82" t="str">
        <f>IF(Sistema!BZ82="","",Sistema!BZ82)</f>
        <v/>
      </c>
      <c r="CA82" t="str">
        <f>IF(Sistema!CA82="","",Sistema!CA82)</f>
        <v/>
      </c>
      <c r="CB82" t="str">
        <f>IF(Sistema!CB82="","",Sistema!CB82)</f>
        <v/>
      </c>
      <c r="CC82" t="str">
        <f>IF(Sistema!CC82="","",Sistema!CC82)</f>
        <v/>
      </c>
      <c r="CD82" t="str">
        <f>IF(Sistema!CD82="","",Sistema!CD82)</f>
        <v/>
      </c>
    </row>
    <row r="83" spans="1:82" x14ac:dyDescent="0.25">
      <c r="A83" t="str">
        <f>IF(Sistema!A83="","",Sistema!A83)</f>
        <v/>
      </c>
      <c r="B83" t="str">
        <f>IF(Sistema!B83="","",Sistema!B83)</f>
        <v/>
      </c>
      <c r="C83" t="str">
        <f>IF(Sistema!C83="","",Sistema!C83)</f>
        <v/>
      </c>
      <c r="D83" t="str">
        <f>IF(Sistema!D83="","",Sistema!D83)</f>
        <v/>
      </c>
      <c r="E83" t="str">
        <f>IF(Sistema!E83="","",Sistema!E83)</f>
        <v/>
      </c>
      <c r="F83">
        <f>IF(P83&gt;0,1,IF(Sistema!F83=0,-1,1))</f>
        <v>-1</v>
      </c>
      <c r="G83">
        <f>Sistema!G83</f>
        <v>0</v>
      </c>
      <c r="H83" t="str">
        <f>IF(OR(R83="notify",R83=1),"visible",IF(OR(Sistema!F83=-1,Sistema!F83=0,ISNUMBER(SEARCH("PCK",E83))),"hidden",IF(P83&gt;0,"visible","hidden")))</f>
        <v>hidden</v>
      </c>
      <c r="I83" t="str">
        <f>IF(B83="simple",IF(P83&gt;0,"",IF(R83="notify",Info!C$2,"")),IF(B83="variable",IF(P83&gt;0,"",IF(R83="notify",Info!C$4,"")),""))</f>
        <v/>
      </c>
      <c r="J83" t="str">
        <f>IF(Sistema!J83="","",Sistema!J83)</f>
        <v/>
      </c>
      <c r="M83" t="str">
        <f>IF(Sistema!M83="","",Sistema!M83)</f>
        <v/>
      </c>
      <c r="N83" s="6" t="s">
        <v>1557</v>
      </c>
      <c r="O83" s="6">
        <v>1</v>
      </c>
      <c r="P83">
        <f>Sistema!P83</f>
        <v>0</v>
      </c>
      <c r="Q83">
        <f>Sistema!Q83</f>
        <v>0</v>
      </c>
      <c r="R83">
        <f>IF(Sistema!R83=1,"notify",Sistema!R83)</f>
        <v>0</v>
      </c>
      <c r="T83" t="str">
        <f>IF(Sistema!T83="","",Sistema!T83)</f>
        <v/>
      </c>
      <c r="U83" t="str">
        <f>IF(Sistema!U83="","",Sistema!U83)</f>
        <v/>
      </c>
      <c r="V83" t="str">
        <f>IF(Sistema!V83="","",Sistema!V83)</f>
        <v/>
      </c>
      <c r="W83" t="str">
        <f>IF(Sistema!W83="","",Sistema!W83)</f>
        <v/>
      </c>
      <c r="X83" s="6">
        <v>1</v>
      </c>
      <c r="Z83" t="str">
        <f>IF(Sistema!Z83="","",Sistema!Z83)</f>
        <v/>
      </c>
      <c r="AA83" t="str">
        <f>IF(Sistema!AA83="","",Sistema!AA83)</f>
        <v/>
      </c>
      <c r="AB83" t="str">
        <f>IF(Sistema!AB83="","",IF(OR(ISNUMBER(SEARCH("MKP",E83)),ISNUMBER(SEARCH("MKP",C83))),"Marketplace &gt; "&amp;Sistema!AB83,Sistema!AB83))</f>
        <v/>
      </c>
      <c r="AC83" t="str">
        <f>IF(Sistema!AC83="","",Sistema!AC83)</f>
        <v/>
      </c>
      <c r="AE83" t="str">
        <f>IF(Sistema!AE83="","",Sistema!AE83)</f>
        <v/>
      </c>
      <c r="AH83" t="str">
        <f>IF(Sistema!AH83="","",Sistema!AH83)</f>
        <v/>
      </c>
      <c r="AQ83" t="str">
        <f>IF(Sistema!AQ83="","",Sistema!AQ83)</f>
        <v/>
      </c>
      <c r="AR83" t="str">
        <f>IF(Sistema!AR83="","",Sistema!AR83)</f>
        <v/>
      </c>
      <c r="AS83" t="str">
        <f>IF(Sistema!AS83="","",Sistema!AS83)</f>
        <v/>
      </c>
      <c r="AT83" t="str">
        <f>IF(Sistema!AT83="","",Sistema!AT83)</f>
        <v/>
      </c>
      <c r="AU83" t="str">
        <f>IF(Sistema!AU83="","",Sistema!AU83)</f>
        <v/>
      </c>
      <c r="AV83" t="str">
        <f>IF(Sistema!AV83="","",Sistema!AV83)</f>
        <v/>
      </c>
      <c r="AW83" t="str">
        <f>IF(Sistema!AW83="","",Sistema!AW83)</f>
        <v/>
      </c>
      <c r="AX83" t="str">
        <f>IF(Sistema!AX83="","",Sistema!AX83)</f>
        <v/>
      </c>
      <c r="AY83" t="str">
        <f>IF(Sistema!AY83="","",Sistema!AY83)</f>
        <v/>
      </c>
      <c r="AZ83" t="str">
        <f>IF(Sistema!AZ83="","",Sistema!AZ83)</f>
        <v/>
      </c>
      <c r="BA83" t="str">
        <f>IF(Sistema!BA83="","",Sistema!BA83)</f>
        <v/>
      </c>
      <c r="BB83" t="str">
        <f>IF(Sistema!BB83="","",Sistema!BB83)</f>
        <v/>
      </c>
      <c r="BC83" t="str">
        <f>IF(Sistema!BC83="","",Sistema!BC83)</f>
        <v/>
      </c>
      <c r="BD83" t="str">
        <f>IF(Sistema!BD83="","",Sistema!BD83)</f>
        <v/>
      </c>
      <c r="BE83" t="str">
        <f>IF(Sistema!BE83="","",Sistema!BE83)</f>
        <v/>
      </c>
      <c r="BF83" t="str">
        <f>IF(Sistema!BF83="","",Sistema!BF83)</f>
        <v/>
      </c>
      <c r="BG83" t="str">
        <f>IF(Sistema!BG83="","",Sistema!BG83)</f>
        <v/>
      </c>
      <c r="BH83" t="str">
        <f>IF(Sistema!BH83="","",Sistema!BH83)</f>
        <v/>
      </c>
      <c r="BI83" t="str">
        <f>IF(Sistema!BI83="","",Sistema!BI83)</f>
        <v/>
      </c>
      <c r="BJ83" t="str">
        <f>IF(Sistema!BJ83="","",Sistema!BJ83)</f>
        <v/>
      </c>
      <c r="BK83" t="str">
        <f>IF(Sistema!BK83="","",Sistema!BK83)</f>
        <v/>
      </c>
      <c r="BL83" t="str">
        <f>IF(Sistema!BL83="","",Sistema!BL83)</f>
        <v/>
      </c>
      <c r="BM83" t="str">
        <f>IF(Sistema!BM83="","",Sistema!BM83)</f>
        <v/>
      </c>
      <c r="BN83" t="str">
        <f>IF(Sistema!BN83="","",Sistema!BN83)</f>
        <v/>
      </c>
      <c r="BO83" t="str">
        <f>IF(Sistema!BO83="","",Sistema!BO83)</f>
        <v/>
      </c>
      <c r="BP83" t="str">
        <f>IF(Sistema!BP83="","",Sistema!BP83)</f>
        <v/>
      </c>
      <c r="BQ83" t="str">
        <f>IF(Sistema!BQ83="","",Sistema!BQ83)</f>
        <v/>
      </c>
      <c r="BR83" t="str">
        <f>IF(Sistema!BR83="","",Sistema!BR83)</f>
        <v/>
      </c>
      <c r="BS83" t="str">
        <f>IF(Sistema!BS83="","",Sistema!BS83)</f>
        <v/>
      </c>
      <c r="BT83" t="str">
        <f>IF(Sistema!BT83="","",Sistema!BT83)</f>
        <v/>
      </c>
      <c r="BU83" t="str">
        <f>IF(Sistema!BU83="","",Sistema!BU83)</f>
        <v/>
      </c>
      <c r="BV83" t="str">
        <f>IF(Sistema!BV83="","",Sistema!BV83)</f>
        <v/>
      </c>
      <c r="BW83" t="str">
        <f>IF(Sistema!BW83="","",Sistema!BW83)</f>
        <v/>
      </c>
      <c r="BX83" t="str">
        <f>IF(Sistema!BX83="","",Sistema!BX83)</f>
        <v/>
      </c>
      <c r="BY83" t="str">
        <f>IF(Sistema!BY83="","",Sistema!BY83)</f>
        <v/>
      </c>
      <c r="BZ83" t="str">
        <f>IF(Sistema!BZ83="","",Sistema!BZ83)</f>
        <v/>
      </c>
      <c r="CA83" t="str">
        <f>IF(Sistema!CA83="","",Sistema!CA83)</f>
        <v/>
      </c>
      <c r="CB83" t="str">
        <f>IF(Sistema!CB83="","",Sistema!CB83)</f>
        <v/>
      </c>
      <c r="CC83" t="str">
        <f>IF(Sistema!CC83="","",Sistema!CC83)</f>
        <v/>
      </c>
      <c r="CD83" t="str">
        <f>IF(Sistema!CD83="","",Sistema!CD83)</f>
        <v/>
      </c>
    </row>
    <row r="84" spans="1:82" x14ac:dyDescent="0.25">
      <c r="A84" t="str">
        <f>IF(Sistema!A84="","",Sistema!A84)</f>
        <v/>
      </c>
      <c r="B84" t="str">
        <f>IF(Sistema!B84="","",Sistema!B84)</f>
        <v/>
      </c>
      <c r="C84" t="str">
        <f>IF(Sistema!C84="","",Sistema!C84)</f>
        <v/>
      </c>
      <c r="D84" t="str">
        <f>IF(Sistema!D84="","",Sistema!D84)</f>
        <v/>
      </c>
      <c r="E84" t="str">
        <f>IF(Sistema!E84="","",Sistema!E84)</f>
        <v/>
      </c>
      <c r="F84">
        <f>IF(P84&gt;0,1,IF(Sistema!F84=0,-1,1))</f>
        <v>-1</v>
      </c>
      <c r="G84">
        <f>Sistema!G84</f>
        <v>0</v>
      </c>
      <c r="H84" t="str">
        <f>IF(OR(R84="notify",R84=1),"visible",IF(OR(Sistema!F84=-1,Sistema!F84=0,ISNUMBER(SEARCH("PCK",E84))),"hidden",IF(P84&gt;0,"visible","hidden")))</f>
        <v>hidden</v>
      </c>
      <c r="I84" t="str">
        <f>IF(B84="simple",IF(P84&gt;0,"",IF(R84="notify",Info!C$2,"")),IF(B84="variable",IF(P84&gt;0,"",IF(R84="notify",Info!C$4,"")),""))</f>
        <v/>
      </c>
      <c r="J84" t="str">
        <f>IF(Sistema!J84="","",Sistema!J84)</f>
        <v/>
      </c>
      <c r="M84" t="str">
        <f>IF(Sistema!M84="","",Sistema!M84)</f>
        <v/>
      </c>
      <c r="N84" s="6" t="s">
        <v>1557</v>
      </c>
      <c r="O84" s="6">
        <v>1</v>
      </c>
      <c r="P84">
        <f>Sistema!P84</f>
        <v>0</v>
      </c>
      <c r="Q84">
        <f>Sistema!Q84</f>
        <v>0</v>
      </c>
      <c r="R84">
        <f>IF(Sistema!R84=1,"notify",Sistema!R84)</f>
        <v>0</v>
      </c>
      <c r="T84" t="str">
        <f>IF(Sistema!T84="","",Sistema!T84)</f>
        <v/>
      </c>
      <c r="U84" t="str">
        <f>IF(Sistema!U84="","",Sistema!U84)</f>
        <v/>
      </c>
      <c r="V84" t="str">
        <f>IF(Sistema!V84="","",Sistema!V84)</f>
        <v/>
      </c>
      <c r="W84" t="str">
        <f>IF(Sistema!W84="","",Sistema!W84)</f>
        <v/>
      </c>
      <c r="X84" s="6">
        <v>1</v>
      </c>
      <c r="Z84" t="str">
        <f>IF(Sistema!Z84="","",Sistema!Z84)</f>
        <v/>
      </c>
      <c r="AA84" t="str">
        <f>IF(Sistema!AA84="","",Sistema!AA84)</f>
        <v/>
      </c>
      <c r="AB84" t="str">
        <f>IF(Sistema!AB84="","",IF(OR(ISNUMBER(SEARCH("MKP",E84)),ISNUMBER(SEARCH("MKP",C84))),"Marketplace &gt; "&amp;Sistema!AB84,Sistema!AB84))</f>
        <v/>
      </c>
      <c r="AC84" t="str">
        <f>IF(Sistema!AC84="","",Sistema!AC84)</f>
        <v/>
      </c>
      <c r="AE84" t="str">
        <f>IF(Sistema!AE84="","",Sistema!AE84)</f>
        <v/>
      </c>
      <c r="AH84" t="str">
        <f>IF(Sistema!AH84="","",Sistema!AH84)</f>
        <v/>
      </c>
      <c r="AQ84" t="str">
        <f>IF(Sistema!AQ84="","",Sistema!AQ84)</f>
        <v/>
      </c>
      <c r="AR84" t="str">
        <f>IF(Sistema!AR84="","",Sistema!AR84)</f>
        <v/>
      </c>
      <c r="AS84" t="str">
        <f>IF(Sistema!AS84="","",Sistema!AS84)</f>
        <v/>
      </c>
      <c r="AT84" t="str">
        <f>IF(Sistema!AT84="","",Sistema!AT84)</f>
        <v/>
      </c>
      <c r="AU84" t="str">
        <f>IF(Sistema!AU84="","",Sistema!AU84)</f>
        <v/>
      </c>
      <c r="AV84" t="str">
        <f>IF(Sistema!AV84="","",Sistema!AV84)</f>
        <v/>
      </c>
      <c r="AW84" t="str">
        <f>IF(Sistema!AW84="","",Sistema!AW84)</f>
        <v/>
      </c>
      <c r="AX84" t="str">
        <f>IF(Sistema!AX84="","",Sistema!AX84)</f>
        <v/>
      </c>
      <c r="AY84" t="str">
        <f>IF(Sistema!AY84="","",Sistema!AY84)</f>
        <v/>
      </c>
      <c r="AZ84" t="str">
        <f>IF(Sistema!AZ84="","",Sistema!AZ84)</f>
        <v/>
      </c>
      <c r="BA84" t="str">
        <f>IF(Sistema!BA84="","",Sistema!BA84)</f>
        <v/>
      </c>
      <c r="BB84" t="str">
        <f>IF(Sistema!BB84="","",Sistema!BB84)</f>
        <v/>
      </c>
      <c r="BC84" t="str">
        <f>IF(Sistema!BC84="","",Sistema!BC84)</f>
        <v/>
      </c>
      <c r="BD84" t="str">
        <f>IF(Sistema!BD84="","",Sistema!BD84)</f>
        <v/>
      </c>
      <c r="BE84" t="str">
        <f>IF(Sistema!BE84="","",Sistema!BE84)</f>
        <v/>
      </c>
      <c r="BF84" t="str">
        <f>IF(Sistema!BF84="","",Sistema!BF84)</f>
        <v/>
      </c>
      <c r="BG84" t="str">
        <f>IF(Sistema!BG84="","",Sistema!BG84)</f>
        <v/>
      </c>
      <c r="BH84" t="str">
        <f>IF(Sistema!BH84="","",Sistema!BH84)</f>
        <v/>
      </c>
      <c r="BI84" t="str">
        <f>IF(Sistema!BI84="","",Sistema!BI84)</f>
        <v/>
      </c>
      <c r="BJ84" t="str">
        <f>IF(Sistema!BJ84="","",Sistema!BJ84)</f>
        <v/>
      </c>
      <c r="BK84" t="str">
        <f>IF(Sistema!BK84="","",Sistema!BK84)</f>
        <v/>
      </c>
      <c r="BL84" t="str">
        <f>IF(Sistema!BL84="","",Sistema!BL84)</f>
        <v/>
      </c>
      <c r="BM84" t="str">
        <f>IF(Sistema!BM84="","",Sistema!BM84)</f>
        <v/>
      </c>
      <c r="BN84" t="str">
        <f>IF(Sistema!BN84="","",Sistema!BN84)</f>
        <v/>
      </c>
      <c r="BO84" t="str">
        <f>IF(Sistema!BO84="","",Sistema!BO84)</f>
        <v/>
      </c>
      <c r="BP84" t="str">
        <f>IF(Sistema!BP84="","",Sistema!BP84)</f>
        <v/>
      </c>
      <c r="BQ84" t="str">
        <f>IF(Sistema!BQ84="","",Sistema!BQ84)</f>
        <v/>
      </c>
      <c r="BR84" t="str">
        <f>IF(Sistema!BR84="","",Sistema!BR84)</f>
        <v/>
      </c>
      <c r="BS84" t="str">
        <f>IF(Sistema!BS84="","",Sistema!BS84)</f>
        <v/>
      </c>
      <c r="BT84" t="str">
        <f>IF(Sistema!BT84="","",Sistema!BT84)</f>
        <v/>
      </c>
      <c r="BU84" t="str">
        <f>IF(Sistema!BU84="","",Sistema!BU84)</f>
        <v/>
      </c>
      <c r="BV84" t="str">
        <f>IF(Sistema!BV84="","",Sistema!BV84)</f>
        <v/>
      </c>
      <c r="BW84" t="str">
        <f>IF(Sistema!BW84="","",Sistema!BW84)</f>
        <v/>
      </c>
      <c r="BX84" t="str">
        <f>IF(Sistema!BX84="","",Sistema!BX84)</f>
        <v/>
      </c>
      <c r="BY84" t="str">
        <f>IF(Sistema!BY84="","",Sistema!BY84)</f>
        <v/>
      </c>
      <c r="BZ84" t="str">
        <f>IF(Sistema!BZ84="","",Sistema!BZ84)</f>
        <v/>
      </c>
      <c r="CA84" t="str">
        <f>IF(Sistema!CA84="","",Sistema!CA84)</f>
        <v/>
      </c>
      <c r="CB84" t="str">
        <f>IF(Sistema!CB84="","",Sistema!CB84)</f>
        <v/>
      </c>
      <c r="CC84" t="str">
        <f>IF(Sistema!CC84="","",Sistema!CC84)</f>
        <v/>
      </c>
      <c r="CD84" t="str">
        <f>IF(Sistema!CD84="","",Sistema!CD84)</f>
        <v/>
      </c>
    </row>
    <row r="85" spans="1:82" x14ac:dyDescent="0.25">
      <c r="A85" t="str">
        <f>IF(Sistema!A85="","",Sistema!A85)</f>
        <v/>
      </c>
      <c r="B85" t="str">
        <f>IF(Sistema!B85="","",Sistema!B85)</f>
        <v/>
      </c>
      <c r="C85" t="str">
        <f>IF(Sistema!C85="","",Sistema!C85)</f>
        <v/>
      </c>
      <c r="D85" t="str">
        <f>IF(Sistema!D85="","",Sistema!D85)</f>
        <v/>
      </c>
      <c r="E85" t="str">
        <f>IF(Sistema!E85="","",Sistema!E85)</f>
        <v/>
      </c>
      <c r="F85">
        <f>IF(P85&gt;0,1,IF(Sistema!F85=0,-1,1))</f>
        <v>-1</v>
      </c>
      <c r="G85">
        <f>Sistema!G85</f>
        <v>0</v>
      </c>
      <c r="H85" t="str">
        <f>IF(OR(R85="notify",R85=1),"visible",IF(OR(Sistema!F85=-1,Sistema!F85=0,ISNUMBER(SEARCH("PCK",E85))),"hidden",IF(P85&gt;0,"visible","hidden")))</f>
        <v>hidden</v>
      </c>
      <c r="I85" t="str">
        <f>IF(B85="simple",IF(P85&gt;0,"",IF(R85="notify",Info!C$2,"")),IF(B85="variable",IF(P85&gt;0,"",IF(R85="notify",Info!C$4,"")),""))</f>
        <v/>
      </c>
      <c r="J85" t="str">
        <f>IF(Sistema!J85="","",Sistema!J85)</f>
        <v/>
      </c>
      <c r="M85" t="str">
        <f>IF(Sistema!M85="","",Sistema!M85)</f>
        <v/>
      </c>
      <c r="N85" s="6" t="s">
        <v>1557</v>
      </c>
      <c r="O85" s="6">
        <v>1</v>
      </c>
      <c r="P85">
        <f>Sistema!P85</f>
        <v>0</v>
      </c>
      <c r="Q85">
        <f>Sistema!Q85</f>
        <v>0</v>
      </c>
      <c r="R85">
        <f>IF(Sistema!R85=1,"notify",Sistema!R85)</f>
        <v>0</v>
      </c>
      <c r="T85" t="str">
        <f>IF(Sistema!T85="","",Sistema!T85)</f>
        <v/>
      </c>
      <c r="U85" t="str">
        <f>IF(Sistema!U85="","",Sistema!U85)</f>
        <v/>
      </c>
      <c r="V85" t="str">
        <f>IF(Sistema!V85="","",Sistema!V85)</f>
        <v/>
      </c>
      <c r="W85" t="str">
        <f>IF(Sistema!W85="","",Sistema!W85)</f>
        <v/>
      </c>
      <c r="X85" s="6">
        <v>1</v>
      </c>
      <c r="Z85" t="str">
        <f>IF(Sistema!Z85="","",Sistema!Z85)</f>
        <v/>
      </c>
      <c r="AA85" t="str">
        <f>IF(Sistema!AA85="","",Sistema!AA85)</f>
        <v/>
      </c>
      <c r="AB85" t="str">
        <f>IF(Sistema!AB85="","",IF(OR(ISNUMBER(SEARCH("MKP",E85)),ISNUMBER(SEARCH("MKP",C85))),"Marketplace &gt; "&amp;Sistema!AB85,Sistema!AB85))</f>
        <v/>
      </c>
      <c r="AC85" t="str">
        <f>IF(Sistema!AC85="","",Sistema!AC85)</f>
        <v/>
      </c>
      <c r="AE85" t="str">
        <f>IF(Sistema!AE85="","",Sistema!AE85)</f>
        <v/>
      </c>
      <c r="AH85" t="str">
        <f>IF(Sistema!AH85="","",Sistema!AH85)</f>
        <v/>
      </c>
      <c r="AQ85" t="str">
        <f>IF(Sistema!AQ85="","",Sistema!AQ85)</f>
        <v/>
      </c>
      <c r="AR85" t="str">
        <f>IF(Sistema!AR85="","",Sistema!AR85)</f>
        <v/>
      </c>
      <c r="AS85" t="str">
        <f>IF(Sistema!AS85="","",Sistema!AS85)</f>
        <v/>
      </c>
      <c r="AT85" t="str">
        <f>IF(Sistema!AT85="","",Sistema!AT85)</f>
        <v/>
      </c>
      <c r="AU85" t="str">
        <f>IF(Sistema!AU85="","",Sistema!AU85)</f>
        <v/>
      </c>
      <c r="AV85" t="str">
        <f>IF(Sistema!AV85="","",Sistema!AV85)</f>
        <v/>
      </c>
      <c r="AW85" t="str">
        <f>IF(Sistema!AW85="","",Sistema!AW85)</f>
        <v/>
      </c>
      <c r="AX85" t="str">
        <f>IF(Sistema!AX85="","",Sistema!AX85)</f>
        <v/>
      </c>
      <c r="AY85" t="str">
        <f>IF(Sistema!AY85="","",Sistema!AY85)</f>
        <v/>
      </c>
      <c r="AZ85" t="str">
        <f>IF(Sistema!AZ85="","",Sistema!AZ85)</f>
        <v/>
      </c>
      <c r="BA85" t="str">
        <f>IF(Sistema!BA85="","",Sistema!BA85)</f>
        <v/>
      </c>
      <c r="BB85" t="str">
        <f>IF(Sistema!BB85="","",Sistema!BB85)</f>
        <v/>
      </c>
      <c r="BC85" t="str">
        <f>IF(Sistema!BC85="","",Sistema!BC85)</f>
        <v/>
      </c>
      <c r="BD85" t="str">
        <f>IF(Sistema!BD85="","",Sistema!BD85)</f>
        <v/>
      </c>
      <c r="BE85" t="str">
        <f>IF(Sistema!BE85="","",Sistema!BE85)</f>
        <v/>
      </c>
      <c r="BF85" t="str">
        <f>IF(Sistema!BF85="","",Sistema!BF85)</f>
        <v/>
      </c>
      <c r="BG85" t="str">
        <f>IF(Sistema!BG85="","",Sistema!BG85)</f>
        <v/>
      </c>
      <c r="BH85" t="str">
        <f>IF(Sistema!BH85="","",Sistema!BH85)</f>
        <v/>
      </c>
      <c r="BI85" t="str">
        <f>IF(Sistema!BI85="","",Sistema!BI85)</f>
        <v/>
      </c>
      <c r="BJ85" t="str">
        <f>IF(Sistema!BJ85="","",Sistema!BJ85)</f>
        <v/>
      </c>
      <c r="BK85" t="str">
        <f>IF(Sistema!BK85="","",Sistema!BK85)</f>
        <v/>
      </c>
      <c r="BL85" t="str">
        <f>IF(Sistema!BL85="","",Sistema!BL85)</f>
        <v/>
      </c>
      <c r="BM85" t="str">
        <f>IF(Sistema!BM85="","",Sistema!BM85)</f>
        <v/>
      </c>
      <c r="BN85" t="str">
        <f>IF(Sistema!BN85="","",Sistema!BN85)</f>
        <v/>
      </c>
      <c r="BO85" t="str">
        <f>IF(Sistema!BO85="","",Sistema!BO85)</f>
        <v/>
      </c>
      <c r="BP85" t="str">
        <f>IF(Sistema!BP85="","",Sistema!BP85)</f>
        <v/>
      </c>
      <c r="BQ85" t="str">
        <f>IF(Sistema!BQ85="","",Sistema!BQ85)</f>
        <v/>
      </c>
      <c r="BR85" t="str">
        <f>IF(Sistema!BR85="","",Sistema!BR85)</f>
        <v/>
      </c>
      <c r="BS85" t="str">
        <f>IF(Sistema!BS85="","",Sistema!BS85)</f>
        <v/>
      </c>
      <c r="BT85" t="str">
        <f>IF(Sistema!BT85="","",Sistema!BT85)</f>
        <v/>
      </c>
      <c r="BU85" t="str">
        <f>IF(Sistema!BU85="","",Sistema!BU85)</f>
        <v/>
      </c>
      <c r="BV85" t="str">
        <f>IF(Sistema!BV85="","",Sistema!BV85)</f>
        <v/>
      </c>
      <c r="BW85" t="str">
        <f>IF(Sistema!BW85="","",Sistema!BW85)</f>
        <v/>
      </c>
      <c r="BX85" t="str">
        <f>IF(Sistema!BX85="","",Sistema!BX85)</f>
        <v/>
      </c>
      <c r="BY85" t="str">
        <f>IF(Sistema!BY85="","",Sistema!BY85)</f>
        <v/>
      </c>
      <c r="BZ85" t="str">
        <f>IF(Sistema!BZ85="","",Sistema!BZ85)</f>
        <v/>
      </c>
      <c r="CA85" t="str">
        <f>IF(Sistema!CA85="","",Sistema!CA85)</f>
        <v/>
      </c>
      <c r="CB85" t="str">
        <f>IF(Sistema!CB85="","",Sistema!CB85)</f>
        <v/>
      </c>
      <c r="CC85" t="str">
        <f>IF(Sistema!CC85="","",Sistema!CC85)</f>
        <v/>
      </c>
      <c r="CD85" t="str">
        <f>IF(Sistema!CD85="","",Sistema!CD85)</f>
        <v/>
      </c>
    </row>
    <row r="86" spans="1:82" x14ac:dyDescent="0.25">
      <c r="A86" t="str">
        <f>IF(Sistema!A86="","",Sistema!A86)</f>
        <v/>
      </c>
      <c r="B86" t="str">
        <f>IF(Sistema!B86="","",Sistema!B86)</f>
        <v/>
      </c>
      <c r="C86" t="str">
        <f>IF(Sistema!C86="","",Sistema!C86)</f>
        <v/>
      </c>
      <c r="D86" t="str">
        <f>IF(Sistema!D86="","",Sistema!D86)</f>
        <v/>
      </c>
      <c r="E86" t="str">
        <f>IF(Sistema!E86="","",Sistema!E86)</f>
        <v/>
      </c>
      <c r="F86">
        <f>IF(P86&gt;0,1,IF(Sistema!F86=0,-1,1))</f>
        <v>-1</v>
      </c>
      <c r="G86">
        <f>Sistema!G86</f>
        <v>0</v>
      </c>
      <c r="H86" t="str">
        <f>IF(OR(R86="notify",R86=1),"visible",IF(OR(Sistema!F86=-1,Sistema!F86=0,ISNUMBER(SEARCH("PCK",E86))),"hidden",IF(P86&gt;0,"visible","hidden")))</f>
        <v>hidden</v>
      </c>
      <c r="I86" t="str">
        <f>IF(B86="simple",IF(P86&gt;0,"",IF(R86="notify",Info!C$2,"")),IF(B86="variable",IF(P86&gt;0,"",IF(R86="notify",Info!C$4,"")),""))</f>
        <v/>
      </c>
      <c r="J86" t="str">
        <f>IF(Sistema!J86="","",Sistema!J86)</f>
        <v/>
      </c>
      <c r="M86" t="str">
        <f>IF(Sistema!M86="","",Sistema!M86)</f>
        <v/>
      </c>
      <c r="N86" s="6" t="s">
        <v>1557</v>
      </c>
      <c r="O86" s="6">
        <v>1</v>
      </c>
      <c r="P86">
        <f>Sistema!P86</f>
        <v>0</v>
      </c>
      <c r="Q86">
        <f>Sistema!Q86</f>
        <v>0</v>
      </c>
      <c r="R86">
        <f>IF(Sistema!R86=1,"notify",Sistema!R86)</f>
        <v>0</v>
      </c>
      <c r="T86" t="str">
        <f>IF(Sistema!T86="","",Sistema!T86)</f>
        <v/>
      </c>
      <c r="U86" t="str">
        <f>IF(Sistema!U86="","",Sistema!U86)</f>
        <v/>
      </c>
      <c r="V86" t="str">
        <f>IF(Sistema!V86="","",Sistema!V86)</f>
        <v/>
      </c>
      <c r="W86" t="str">
        <f>IF(Sistema!W86="","",Sistema!W86)</f>
        <v/>
      </c>
      <c r="X86" s="6">
        <v>1</v>
      </c>
      <c r="Z86" t="str">
        <f>IF(Sistema!Z86="","",Sistema!Z86)</f>
        <v/>
      </c>
      <c r="AA86" t="str">
        <f>IF(Sistema!AA86="","",Sistema!AA86)</f>
        <v/>
      </c>
      <c r="AB86" t="str">
        <f>IF(Sistema!AB86="","",IF(OR(ISNUMBER(SEARCH("MKP",E86)),ISNUMBER(SEARCH("MKP",C86))),"Marketplace &gt; "&amp;Sistema!AB86,Sistema!AB86))</f>
        <v/>
      </c>
      <c r="AC86" t="str">
        <f>IF(Sistema!AC86="","",Sistema!AC86)</f>
        <v/>
      </c>
      <c r="AE86" t="str">
        <f>IF(Sistema!AE86="","",Sistema!AE86)</f>
        <v/>
      </c>
      <c r="AH86" t="str">
        <f>IF(Sistema!AH86="","",Sistema!AH86)</f>
        <v/>
      </c>
      <c r="AQ86" t="str">
        <f>IF(Sistema!AQ86="","",Sistema!AQ86)</f>
        <v/>
      </c>
      <c r="AR86" t="str">
        <f>IF(Sistema!AR86="","",Sistema!AR86)</f>
        <v/>
      </c>
      <c r="AS86" t="str">
        <f>IF(Sistema!AS86="","",Sistema!AS86)</f>
        <v/>
      </c>
      <c r="AT86" t="str">
        <f>IF(Sistema!AT86="","",Sistema!AT86)</f>
        <v/>
      </c>
      <c r="AU86" t="str">
        <f>IF(Sistema!AU86="","",Sistema!AU86)</f>
        <v/>
      </c>
      <c r="AV86" t="str">
        <f>IF(Sistema!AV86="","",Sistema!AV86)</f>
        <v/>
      </c>
      <c r="AW86" t="str">
        <f>IF(Sistema!AW86="","",Sistema!AW86)</f>
        <v/>
      </c>
      <c r="AX86" t="str">
        <f>IF(Sistema!AX86="","",Sistema!AX86)</f>
        <v/>
      </c>
      <c r="AY86" t="str">
        <f>IF(Sistema!AY86="","",Sistema!AY86)</f>
        <v/>
      </c>
      <c r="AZ86" t="str">
        <f>IF(Sistema!AZ86="","",Sistema!AZ86)</f>
        <v/>
      </c>
      <c r="BA86" t="str">
        <f>IF(Sistema!BA86="","",Sistema!BA86)</f>
        <v/>
      </c>
      <c r="BB86" t="str">
        <f>IF(Sistema!BB86="","",Sistema!BB86)</f>
        <v/>
      </c>
      <c r="BC86" t="str">
        <f>IF(Sistema!BC86="","",Sistema!BC86)</f>
        <v/>
      </c>
      <c r="BD86" t="str">
        <f>IF(Sistema!BD86="","",Sistema!BD86)</f>
        <v/>
      </c>
      <c r="BE86" t="str">
        <f>IF(Sistema!BE86="","",Sistema!BE86)</f>
        <v/>
      </c>
      <c r="BF86" t="str">
        <f>IF(Sistema!BF86="","",Sistema!BF86)</f>
        <v/>
      </c>
      <c r="BG86" t="str">
        <f>IF(Sistema!BG86="","",Sistema!BG86)</f>
        <v/>
      </c>
      <c r="BH86" t="str">
        <f>IF(Sistema!BH86="","",Sistema!BH86)</f>
        <v/>
      </c>
      <c r="BI86" t="str">
        <f>IF(Sistema!BI86="","",Sistema!BI86)</f>
        <v/>
      </c>
      <c r="BJ86" t="str">
        <f>IF(Sistema!BJ86="","",Sistema!BJ86)</f>
        <v/>
      </c>
      <c r="BK86" t="str">
        <f>IF(Sistema!BK86="","",Sistema!BK86)</f>
        <v/>
      </c>
      <c r="BL86" t="str">
        <f>IF(Sistema!BL86="","",Sistema!BL86)</f>
        <v/>
      </c>
      <c r="BM86" t="str">
        <f>IF(Sistema!BM86="","",Sistema!BM86)</f>
        <v/>
      </c>
      <c r="BN86" t="str">
        <f>IF(Sistema!BN86="","",Sistema!BN86)</f>
        <v/>
      </c>
      <c r="BO86" t="str">
        <f>IF(Sistema!BO86="","",Sistema!BO86)</f>
        <v/>
      </c>
      <c r="BP86" t="str">
        <f>IF(Sistema!BP86="","",Sistema!BP86)</f>
        <v/>
      </c>
      <c r="BQ86" t="str">
        <f>IF(Sistema!BQ86="","",Sistema!BQ86)</f>
        <v/>
      </c>
      <c r="BR86" t="str">
        <f>IF(Sistema!BR86="","",Sistema!BR86)</f>
        <v/>
      </c>
      <c r="BS86" t="str">
        <f>IF(Sistema!BS86="","",Sistema!BS86)</f>
        <v/>
      </c>
      <c r="BT86" t="str">
        <f>IF(Sistema!BT86="","",Sistema!BT86)</f>
        <v/>
      </c>
      <c r="BU86" t="str">
        <f>IF(Sistema!BU86="","",Sistema!BU86)</f>
        <v/>
      </c>
      <c r="BV86" t="str">
        <f>IF(Sistema!BV86="","",Sistema!BV86)</f>
        <v/>
      </c>
      <c r="BW86" t="str">
        <f>IF(Sistema!BW86="","",Sistema!BW86)</f>
        <v/>
      </c>
      <c r="BX86" t="str">
        <f>IF(Sistema!BX86="","",Sistema!BX86)</f>
        <v/>
      </c>
      <c r="BY86" t="str">
        <f>IF(Sistema!BY86="","",Sistema!BY86)</f>
        <v/>
      </c>
      <c r="BZ86" t="str">
        <f>IF(Sistema!BZ86="","",Sistema!BZ86)</f>
        <v/>
      </c>
      <c r="CA86" t="str">
        <f>IF(Sistema!CA86="","",Sistema!CA86)</f>
        <v/>
      </c>
      <c r="CB86" t="str">
        <f>IF(Sistema!CB86="","",Sistema!CB86)</f>
        <v/>
      </c>
      <c r="CC86" t="str">
        <f>IF(Sistema!CC86="","",Sistema!CC86)</f>
        <v/>
      </c>
      <c r="CD86" t="str">
        <f>IF(Sistema!CD86="","",Sistema!CD86)</f>
        <v/>
      </c>
    </row>
    <row r="87" spans="1:82" x14ac:dyDescent="0.25">
      <c r="A87" t="str">
        <f>IF(Sistema!A87="","",Sistema!A87)</f>
        <v/>
      </c>
      <c r="B87" t="str">
        <f>IF(Sistema!B87="","",Sistema!B87)</f>
        <v/>
      </c>
      <c r="C87" t="str">
        <f>IF(Sistema!C87="","",Sistema!C87)</f>
        <v/>
      </c>
      <c r="D87" t="str">
        <f>IF(Sistema!D87="","",Sistema!D87)</f>
        <v/>
      </c>
      <c r="E87" t="str">
        <f>IF(Sistema!E87="","",Sistema!E87)</f>
        <v/>
      </c>
      <c r="F87">
        <f>IF(P87&gt;0,1,IF(Sistema!F87=0,-1,1))</f>
        <v>-1</v>
      </c>
      <c r="G87">
        <f>Sistema!G87</f>
        <v>0</v>
      </c>
      <c r="H87" t="str">
        <f>IF(OR(R87="notify",R87=1),"visible",IF(OR(Sistema!F87=-1,Sistema!F87=0,ISNUMBER(SEARCH("PCK",E87))),"hidden",IF(P87&gt;0,"visible","hidden")))</f>
        <v>hidden</v>
      </c>
      <c r="I87" t="str">
        <f>IF(B87="simple",IF(P87&gt;0,"",IF(R87="notify",Info!C$2,"")),IF(B87="variable",IF(P87&gt;0,"",IF(R87="notify",Info!C$4,"")),""))</f>
        <v/>
      </c>
      <c r="J87" t="str">
        <f>IF(Sistema!J87="","",Sistema!J87)</f>
        <v/>
      </c>
      <c r="M87" t="str">
        <f>IF(Sistema!M87="","",Sistema!M87)</f>
        <v/>
      </c>
      <c r="N87" s="6" t="s">
        <v>1557</v>
      </c>
      <c r="O87" s="6">
        <v>1</v>
      </c>
      <c r="P87">
        <f>Sistema!P87</f>
        <v>0</v>
      </c>
      <c r="Q87">
        <f>Sistema!Q87</f>
        <v>0</v>
      </c>
      <c r="R87">
        <f>IF(Sistema!R87=1,"notify",Sistema!R87)</f>
        <v>0</v>
      </c>
      <c r="T87" t="str">
        <f>IF(Sistema!T87="","",Sistema!T87)</f>
        <v/>
      </c>
      <c r="U87" t="str">
        <f>IF(Sistema!U87="","",Sistema!U87)</f>
        <v/>
      </c>
      <c r="V87" t="str">
        <f>IF(Sistema!V87="","",Sistema!V87)</f>
        <v/>
      </c>
      <c r="W87" t="str">
        <f>IF(Sistema!W87="","",Sistema!W87)</f>
        <v/>
      </c>
      <c r="X87" s="6">
        <v>1</v>
      </c>
      <c r="Z87" t="str">
        <f>IF(Sistema!Z87="","",Sistema!Z87)</f>
        <v/>
      </c>
      <c r="AA87" t="str">
        <f>IF(Sistema!AA87="","",Sistema!AA87)</f>
        <v/>
      </c>
      <c r="AB87" t="str">
        <f>IF(Sistema!AB87="","",IF(OR(ISNUMBER(SEARCH("MKP",E87)),ISNUMBER(SEARCH("MKP",C87))),"Marketplace &gt; "&amp;Sistema!AB87,Sistema!AB87))</f>
        <v/>
      </c>
      <c r="AC87" t="str">
        <f>IF(Sistema!AC87="","",Sistema!AC87)</f>
        <v/>
      </c>
      <c r="AE87" t="str">
        <f>IF(Sistema!AE87="","",Sistema!AE87)</f>
        <v/>
      </c>
      <c r="AH87" t="str">
        <f>IF(Sistema!AH87="","",Sistema!AH87)</f>
        <v/>
      </c>
      <c r="AQ87" t="str">
        <f>IF(Sistema!AQ87="","",Sistema!AQ87)</f>
        <v/>
      </c>
      <c r="AR87" t="str">
        <f>IF(Sistema!AR87="","",Sistema!AR87)</f>
        <v/>
      </c>
      <c r="AS87" t="str">
        <f>IF(Sistema!AS87="","",Sistema!AS87)</f>
        <v/>
      </c>
      <c r="AT87" t="str">
        <f>IF(Sistema!AT87="","",Sistema!AT87)</f>
        <v/>
      </c>
      <c r="AU87" t="str">
        <f>IF(Sistema!AU87="","",Sistema!AU87)</f>
        <v/>
      </c>
      <c r="AV87" t="str">
        <f>IF(Sistema!AV87="","",Sistema!AV87)</f>
        <v/>
      </c>
      <c r="AW87" t="str">
        <f>IF(Sistema!AW87="","",Sistema!AW87)</f>
        <v/>
      </c>
      <c r="AX87" t="str">
        <f>IF(Sistema!AX87="","",Sistema!AX87)</f>
        <v/>
      </c>
      <c r="AY87" t="str">
        <f>IF(Sistema!AY87="","",Sistema!AY87)</f>
        <v/>
      </c>
      <c r="AZ87" t="str">
        <f>IF(Sistema!AZ87="","",Sistema!AZ87)</f>
        <v/>
      </c>
      <c r="BA87" t="str">
        <f>IF(Sistema!BA87="","",Sistema!BA87)</f>
        <v/>
      </c>
      <c r="BB87" t="str">
        <f>IF(Sistema!BB87="","",Sistema!BB87)</f>
        <v/>
      </c>
      <c r="BC87" t="str">
        <f>IF(Sistema!BC87="","",Sistema!BC87)</f>
        <v/>
      </c>
      <c r="BD87" t="str">
        <f>IF(Sistema!BD87="","",Sistema!BD87)</f>
        <v/>
      </c>
      <c r="BE87" t="str">
        <f>IF(Sistema!BE87="","",Sistema!BE87)</f>
        <v/>
      </c>
      <c r="BF87" t="str">
        <f>IF(Sistema!BF87="","",Sistema!BF87)</f>
        <v/>
      </c>
      <c r="BG87" t="str">
        <f>IF(Sistema!BG87="","",Sistema!BG87)</f>
        <v/>
      </c>
      <c r="BH87" t="str">
        <f>IF(Sistema!BH87="","",Sistema!BH87)</f>
        <v/>
      </c>
      <c r="BI87" t="str">
        <f>IF(Sistema!BI87="","",Sistema!BI87)</f>
        <v/>
      </c>
      <c r="BJ87" t="str">
        <f>IF(Sistema!BJ87="","",Sistema!BJ87)</f>
        <v/>
      </c>
      <c r="BK87" t="str">
        <f>IF(Sistema!BK87="","",Sistema!BK87)</f>
        <v/>
      </c>
      <c r="BL87" t="str">
        <f>IF(Sistema!BL87="","",Sistema!BL87)</f>
        <v/>
      </c>
      <c r="BM87" t="str">
        <f>IF(Sistema!BM87="","",Sistema!BM87)</f>
        <v/>
      </c>
      <c r="BN87" t="str">
        <f>IF(Sistema!BN87="","",Sistema!BN87)</f>
        <v/>
      </c>
      <c r="BO87" t="str">
        <f>IF(Sistema!BO87="","",Sistema!BO87)</f>
        <v/>
      </c>
      <c r="BP87" t="str">
        <f>IF(Sistema!BP87="","",Sistema!BP87)</f>
        <v/>
      </c>
      <c r="BQ87" t="str">
        <f>IF(Sistema!BQ87="","",Sistema!BQ87)</f>
        <v/>
      </c>
      <c r="BR87" t="str">
        <f>IF(Sistema!BR87="","",Sistema!BR87)</f>
        <v/>
      </c>
      <c r="BS87" t="str">
        <f>IF(Sistema!BS87="","",Sistema!BS87)</f>
        <v/>
      </c>
      <c r="BT87" t="str">
        <f>IF(Sistema!BT87="","",Sistema!BT87)</f>
        <v/>
      </c>
      <c r="BU87" t="str">
        <f>IF(Sistema!BU87="","",Sistema!BU87)</f>
        <v/>
      </c>
      <c r="BV87" t="str">
        <f>IF(Sistema!BV87="","",Sistema!BV87)</f>
        <v/>
      </c>
      <c r="BW87" t="str">
        <f>IF(Sistema!BW87="","",Sistema!BW87)</f>
        <v/>
      </c>
      <c r="BX87" t="str">
        <f>IF(Sistema!BX87="","",Sistema!BX87)</f>
        <v/>
      </c>
      <c r="BY87" t="str">
        <f>IF(Sistema!BY87="","",Sistema!BY87)</f>
        <v/>
      </c>
      <c r="BZ87" t="str">
        <f>IF(Sistema!BZ87="","",Sistema!BZ87)</f>
        <v/>
      </c>
      <c r="CA87" t="str">
        <f>IF(Sistema!CA87="","",Sistema!CA87)</f>
        <v/>
      </c>
      <c r="CB87" t="str">
        <f>IF(Sistema!CB87="","",Sistema!CB87)</f>
        <v/>
      </c>
      <c r="CC87" t="str">
        <f>IF(Sistema!CC87="","",Sistema!CC87)</f>
        <v/>
      </c>
      <c r="CD87" t="str">
        <f>IF(Sistema!CD87="","",Sistema!CD87)</f>
        <v/>
      </c>
    </row>
    <row r="88" spans="1:82" x14ac:dyDescent="0.25">
      <c r="A88" t="str">
        <f>IF(Sistema!A88="","",Sistema!A88)</f>
        <v/>
      </c>
      <c r="B88" t="str">
        <f>IF(Sistema!B88="","",Sistema!B88)</f>
        <v/>
      </c>
      <c r="C88" t="str">
        <f>IF(Sistema!C88="","",Sistema!C88)</f>
        <v/>
      </c>
      <c r="D88" t="str">
        <f>IF(Sistema!D88="","",Sistema!D88)</f>
        <v/>
      </c>
      <c r="E88" t="str">
        <f>IF(Sistema!E88="","",Sistema!E88)</f>
        <v/>
      </c>
      <c r="F88">
        <f>IF(P88&gt;0,1,IF(Sistema!F88=0,-1,1))</f>
        <v>-1</v>
      </c>
      <c r="G88">
        <f>Sistema!G88</f>
        <v>0</v>
      </c>
      <c r="H88" t="str">
        <f>IF(OR(R88="notify",R88=1),"visible",IF(OR(Sistema!F88=-1,Sistema!F88=0,ISNUMBER(SEARCH("PCK",E88))),"hidden",IF(P88&gt;0,"visible","hidden")))</f>
        <v>hidden</v>
      </c>
      <c r="I88" t="str">
        <f>IF(B88="simple",IF(P88&gt;0,"",IF(R88="notify",Info!C$2,"")),IF(B88="variable",IF(P88&gt;0,"",IF(R88="notify",Info!C$4,"")),""))</f>
        <v/>
      </c>
      <c r="J88" t="str">
        <f>IF(Sistema!J88="","",Sistema!J88)</f>
        <v/>
      </c>
      <c r="M88" t="str">
        <f>IF(Sistema!M88="","",Sistema!M88)</f>
        <v/>
      </c>
      <c r="N88" s="6" t="s">
        <v>1557</v>
      </c>
      <c r="O88" s="6">
        <v>1</v>
      </c>
      <c r="P88">
        <f>Sistema!P88</f>
        <v>0</v>
      </c>
      <c r="Q88">
        <f>Sistema!Q88</f>
        <v>0</v>
      </c>
      <c r="R88">
        <f>IF(Sistema!R88=1,"notify",Sistema!R88)</f>
        <v>0</v>
      </c>
      <c r="T88" t="str">
        <f>IF(Sistema!T88="","",Sistema!T88)</f>
        <v/>
      </c>
      <c r="U88" t="str">
        <f>IF(Sistema!U88="","",Sistema!U88)</f>
        <v/>
      </c>
      <c r="V88" t="str">
        <f>IF(Sistema!V88="","",Sistema!V88)</f>
        <v/>
      </c>
      <c r="W88" t="str">
        <f>IF(Sistema!W88="","",Sistema!W88)</f>
        <v/>
      </c>
      <c r="X88" s="6">
        <v>1</v>
      </c>
      <c r="Z88" t="str">
        <f>IF(Sistema!Z88="","",Sistema!Z88)</f>
        <v/>
      </c>
      <c r="AA88" t="str">
        <f>IF(Sistema!AA88="","",Sistema!AA88)</f>
        <v/>
      </c>
      <c r="AB88" t="str">
        <f>IF(Sistema!AB88="","",IF(OR(ISNUMBER(SEARCH("MKP",E88)),ISNUMBER(SEARCH("MKP",C88))),"Marketplace &gt; "&amp;Sistema!AB88,Sistema!AB88))</f>
        <v/>
      </c>
      <c r="AC88" t="str">
        <f>IF(Sistema!AC88="","",Sistema!AC88)</f>
        <v/>
      </c>
      <c r="AE88" t="str">
        <f>IF(Sistema!AE88="","",Sistema!AE88)</f>
        <v/>
      </c>
      <c r="AH88" t="str">
        <f>IF(Sistema!AH88="","",Sistema!AH88)</f>
        <v/>
      </c>
      <c r="AQ88" t="str">
        <f>IF(Sistema!AQ88="","",Sistema!AQ88)</f>
        <v/>
      </c>
      <c r="AR88" t="str">
        <f>IF(Sistema!AR88="","",Sistema!AR88)</f>
        <v/>
      </c>
      <c r="AS88" t="str">
        <f>IF(Sistema!AS88="","",Sistema!AS88)</f>
        <v/>
      </c>
      <c r="AT88" t="str">
        <f>IF(Sistema!AT88="","",Sistema!AT88)</f>
        <v/>
      </c>
      <c r="AU88" t="str">
        <f>IF(Sistema!AU88="","",Sistema!AU88)</f>
        <v/>
      </c>
      <c r="AV88" t="str">
        <f>IF(Sistema!AV88="","",Sistema!AV88)</f>
        <v/>
      </c>
      <c r="AW88" t="str">
        <f>IF(Sistema!AW88="","",Sistema!AW88)</f>
        <v/>
      </c>
      <c r="AX88" t="str">
        <f>IF(Sistema!AX88="","",Sistema!AX88)</f>
        <v/>
      </c>
      <c r="AY88" t="str">
        <f>IF(Sistema!AY88="","",Sistema!AY88)</f>
        <v/>
      </c>
      <c r="AZ88" t="str">
        <f>IF(Sistema!AZ88="","",Sistema!AZ88)</f>
        <v/>
      </c>
      <c r="BA88" t="str">
        <f>IF(Sistema!BA88="","",Sistema!BA88)</f>
        <v/>
      </c>
      <c r="BB88" t="str">
        <f>IF(Sistema!BB88="","",Sistema!BB88)</f>
        <v/>
      </c>
      <c r="BC88" t="str">
        <f>IF(Sistema!BC88="","",Sistema!BC88)</f>
        <v/>
      </c>
      <c r="BD88" t="str">
        <f>IF(Sistema!BD88="","",Sistema!BD88)</f>
        <v/>
      </c>
      <c r="BE88" t="str">
        <f>IF(Sistema!BE88="","",Sistema!BE88)</f>
        <v/>
      </c>
      <c r="BF88" t="str">
        <f>IF(Sistema!BF88="","",Sistema!BF88)</f>
        <v/>
      </c>
      <c r="BG88" t="str">
        <f>IF(Sistema!BG88="","",Sistema!BG88)</f>
        <v/>
      </c>
      <c r="BH88" t="str">
        <f>IF(Sistema!BH88="","",Sistema!BH88)</f>
        <v/>
      </c>
      <c r="BI88" t="str">
        <f>IF(Sistema!BI88="","",Sistema!BI88)</f>
        <v/>
      </c>
      <c r="BJ88" t="str">
        <f>IF(Sistema!BJ88="","",Sistema!BJ88)</f>
        <v/>
      </c>
      <c r="BK88" t="str">
        <f>IF(Sistema!BK88="","",Sistema!BK88)</f>
        <v/>
      </c>
      <c r="BL88" t="str">
        <f>IF(Sistema!BL88="","",Sistema!BL88)</f>
        <v/>
      </c>
      <c r="BM88" t="str">
        <f>IF(Sistema!BM88="","",Sistema!BM88)</f>
        <v/>
      </c>
      <c r="BN88" t="str">
        <f>IF(Sistema!BN88="","",Sistema!BN88)</f>
        <v/>
      </c>
      <c r="BO88" t="str">
        <f>IF(Sistema!BO88="","",Sistema!BO88)</f>
        <v/>
      </c>
      <c r="BP88" t="str">
        <f>IF(Sistema!BP88="","",Sistema!BP88)</f>
        <v/>
      </c>
      <c r="BQ88" t="str">
        <f>IF(Sistema!BQ88="","",Sistema!BQ88)</f>
        <v/>
      </c>
      <c r="BR88" t="str">
        <f>IF(Sistema!BR88="","",Sistema!BR88)</f>
        <v/>
      </c>
      <c r="BS88" t="str">
        <f>IF(Sistema!BS88="","",Sistema!BS88)</f>
        <v/>
      </c>
      <c r="BT88" t="str">
        <f>IF(Sistema!BT88="","",Sistema!BT88)</f>
        <v/>
      </c>
      <c r="BU88" t="str">
        <f>IF(Sistema!BU88="","",Sistema!BU88)</f>
        <v/>
      </c>
      <c r="BV88" t="str">
        <f>IF(Sistema!BV88="","",Sistema!BV88)</f>
        <v/>
      </c>
      <c r="BW88" t="str">
        <f>IF(Sistema!BW88="","",Sistema!BW88)</f>
        <v/>
      </c>
      <c r="BX88" t="str">
        <f>IF(Sistema!BX88="","",Sistema!BX88)</f>
        <v/>
      </c>
      <c r="BY88" t="str">
        <f>IF(Sistema!BY88="","",Sistema!BY88)</f>
        <v/>
      </c>
      <c r="BZ88" t="str">
        <f>IF(Sistema!BZ88="","",Sistema!BZ88)</f>
        <v/>
      </c>
      <c r="CA88" t="str">
        <f>IF(Sistema!CA88="","",Sistema!CA88)</f>
        <v/>
      </c>
      <c r="CB88" t="str">
        <f>IF(Sistema!CB88="","",Sistema!CB88)</f>
        <v/>
      </c>
      <c r="CC88" t="str">
        <f>IF(Sistema!CC88="","",Sistema!CC88)</f>
        <v/>
      </c>
      <c r="CD88" t="str">
        <f>IF(Sistema!CD88="","",Sistema!CD88)</f>
        <v/>
      </c>
    </row>
    <row r="89" spans="1:82" x14ac:dyDescent="0.25">
      <c r="A89" t="str">
        <f>IF(Sistema!A89="","",Sistema!A89)</f>
        <v/>
      </c>
      <c r="B89" t="str">
        <f>IF(Sistema!B89="","",Sistema!B89)</f>
        <v/>
      </c>
      <c r="C89" t="str">
        <f>IF(Sistema!C89="","",Sistema!C89)</f>
        <v/>
      </c>
      <c r="D89" t="str">
        <f>IF(Sistema!D89="","",Sistema!D89)</f>
        <v/>
      </c>
      <c r="E89" t="str">
        <f>IF(Sistema!E89="","",Sistema!E89)</f>
        <v/>
      </c>
      <c r="F89">
        <f>IF(P89&gt;0,1,IF(Sistema!F89=0,-1,1))</f>
        <v>-1</v>
      </c>
      <c r="G89">
        <f>Sistema!G89</f>
        <v>0</v>
      </c>
      <c r="H89" t="str">
        <f>IF(OR(R89="notify",R89=1),"visible",IF(OR(Sistema!F89=-1,Sistema!F89=0,ISNUMBER(SEARCH("PCK",E89))),"hidden",IF(P89&gt;0,"visible","hidden")))</f>
        <v>hidden</v>
      </c>
      <c r="I89" t="str">
        <f>IF(B89="simple",IF(P89&gt;0,"",IF(R89="notify",Info!C$2,"")),IF(B89="variable",IF(P89&gt;0,"",IF(R89="notify",Info!C$4,"")),""))</f>
        <v/>
      </c>
      <c r="J89" t="str">
        <f>IF(Sistema!J89="","",Sistema!J89)</f>
        <v/>
      </c>
      <c r="M89" t="str">
        <f>IF(Sistema!M89="","",Sistema!M89)</f>
        <v/>
      </c>
      <c r="N89" s="6" t="s">
        <v>1557</v>
      </c>
      <c r="O89" s="6">
        <v>1</v>
      </c>
      <c r="P89">
        <f>Sistema!P89</f>
        <v>0</v>
      </c>
      <c r="Q89">
        <f>Sistema!Q89</f>
        <v>0</v>
      </c>
      <c r="R89">
        <f>IF(Sistema!R89=1,"notify",Sistema!R89)</f>
        <v>0</v>
      </c>
      <c r="T89" t="str">
        <f>IF(Sistema!T89="","",Sistema!T89)</f>
        <v/>
      </c>
      <c r="U89" t="str">
        <f>IF(Sistema!U89="","",Sistema!U89)</f>
        <v/>
      </c>
      <c r="V89" t="str">
        <f>IF(Sistema!V89="","",Sistema!V89)</f>
        <v/>
      </c>
      <c r="W89" t="str">
        <f>IF(Sistema!W89="","",Sistema!W89)</f>
        <v/>
      </c>
      <c r="X89" s="6">
        <v>1</v>
      </c>
      <c r="Z89" t="str">
        <f>IF(Sistema!Z89="","",Sistema!Z89)</f>
        <v/>
      </c>
      <c r="AA89" t="str">
        <f>IF(Sistema!AA89="","",Sistema!AA89)</f>
        <v/>
      </c>
      <c r="AB89" t="str">
        <f>IF(Sistema!AB89="","",IF(OR(ISNUMBER(SEARCH("MKP",E89)),ISNUMBER(SEARCH("MKP",C89))),"Marketplace &gt; "&amp;Sistema!AB89,Sistema!AB89))</f>
        <v/>
      </c>
      <c r="AC89" t="str">
        <f>IF(Sistema!AC89="","",Sistema!AC89)</f>
        <v/>
      </c>
      <c r="AE89" t="str">
        <f>IF(Sistema!AE89="","",Sistema!AE89)</f>
        <v/>
      </c>
      <c r="AH89" t="str">
        <f>IF(Sistema!AH89="","",Sistema!AH89)</f>
        <v/>
      </c>
      <c r="AQ89" t="str">
        <f>IF(Sistema!AQ89="","",Sistema!AQ89)</f>
        <v/>
      </c>
      <c r="AR89" t="str">
        <f>IF(Sistema!AR89="","",Sistema!AR89)</f>
        <v/>
      </c>
      <c r="AS89" t="str">
        <f>IF(Sistema!AS89="","",Sistema!AS89)</f>
        <v/>
      </c>
      <c r="AT89" t="str">
        <f>IF(Sistema!AT89="","",Sistema!AT89)</f>
        <v/>
      </c>
      <c r="AU89" t="str">
        <f>IF(Sistema!AU89="","",Sistema!AU89)</f>
        <v/>
      </c>
      <c r="AV89" t="str">
        <f>IF(Sistema!AV89="","",Sistema!AV89)</f>
        <v/>
      </c>
      <c r="AW89" t="str">
        <f>IF(Sistema!AW89="","",Sistema!AW89)</f>
        <v/>
      </c>
      <c r="AX89" t="str">
        <f>IF(Sistema!AX89="","",Sistema!AX89)</f>
        <v/>
      </c>
      <c r="AY89" t="str">
        <f>IF(Sistema!AY89="","",Sistema!AY89)</f>
        <v/>
      </c>
      <c r="AZ89" t="str">
        <f>IF(Sistema!AZ89="","",Sistema!AZ89)</f>
        <v/>
      </c>
      <c r="BA89" t="str">
        <f>IF(Sistema!BA89="","",Sistema!BA89)</f>
        <v/>
      </c>
      <c r="BB89" t="str">
        <f>IF(Sistema!BB89="","",Sistema!BB89)</f>
        <v/>
      </c>
      <c r="BC89" t="str">
        <f>IF(Sistema!BC89="","",Sistema!BC89)</f>
        <v/>
      </c>
      <c r="BD89" t="str">
        <f>IF(Sistema!BD89="","",Sistema!BD89)</f>
        <v/>
      </c>
      <c r="BE89" t="str">
        <f>IF(Sistema!BE89="","",Sistema!BE89)</f>
        <v/>
      </c>
      <c r="BF89" t="str">
        <f>IF(Sistema!BF89="","",Sistema!BF89)</f>
        <v/>
      </c>
      <c r="BG89" t="str">
        <f>IF(Sistema!BG89="","",Sistema!BG89)</f>
        <v/>
      </c>
      <c r="BH89" t="str">
        <f>IF(Sistema!BH89="","",Sistema!BH89)</f>
        <v/>
      </c>
      <c r="BI89" t="str">
        <f>IF(Sistema!BI89="","",Sistema!BI89)</f>
        <v/>
      </c>
      <c r="BJ89" t="str">
        <f>IF(Sistema!BJ89="","",Sistema!BJ89)</f>
        <v/>
      </c>
      <c r="BK89" t="str">
        <f>IF(Sistema!BK89="","",Sistema!BK89)</f>
        <v/>
      </c>
      <c r="BL89" t="str">
        <f>IF(Sistema!BL89="","",Sistema!BL89)</f>
        <v/>
      </c>
      <c r="BM89" t="str">
        <f>IF(Sistema!BM89="","",Sistema!BM89)</f>
        <v/>
      </c>
      <c r="BN89" t="str">
        <f>IF(Sistema!BN89="","",Sistema!BN89)</f>
        <v/>
      </c>
      <c r="BO89" t="str">
        <f>IF(Sistema!BO89="","",Sistema!BO89)</f>
        <v/>
      </c>
      <c r="BP89" t="str">
        <f>IF(Sistema!BP89="","",Sistema!BP89)</f>
        <v/>
      </c>
      <c r="BQ89" t="str">
        <f>IF(Sistema!BQ89="","",Sistema!BQ89)</f>
        <v/>
      </c>
      <c r="BR89" t="str">
        <f>IF(Sistema!BR89="","",Sistema!BR89)</f>
        <v/>
      </c>
      <c r="BS89" t="str">
        <f>IF(Sistema!BS89="","",Sistema!BS89)</f>
        <v/>
      </c>
      <c r="BT89" t="str">
        <f>IF(Sistema!BT89="","",Sistema!BT89)</f>
        <v/>
      </c>
      <c r="BU89" t="str">
        <f>IF(Sistema!BU89="","",Sistema!BU89)</f>
        <v/>
      </c>
      <c r="BV89" t="str">
        <f>IF(Sistema!BV89="","",Sistema!BV89)</f>
        <v/>
      </c>
      <c r="BW89" t="str">
        <f>IF(Sistema!BW89="","",Sistema!BW89)</f>
        <v/>
      </c>
      <c r="BX89" t="str">
        <f>IF(Sistema!BX89="","",Sistema!BX89)</f>
        <v/>
      </c>
      <c r="BY89" t="str">
        <f>IF(Sistema!BY89="","",Sistema!BY89)</f>
        <v/>
      </c>
      <c r="BZ89" t="str">
        <f>IF(Sistema!BZ89="","",Sistema!BZ89)</f>
        <v/>
      </c>
      <c r="CA89" t="str">
        <f>IF(Sistema!CA89="","",Sistema!CA89)</f>
        <v/>
      </c>
      <c r="CB89" t="str">
        <f>IF(Sistema!CB89="","",Sistema!CB89)</f>
        <v/>
      </c>
      <c r="CC89" t="str">
        <f>IF(Sistema!CC89="","",Sistema!CC89)</f>
        <v/>
      </c>
      <c r="CD89" t="str">
        <f>IF(Sistema!CD89="","",Sistema!CD89)</f>
        <v/>
      </c>
    </row>
    <row r="90" spans="1:82" x14ac:dyDescent="0.25">
      <c r="A90" t="str">
        <f>IF(Sistema!A90="","",Sistema!A90)</f>
        <v/>
      </c>
      <c r="B90" t="str">
        <f>IF(Sistema!B90="","",Sistema!B90)</f>
        <v/>
      </c>
      <c r="C90" t="str">
        <f>IF(Sistema!C90="","",Sistema!C90)</f>
        <v/>
      </c>
      <c r="D90" t="str">
        <f>IF(Sistema!D90="","",Sistema!D90)</f>
        <v/>
      </c>
      <c r="E90" t="str">
        <f>IF(Sistema!E90="","",Sistema!E90)</f>
        <v/>
      </c>
      <c r="F90">
        <f>IF(P90&gt;0,1,IF(Sistema!F90=0,-1,1))</f>
        <v>-1</v>
      </c>
      <c r="G90">
        <f>Sistema!G90</f>
        <v>0</v>
      </c>
      <c r="H90" t="str">
        <f>IF(OR(R90="notify",R90=1),"visible",IF(OR(Sistema!F90=-1,Sistema!F90=0,ISNUMBER(SEARCH("PCK",E90))),"hidden",IF(P90&gt;0,"visible","hidden")))</f>
        <v>hidden</v>
      </c>
      <c r="I90" t="str">
        <f>IF(B90="simple",IF(P90&gt;0,"",IF(R90="notify",Info!C$2,"")),IF(B90="variable",IF(P90&gt;0,"",IF(R90="notify",Info!C$4,"")),""))</f>
        <v/>
      </c>
      <c r="J90" t="str">
        <f>IF(Sistema!J90="","",Sistema!J90)</f>
        <v/>
      </c>
      <c r="M90" t="str">
        <f>IF(Sistema!M90="","",Sistema!M90)</f>
        <v/>
      </c>
      <c r="N90" s="6" t="s">
        <v>1557</v>
      </c>
      <c r="O90" s="6">
        <v>1</v>
      </c>
      <c r="P90">
        <f>Sistema!P90</f>
        <v>0</v>
      </c>
      <c r="Q90">
        <f>Sistema!Q90</f>
        <v>0</v>
      </c>
      <c r="R90">
        <f>IF(Sistema!R90=1,"notify",Sistema!R90)</f>
        <v>0</v>
      </c>
      <c r="T90" t="str">
        <f>IF(Sistema!T90="","",Sistema!T90)</f>
        <v/>
      </c>
      <c r="U90" t="str">
        <f>IF(Sistema!U90="","",Sistema!U90)</f>
        <v/>
      </c>
      <c r="V90" t="str">
        <f>IF(Sistema!V90="","",Sistema!V90)</f>
        <v/>
      </c>
      <c r="W90" t="str">
        <f>IF(Sistema!W90="","",Sistema!W90)</f>
        <v/>
      </c>
      <c r="X90" s="6">
        <v>1</v>
      </c>
      <c r="Z90" t="str">
        <f>IF(Sistema!Z90="","",Sistema!Z90)</f>
        <v/>
      </c>
      <c r="AA90" t="str">
        <f>IF(Sistema!AA90="","",Sistema!AA90)</f>
        <v/>
      </c>
      <c r="AB90" t="str">
        <f>IF(Sistema!AB90="","",IF(OR(ISNUMBER(SEARCH("MKP",E90)),ISNUMBER(SEARCH("MKP",C90))),"Marketplace &gt; "&amp;Sistema!AB90,Sistema!AB90))</f>
        <v/>
      </c>
      <c r="AC90" t="str">
        <f>IF(Sistema!AC90="","",Sistema!AC90)</f>
        <v/>
      </c>
      <c r="AE90" t="str">
        <f>IF(Sistema!AE90="","",Sistema!AE90)</f>
        <v/>
      </c>
      <c r="AH90" t="str">
        <f>IF(Sistema!AH90="","",Sistema!AH90)</f>
        <v/>
      </c>
      <c r="AQ90" t="str">
        <f>IF(Sistema!AQ90="","",Sistema!AQ90)</f>
        <v/>
      </c>
      <c r="AR90" t="str">
        <f>IF(Sistema!AR90="","",Sistema!AR90)</f>
        <v/>
      </c>
      <c r="AS90" t="str">
        <f>IF(Sistema!AS90="","",Sistema!AS90)</f>
        <v/>
      </c>
      <c r="AT90" t="str">
        <f>IF(Sistema!AT90="","",Sistema!AT90)</f>
        <v/>
      </c>
      <c r="AU90" t="str">
        <f>IF(Sistema!AU90="","",Sistema!AU90)</f>
        <v/>
      </c>
      <c r="AV90" t="str">
        <f>IF(Sistema!AV90="","",Sistema!AV90)</f>
        <v/>
      </c>
      <c r="AW90" t="str">
        <f>IF(Sistema!AW90="","",Sistema!AW90)</f>
        <v/>
      </c>
      <c r="AX90" t="str">
        <f>IF(Sistema!AX90="","",Sistema!AX90)</f>
        <v/>
      </c>
      <c r="AY90" t="str">
        <f>IF(Sistema!AY90="","",Sistema!AY90)</f>
        <v/>
      </c>
      <c r="AZ90" t="str">
        <f>IF(Sistema!AZ90="","",Sistema!AZ90)</f>
        <v/>
      </c>
      <c r="BA90" t="str">
        <f>IF(Sistema!BA90="","",Sistema!BA90)</f>
        <v/>
      </c>
      <c r="BB90" t="str">
        <f>IF(Sistema!BB90="","",Sistema!BB90)</f>
        <v/>
      </c>
      <c r="BC90" t="str">
        <f>IF(Sistema!BC90="","",Sistema!BC90)</f>
        <v/>
      </c>
      <c r="BD90" t="str">
        <f>IF(Sistema!BD90="","",Sistema!BD90)</f>
        <v/>
      </c>
      <c r="BE90" t="str">
        <f>IF(Sistema!BE90="","",Sistema!BE90)</f>
        <v/>
      </c>
      <c r="BF90" t="str">
        <f>IF(Sistema!BF90="","",Sistema!BF90)</f>
        <v/>
      </c>
      <c r="BG90" t="str">
        <f>IF(Sistema!BG90="","",Sistema!BG90)</f>
        <v/>
      </c>
      <c r="BH90" t="str">
        <f>IF(Sistema!BH90="","",Sistema!BH90)</f>
        <v/>
      </c>
      <c r="BI90" t="str">
        <f>IF(Sistema!BI90="","",Sistema!BI90)</f>
        <v/>
      </c>
      <c r="BJ90" t="str">
        <f>IF(Sistema!BJ90="","",Sistema!BJ90)</f>
        <v/>
      </c>
      <c r="BK90" t="str">
        <f>IF(Sistema!BK90="","",Sistema!BK90)</f>
        <v/>
      </c>
      <c r="BL90" t="str">
        <f>IF(Sistema!BL90="","",Sistema!BL90)</f>
        <v/>
      </c>
      <c r="BM90" t="str">
        <f>IF(Sistema!BM90="","",Sistema!BM90)</f>
        <v/>
      </c>
      <c r="BN90" t="str">
        <f>IF(Sistema!BN90="","",Sistema!BN90)</f>
        <v/>
      </c>
      <c r="BO90" t="str">
        <f>IF(Sistema!BO90="","",Sistema!BO90)</f>
        <v/>
      </c>
      <c r="BP90" t="str">
        <f>IF(Sistema!BP90="","",Sistema!BP90)</f>
        <v/>
      </c>
      <c r="BQ90" t="str">
        <f>IF(Sistema!BQ90="","",Sistema!BQ90)</f>
        <v/>
      </c>
      <c r="BR90" t="str">
        <f>IF(Sistema!BR90="","",Sistema!BR90)</f>
        <v/>
      </c>
      <c r="BS90" t="str">
        <f>IF(Sistema!BS90="","",Sistema!BS90)</f>
        <v/>
      </c>
      <c r="BT90" t="str">
        <f>IF(Sistema!BT90="","",Sistema!BT90)</f>
        <v/>
      </c>
      <c r="BU90" t="str">
        <f>IF(Sistema!BU90="","",Sistema!BU90)</f>
        <v/>
      </c>
      <c r="BV90" t="str">
        <f>IF(Sistema!BV90="","",Sistema!BV90)</f>
        <v/>
      </c>
      <c r="BW90" t="str">
        <f>IF(Sistema!BW90="","",Sistema!BW90)</f>
        <v/>
      </c>
      <c r="BX90" t="str">
        <f>IF(Sistema!BX90="","",Sistema!BX90)</f>
        <v/>
      </c>
      <c r="BY90" t="str">
        <f>IF(Sistema!BY90="","",Sistema!BY90)</f>
        <v/>
      </c>
      <c r="BZ90" t="str">
        <f>IF(Sistema!BZ90="","",Sistema!BZ90)</f>
        <v/>
      </c>
      <c r="CA90" t="str">
        <f>IF(Sistema!CA90="","",Sistema!CA90)</f>
        <v/>
      </c>
      <c r="CB90" t="str">
        <f>IF(Sistema!CB90="","",Sistema!CB90)</f>
        <v/>
      </c>
      <c r="CC90" t="str">
        <f>IF(Sistema!CC90="","",Sistema!CC90)</f>
        <v/>
      </c>
      <c r="CD90" t="str">
        <f>IF(Sistema!CD90="","",Sistema!CD90)</f>
        <v/>
      </c>
    </row>
    <row r="91" spans="1:82" x14ac:dyDescent="0.25">
      <c r="A91" t="str">
        <f>IF(Sistema!A91="","",Sistema!A91)</f>
        <v/>
      </c>
      <c r="B91" t="str">
        <f>IF(Sistema!B91="","",Sistema!B91)</f>
        <v/>
      </c>
      <c r="C91" t="str">
        <f>IF(Sistema!C91="","",Sistema!C91)</f>
        <v/>
      </c>
      <c r="D91" t="str">
        <f>IF(Sistema!D91="","",Sistema!D91)</f>
        <v/>
      </c>
      <c r="E91" t="str">
        <f>IF(Sistema!E91="","",Sistema!E91)</f>
        <v/>
      </c>
      <c r="F91">
        <f>IF(P91&gt;0,1,IF(Sistema!F91=0,-1,1))</f>
        <v>-1</v>
      </c>
      <c r="G91">
        <f>Sistema!G91</f>
        <v>0</v>
      </c>
      <c r="H91" t="str">
        <f>IF(OR(R91="notify",R91=1),"visible",IF(OR(Sistema!F91=-1,Sistema!F91=0,ISNUMBER(SEARCH("PCK",E91))),"hidden",IF(P91&gt;0,"visible","hidden")))</f>
        <v>hidden</v>
      </c>
      <c r="I91" t="str">
        <f>IF(B91="simple",IF(P91&gt;0,"",IF(R91="notify",Info!C$2,"")),IF(B91="variable",IF(P91&gt;0,"",IF(R91="notify",Info!C$4,"")),""))</f>
        <v/>
      </c>
      <c r="J91" t="str">
        <f>IF(Sistema!J91="","",Sistema!J91)</f>
        <v/>
      </c>
      <c r="M91" t="str">
        <f>IF(Sistema!M91="","",Sistema!M91)</f>
        <v/>
      </c>
      <c r="N91" s="6" t="s">
        <v>1557</v>
      </c>
      <c r="O91" s="6">
        <v>1</v>
      </c>
      <c r="P91">
        <f>Sistema!P91</f>
        <v>0</v>
      </c>
      <c r="Q91">
        <f>Sistema!Q91</f>
        <v>0</v>
      </c>
      <c r="R91">
        <f>IF(Sistema!R91=1,"notify",Sistema!R91)</f>
        <v>0</v>
      </c>
      <c r="T91" t="str">
        <f>IF(Sistema!T91="","",Sistema!T91)</f>
        <v/>
      </c>
      <c r="U91" t="str">
        <f>IF(Sistema!U91="","",Sistema!U91)</f>
        <v/>
      </c>
      <c r="V91" t="str">
        <f>IF(Sistema!V91="","",Sistema!V91)</f>
        <v/>
      </c>
      <c r="W91" t="str">
        <f>IF(Sistema!W91="","",Sistema!W91)</f>
        <v/>
      </c>
      <c r="X91" s="6">
        <v>1</v>
      </c>
      <c r="Z91" t="str">
        <f>IF(Sistema!Z91="","",Sistema!Z91)</f>
        <v/>
      </c>
      <c r="AA91" t="str">
        <f>IF(Sistema!AA91="","",Sistema!AA91)</f>
        <v/>
      </c>
      <c r="AB91" t="str">
        <f>IF(Sistema!AB91="","",IF(OR(ISNUMBER(SEARCH("MKP",E91)),ISNUMBER(SEARCH("MKP",C91))),"Marketplace &gt; "&amp;Sistema!AB91,Sistema!AB91))</f>
        <v/>
      </c>
      <c r="AC91" t="str">
        <f>IF(Sistema!AC91="","",Sistema!AC91)</f>
        <v/>
      </c>
      <c r="AE91" t="str">
        <f>IF(Sistema!AE91="","",Sistema!AE91)</f>
        <v/>
      </c>
      <c r="AH91" t="str">
        <f>IF(Sistema!AH91="","",Sistema!AH91)</f>
        <v/>
      </c>
      <c r="AQ91" t="str">
        <f>IF(Sistema!AQ91="","",Sistema!AQ91)</f>
        <v/>
      </c>
      <c r="AR91" t="str">
        <f>IF(Sistema!AR91="","",Sistema!AR91)</f>
        <v/>
      </c>
      <c r="AS91" t="str">
        <f>IF(Sistema!AS91="","",Sistema!AS91)</f>
        <v/>
      </c>
      <c r="AT91" t="str">
        <f>IF(Sistema!AT91="","",Sistema!AT91)</f>
        <v/>
      </c>
      <c r="AU91" t="str">
        <f>IF(Sistema!AU91="","",Sistema!AU91)</f>
        <v/>
      </c>
      <c r="AV91" t="str">
        <f>IF(Sistema!AV91="","",Sistema!AV91)</f>
        <v/>
      </c>
      <c r="AW91" t="str">
        <f>IF(Sistema!AW91="","",Sistema!AW91)</f>
        <v/>
      </c>
      <c r="AX91" t="str">
        <f>IF(Sistema!AX91="","",Sistema!AX91)</f>
        <v/>
      </c>
      <c r="AY91" t="str">
        <f>IF(Sistema!AY91="","",Sistema!AY91)</f>
        <v/>
      </c>
      <c r="AZ91" t="str">
        <f>IF(Sistema!AZ91="","",Sistema!AZ91)</f>
        <v/>
      </c>
      <c r="BA91" t="str">
        <f>IF(Sistema!BA91="","",Sistema!BA91)</f>
        <v/>
      </c>
      <c r="BB91" t="str">
        <f>IF(Sistema!BB91="","",Sistema!BB91)</f>
        <v/>
      </c>
      <c r="BC91" t="str">
        <f>IF(Sistema!BC91="","",Sistema!BC91)</f>
        <v/>
      </c>
      <c r="BD91" t="str">
        <f>IF(Sistema!BD91="","",Sistema!BD91)</f>
        <v/>
      </c>
      <c r="BE91" t="str">
        <f>IF(Sistema!BE91="","",Sistema!BE91)</f>
        <v/>
      </c>
      <c r="BF91" t="str">
        <f>IF(Sistema!BF91="","",Sistema!BF91)</f>
        <v/>
      </c>
      <c r="BG91" t="str">
        <f>IF(Sistema!BG91="","",Sistema!BG91)</f>
        <v/>
      </c>
      <c r="BH91" t="str">
        <f>IF(Sistema!BH91="","",Sistema!BH91)</f>
        <v/>
      </c>
      <c r="BI91" t="str">
        <f>IF(Sistema!BI91="","",Sistema!BI91)</f>
        <v/>
      </c>
      <c r="BJ91" t="str">
        <f>IF(Sistema!BJ91="","",Sistema!BJ91)</f>
        <v/>
      </c>
      <c r="BK91" t="str">
        <f>IF(Sistema!BK91="","",Sistema!BK91)</f>
        <v/>
      </c>
      <c r="BL91" t="str">
        <f>IF(Sistema!BL91="","",Sistema!BL91)</f>
        <v/>
      </c>
      <c r="BM91" t="str">
        <f>IF(Sistema!BM91="","",Sistema!BM91)</f>
        <v/>
      </c>
      <c r="BN91" t="str">
        <f>IF(Sistema!BN91="","",Sistema!BN91)</f>
        <v/>
      </c>
      <c r="BO91" t="str">
        <f>IF(Sistema!BO91="","",Sistema!BO91)</f>
        <v/>
      </c>
      <c r="BP91" t="str">
        <f>IF(Sistema!BP91="","",Sistema!BP91)</f>
        <v/>
      </c>
      <c r="BQ91" t="str">
        <f>IF(Sistema!BQ91="","",Sistema!BQ91)</f>
        <v/>
      </c>
      <c r="BR91" t="str">
        <f>IF(Sistema!BR91="","",Sistema!BR91)</f>
        <v/>
      </c>
      <c r="BS91" t="str">
        <f>IF(Sistema!BS91="","",Sistema!BS91)</f>
        <v/>
      </c>
      <c r="BT91" t="str">
        <f>IF(Sistema!BT91="","",Sistema!BT91)</f>
        <v/>
      </c>
      <c r="BU91" t="str">
        <f>IF(Sistema!BU91="","",Sistema!BU91)</f>
        <v/>
      </c>
      <c r="BV91" t="str">
        <f>IF(Sistema!BV91="","",Sistema!BV91)</f>
        <v/>
      </c>
      <c r="BW91" t="str">
        <f>IF(Sistema!BW91="","",Sistema!BW91)</f>
        <v/>
      </c>
      <c r="BX91" t="str">
        <f>IF(Sistema!BX91="","",Sistema!BX91)</f>
        <v/>
      </c>
      <c r="BY91" t="str">
        <f>IF(Sistema!BY91="","",Sistema!BY91)</f>
        <v/>
      </c>
      <c r="BZ91" t="str">
        <f>IF(Sistema!BZ91="","",Sistema!BZ91)</f>
        <v/>
      </c>
      <c r="CA91" t="str">
        <f>IF(Sistema!CA91="","",Sistema!CA91)</f>
        <v/>
      </c>
      <c r="CB91" t="str">
        <f>IF(Sistema!CB91="","",Sistema!CB91)</f>
        <v/>
      </c>
      <c r="CC91" t="str">
        <f>IF(Sistema!CC91="","",Sistema!CC91)</f>
        <v/>
      </c>
      <c r="CD91" t="str">
        <f>IF(Sistema!CD91="","",Sistema!CD91)</f>
        <v/>
      </c>
    </row>
    <row r="92" spans="1:82" x14ac:dyDescent="0.25">
      <c r="A92" t="str">
        <f>IF(Sistema!A92="","",Sistema!A92)</f>
        <v/>
      </c>
      <c r="B92" t="str">
        <f>IF(Sistema!B92="","",Sistema!B92)</f>
        <v/>
      </c>
      <c r="C92" t="str">
        <f>IF(Sistema!C92="","",Sistema!C92)</f>
        <v/>
      </c>
      <c r="D92" t="str">
        <f>IF(Sistema!D92="","",Sistema!D92)</f>
        <v/>
      </c>
      <c r="E92" t="str">
        <f>IF(Sistema!E92="","",Sistema!E92)</f>
        <v/>
      </c>
      <c r="F92">
        <f>IF(P92&gt;0,1,IF(Sistema!F92=0,-1,1))</f>
        <v>-1</v>
      </c>
      <c r="G92">
        <f>Sistema!G92</f>
        <v>0</v>
      </c>
      <c r="H92" t="str">
        <f>IF(OR(R92="notify",R92=1),"visible",IF(OR(Sistema!F92=-1,Sistema!F92=0,ISNUMBER(SEARCH("PCK",E92))),"hidden",IF(P92&gt;0,"visible","hidden")))</f>
        <v>hidden</v>
      </c>
      <c r="I92" t="str">
        <f>IF(B92="simple",IF(P92&gt;0,"",IF(R92="notify",Info!C$2,"")),IF(B92="variable",IF(P92&gt;0,"",IF(R92="notify",Info!C$4,"")),""))</f>
        <v/>
      </c>
      <c r="J92" t="str">
        <f>IF(Sistema!J92="","",Sistema!J92)</f>
        <v/>
      </c>
      <c r="M92" t="str">
        <f>IF(Sistema!M92="","",Sistema!M92)</f>
        <v/>
      </c>
      <c r="N92" s="6" t="s">
        <v>1557</v>
      </c>
      <c r="O92" s="6">
        <v>1</v>
      </c>
      <c r="P92">
        <f>Sistema!P92</f>
        <v>0</v>
      </c>
      <c r="Q92">
        <f>Sistema!Q92</f>
        <v>0</v>
      </c>
      <c r="R92">
        <f>IF(Sistema!R92=1,"notify",Sistema!R92)</f>
        <v>0</v>
      </c>
      <c r="T92" t="str">
        <f>IF(Sistema!T92="","",Sistema!T92)</f>
        <v/>
      </c>
      <c r="U92" t="str">
        <f>IF(Sistema!U92="","",Sistema!U92)</f>
        <v/>
      </c>
      <c r="V92" t="str">
        <f>IF(Sistema!V92="","",Sistema!V92)</f>
        <v/>
      </c>
      <c r="W92" t="str">
        <f>IF(Sistema!W92="","",Sistema!W92)</f>
        <v/>
      </c>
      <c r="X92" s="6">
        <v>1</v>
      </c>
      <c r="Z92" t="str">
        <f>IF(Sistema!Z92="","",Sistema!Z92)</f>
        <v/>
      </c>
      <c r="AA92" t="str">
        <f>IF(Sistema!AA92="","",Sistema!AA92)</f>
        <v/>
      </c>
      <c r="AB92" t="str">
        <f>IF(Sistema!AB92="","",IF(OR(ISNUMBER(SEARCH("MKP",E92)),ISNUMBER(SEARCH("MKP",C92))),"Marketplace &gt; "&amp;Sistema!AB92,Sistema!AB92))</f>
        <v/>
      </c>
      <c r="AC92" t="str">
        <f>IF(Sistema!AC92="","",Sistema!AC92)</f>
        <v/>
      </c>
      <c r="AE92" t="str">
        <f>IF(Sistema!AE92="","",Sistema!AE92)</f>
        <v/>
      </c>
      <c r="AH92" t="str">
        <f>IF(Sistema!AH92="","",Sistema!AH92)</f>
        <v/>
      </c>
      <c r="AQ92" t="str">
        <f>IF(Sistema!AQ92="","",Sistema!AQ92)</f>
        <v/>
      </c>
      <c r="AR92" t="str">
        <f>IF(Sistema!AR92="","",Sistema!AR92)</f>
        <v/>
      </c>
      <c r="AS92" t="str">
        <f>IF(Sistema!AS92="","",Sistema!AS92)</f>
        <v/>
      </c>
      <c r="AT92" t="str">
        <f>IF(Sistema!AT92="","",Sistema!AT92)</f>
        <v/>
      </c>
      <c r="AU92" t="str">
        <f>IF(Sistema!AU92="","",Sistema!AU92)</f>
        <v/>
      </c>
      <c r="AV92" t="str">
        <f>IF(Sistema!AV92="","",Sistema!AV92)</f>
        <v/>
      </c>
      <c r="AW92" t="str">
        <f>IF(Sistema!AW92="","",Sistema!AW92)</f>
        <v/>
      </c>
      <c r="AX92" t="str">
        <f>IF(Sistema!AX92="","",Sistema!AX92)</f>
        <v/>
      </c>
      <c r="AY92" t="str">
        <f>IF(Sistema!AY92="","",Sistema!AY92)</f>
        <v/>
      </c>
      <c r="AZ92" t="str">
        <f>IF(Sistema!AZ92="","",Sistema!AZ92)</f>
        <v/>
      </c>
      <c r="BA92" t="str">
        <f>IF(Sistema!BA92="","",Sistema!BA92)</f>
        <v/>
      </c>
      <c r="BB92" t="str">
        <f>IF(Sistema!BB92="","",Sistema!BB92)</f>
        <v/>
      </c>
      <c r="BC92" t="str">
        <f>IF(Sistema!BC92="","",Sistema!BC92)</f>
        <v/>
      </c>
      <c r="BD92" t="str">
        <f>IF(Sistema!BD92="","",Sistema!BD92)</f>
        <v/>
      </c>
      <c r="BE92" t="str">
        <f>IF(Sistema!BE92="","",Sistema!BE92)</f>
        <v/>
      </c>
      <c r="BF92" t="str">
        <f>IF(Sistema!BF92="","",Sistema!BF92)</f>
        <v/>
      </c>
      <c r="BG92" t="str">
        <f>IF(Sistema!BG92="","",Sistema!BG92)</f>
        <v/>
      </c>
      <c r="BH92" t="str">
        <f>IF(Sistema!BH92="","",Sistema!BH92)</f>
        <v/>
      </c>
      <c r="BI92" t="str">
        <f>IF(Sistema!BI92="","",Sistema!BI92)</f>
        <v/>
      </c>
      <c r="BJ92" t="str">
        <f>IF(Sistema!BJ92="","",Sistema!BJ92)</f>
        <v/>
      </c>
      <c r="BK92" t="str">
        <f>IF(Sistema!BK92="","",Sistema!BK92)</f>
        <v/>
      </c>
      <c r="BL92" t="str">
        <f>IF(Sistema!BL92="","",Sistema!BL92)</f>
        <v/>
      </c>
      <c r="BM92" t="str">
        <f>IF(Sistema!BM92="","",Sistema!BM92)</f>
        <v/>
      </c>
      <c r="BN92" t="str">
        <f>IF(Sistema!BN92="","",Sistema!BN92)</f>
        <v/>
      </c>
      <c r="BO92" t="str">
        <f>IF(Sistema!BO92="","",Sistema!BO92)</f>
        <v/>
      </c>
      <c r="BP92" t="str">
        <f>IF(Sistema!BP92="","",Sistema!BP92)</f>
        <v/>
      </c>
      <c r="BQ92" t="str">
        <f>IF(Sistema!BQ92="","",Sistema!BQ92)</f>
        <v/>
      </c>
      <c r="BR92" t="str">
        <f>IF(Sistema!BR92="","",Sistema!BR92)</f>
        <v/>
      </c>
      <c r="BS92" t="str">
        <f>IF(Sistema!BS92="","",Sistema!BS92)</f>
        <v/>
      </c>
      <c r="BT92" t="str">
        <f>IF(Sistema!BT92="","",Sistema!BT92)</f>
        <v/>
      </c>
      <c r="BU92" t="str">
        <f>IF(Sistema!BU92="","",Sistema!BU92)</f>
        <v/>
      </c>
      <c r="BV92" t="str">
        <f>IF(Sistema!BV92="","",Sistema!BV92)</f>
        <v/>
      </c>
      <c r="BW92" t="str">
        <f>IF(Sistema!BW92="","",Sistema!BW92)</f>
        <v/>
      </c>
      <c r="BX92" t="str">
        <f>IF(Sistema!BX92="","",Sistema!BX92)</f>
        <v/>
      </c>
      <c r="BY92" t="str">
        <f>IF(Sistema!BY92="","",Sistema!BY92)</f>
        <v/>
      </c>
      <c r="BZ92" t="str">
        <f>IF(Sistema!BZ92="","",Sistema!BZ92)</f>
        <v/>
      </c>
      <c r="CA92" t="str">
        <f>IF(Sistema!CA92="","",Sistema!CA92)</f>
        <v/>
      </c>
      <c r="CB92" t="str">
        <f>IF(Sistema!CB92="","",Sistema!CB92)</f>
        <v/>
      </c>
      <c r="CC92" t="str">
        <f>IF(Sistema!CC92="","",Sistema!CC92)</f>
        <v/>
      </c>
      <c r="CD92" t="str">
        <f>IF(Sistema!CD92="","",Sistema!CD92)</f>
        <v/>
      </c>
    </row>
    <row r="93" spans="1:82" x14ac:dyDescent="0.25">
      <c r="A93" t="str">
        <f>IF(Sistema!A93="","",Sistema!A93)</f>
        <v/>
      </c>
      <c r="B93" t="str">
        <f>IF(Sistema!B93="","",Sistema!B93)</f>
        <v/>
      </c>
      <c r="C93" t="str">
        <f>IF(Sistema!C93="","",Sistema!C93)</f>
        <v/>
      </c>
      <c r="D93" t="str">
        <f>IF(Sistema!D93="","",Sistema!D93)</f>
        <v/>
      </c>
      <c r="E93" t="str">
        <f>IF(Sistema!E93="","",Sistema!E93)</f>
        <v/>
      </c>
      <c r="F93">
        <f>IF(P93&gt;0,1,IF(Sistema!F93=0,-1,1))</f>
        <v>-1</v>
      </c>
      <c r="G93">
        <f>Sistema!G93</f>
        <v>0</v>
      </c>
      <c r="H93" t="str">
        <f>IF(OR(R93="notify",R93=1),"visible",IF(OR(Sistema!F93=-1,Sistema!F93=0,ISNUMBER(SEARCH("PCK",E93))),"hidden",IF(P93&gt;0,"visible","hidden")))</f>
        <v>hidden</v>
      </c>
      <c r="I93" t="str">
        <f>IF(B93="simple",IF(P93&gt;0,"",IF(R93="notify",Info!C$2,"")),IF(B93="variable",IF(P93&gt;0,"",IF(R93="notify",Info!C$4,"")),""))</f>
        <v/>
      </c>
      <c r="J93" t="str">
        <f>IF(Sistema!J93="","",Sistema!J93)</f>
        <v/>
      </c>
      <c r="M93" t="str">
        <f>IF(Sistema!M93="","",Sistema!M93)</f>
        <v/>
      </c>
      <c r="N93" s="6" t="s">
        <v>1557</v>
      </c>
      <c r="O93" s="6">
        <v>1</v>
      </c>
      <c r="P93">
        <f>Sistema!P93</f>
        <v>0</v>
      </c>
      <c r="Q93">
        <f>Sistema!Q93</f>
        <v>0</v>
      </c>
      <c r="R93">
        <f>IF(Sistema!R93=1,"notify",Sistema!R93)</f>
        <v>0</v>
      </c>
      <c r="T93" t="str">
        <f>IF(Sistema!T93="","",Sistema!T93)</f>
        <v/>
      </c>
      <c r="U93" t="str">
        <f>IF(Sistema!U93="","",Sistema!U93)</f>
        <v/>
      </c>
      <c r="V93" t="str">
        <f>IF(Sistema!V93="","",Sistema!V93)</f>
        <v/>
      </c>
      <c r="W93" t="str">
        <f>IF(Sistema!W93="","",Sistema!W93)</f>
        <v/>
      </c>
      <c r="X93" s="6">
        <v>1</v>
      </c>
      <c r="Z93" t="str">
        <f>IF(Sistema!Z93="","",Sistema!Z93)</f>
        <v/>
      </c>
      <c r="AA93" t="str">
        <f>IF(Sistema!AA93="","",Sistema!AA93)</f>
        <v/>
      </c>
      <c r="AB93" t="str">
        <f>IF(Sistema!AB93="","",IF(OR(ISNUMBER(SEARCH("MKP",E93)),ISNUMBER(SEARCH("MKP",C93))),"Marketplace &gt; "&amp;Sistema!AB93,Sistema!AB93))</f>
        <v/>
      </c>
      <c r="AC93" t="str">
        <f>IF(Sistema!AC93="","",Sistema!AC93)</f>
        <v/>
      </c>
      <c r="AE93" t="str">
        <f>IF(Sistema!AE93="","",Sistema!AE93)</f>
        <v/>
      </c>
      <c r="AH93" t="str">
        <f>IF(Sistema!AH93="","",Sistema!AH93)</f>
        <v/>
      </c>
      <c r="AQ93" t="str">
        <f>IF(Sistema!AQ93="","",Sistema!AQ93)</f>
        <v/>
      </c>
      <c r="AR93" t="str">
        <f>IF(Sistema!AR93="","",Sistema!AR93)</f>
        <v/>
      </c>
      <c r="AS93" t="str">
        <f>IF(Sistema!AS93="","",Sistema!AS93)</f>
        <v/>
      </c>
      <c r="AT93" t="str">
        <f>IF(Sistema!AT93="","",Sistema!AT93)</f>
        <v/>
      </c>
      <c r="AU93" t="str">
        <f>IF(Sistema!AU93="","",Sistema!AU93)</f>
        <v/>
      </c>
      <c r="AV93" t="str">
        <f>IF(Sistema!AV93="","",Sistema!AV93)</f>
        <v/>
      </c>
      <c r="AW93" t="str">
        <f>IF(Sistema!AW93="","",Sistema!AW93)</f>
        <v/>
      </c>
      <c r="AX93" t="str">
        <f>IF(Sistema!AX93="","",Sistema!AX93)</f>
        <v/>
      </c>
      <c r="AY93" t="str">
        <f>IF(Sistema!AY93="","",Sistema!AY93)</f>
        <v/>
      </c>
      <c r="AZ93" t="str">
        <f>IF(Sistema!AZ93="","",Sistema!AZ93)</f>
        <v/>
      </c>
      <c r="BA93" t="str">
        <f>IF(Sistema!BA93="","",Sistema!BA93)</f>
        <v/>
      </c>
      <c r="BB93" t="str">
        <f>IF(Sistema!BB93="","",Sistema!BB93)</f>
        <v/>
      </c>
      <c r="BC93" t="str">
        <f>IF(Sistema!BC93="","",Sistema!BC93)</f>
        <v/>
      </c>
      <c r="BD93" t="str">
        <f>IF(Sistema!BD93="","",Sistema!BD93)</f>
        <v/>
      </c>
      <c r="BE93" t="str">
        <f>IF(Sistema!BE93="","",Sistema!BE93)</f>
        <v/>
      </c>
      <c r="BF93" t="str">
        <f>IF(Sistema!BF93="","",Sistema!BF93)</f>
        <v/>
      </c>
      <c r="BG93" t="str">
        <f>IF(Sistema!BG93="","",Sistema!BG93)</f>
        <v/>
      </c>
      <c r="BH93" t="str">
        <f>IF(Sistema!BH93="","",Sistema!BH93)</f>
        <v/>
      </c>
      <c r="BI93" t="str">
        <f>IF(Sistema!BI93="","",Sistema!BI93)</f>
        <v/>
      </c>
      <c r="BJ93" t="str">
        <f>IF(Sistema!BJ93="","",Sistema!BJ93)</f>
        <v/>
      </c>
      <c r="BK93" t="str">
        <f>IF(Sistema!BK93="","",Sistema!BK93)</f>
        <v/>
      </c>
      <c r="BL93" t="str">
        <f>IF(Sistema!BL93="","",Sistema!BL93)</f>
        <v/>
      </c>
      <c r="BM93" t="str">
        <f>IF(Sistema!BM93="","",Sistema!BM93)</f>
        <v/>
      </c>
      <c r="BN93" t="str">
        <f>IF(Sistema!BN93="","",Sistema!BN93)</f>
        <v/>
      </c>
      <c r="BO93" t="str">
        <f>IF(Sistema!BO93="","",Sistema!BO93)</f>
        <v/>
      </c>
      <c r="BP93" t="str">
        <f>IF(Sistema!BP93="","",Sistema!BP93)</f>
        <v/>
      </c>
      <c r="BQ93" t="str">
        <f>IF(Sistema!BQ93="","",Sistema!BQ93)</f>
        <v/>
      </c>
      <c r="BR93" t="str">
        <f>IF(Sistema!BR93="","",Sistema!BR93)</f>
        <v/>
      </c>
      <c r="BS93" t="str">
        <f>IF(Sistema!BS93="","",Sistema!BS93)</f>
        <v/>
      </c>
      <c r="BT93" t="str">
        <f>IF(Sistema!BT93="","",Sistema!BT93)</f>
        <v/>
      </c>
      <c r="BU93" t="str">
        <f>IF(Sistema!BU93="","",Sistema!BU93)</f>
        <v/>
      </c>
      <c r="BV93" t="str">
        <f>IF(Sistema!BV93="","",Sistema!BV93)</f>
        <v/>
      </c>
      <c r="BW93" t="str">
        <f>IF(Sistema!BW93="","",Sistema!BW93)</f>
        <v/>
      </c>
      <c r="BX93" t="str">
        <f>IF(Sistema!BX93="","",Sistema!BX93)</f>
        <v/>
      </c>
      <c r="BY93" t="str">
        <f>IF(Sistema!BY93="","",Sistema!BY93)</f>
        <v/>
      </c>
      <c r="BZ93" t="str">
        <f>IF(Sistema!BZ93="","",Sistema!BZ93)</f>
        <v/>
      </c>
      <c r="CA93" t="str">
        <f>IF(Sistema!CA93="","",Sistema!CA93)</f>
        <v/>
      </c>
      <c r="CB93" t="str">
        <f>IF(Sistema!CB93="","",Sistema!CB93)</f>
        <v/>
      </c>
      <c r="CC93" t="str">
        <f>IF(Sistema!CC93="","",Sistema!CC93)</f>
        <v/>
      </c>
      <c r="CD93" t="str">
        <f>IF(Sistema!CD93="","",Sistema!CD93)</f>
        <v/>
      </c>
    </row>
    <row r="94" spans="1:82" x14ac:dyDescent="0.25">
      <c r="A94" t="str">
        <f>IF(Sistema!A94="","",Sistema!A94)</f>
        <v/>
      </c>
      <c r="B94" t="str">
        <f>IF(Sistema!B94="","",Sistema!B94)</f>
        <v/>
      </c>
      <c r="C94" t="str">
        <f>IF(Sistema!C94="","",Sistema!C94)</f>
        <v/>
      </c>
      <c r="D94" t="str">
        <f>IF(Sistema!D94="","",Sistema!D94)</f>
        <v/>
      </c>
      <c r="E94" t="str">
        <f>IF(Sistema!E94="","",Sistema!E94)</f>
        <v/>
      </c>
      <c r="F94">
        <f>IF(P94&gt;0,1,IF(Sistema!F94=0,-1,1))</f>
        <v>-1</v>
      </c>
      <c r="G94">
        <f>Sistema!G94</f>
        <v>0</v>
      </c>
      <c r="H94" t="str">
        <f>IF(OR(R94="notify",R94=1),"visible",IF(OR(Sistema!F94=-1,Sistema!F94=0,ISNUMBER(SEARCH("PCK",E94))),"hidden",IF(P94&gt;0,"visible","hidden")))</f>
        <v>hidden</v>
      </c>
      <c r="I94" t="str">
        <f>IF(B94="simple",IF(P94&gt;0,"",IF(R94="notify",Info!C$2,"")),IF(B94="variable",IF(P94&gt;0,"",IF(R94="notify",Info!C$4,"")),""))</f>
        <v/>
      </c>
      <c r="J94" t="str">
        <f>IF(Sistema!J94="","",Sistema!J94)</f>
        <v/>
      </c>
      <c r="M94" t="str">
        <f>IF(Sistema!M94="","",Sistema!M94)</f>
        <v/>
      </c>
      <c r="N94" s="6" t="s">
        <v>1557</v>
      </c>
      <c r="O94" s="6">
        <v>1</v>
      </c>
      <c r="P94">
        <f>Sistema!P94</f>
        <v>0</v>
      </c>
      <c r="Q94">
        <f>Sistema!Q94</f>
        <v>0</v>
      </c>
      <c r="R94">
        <f>IF(Sistema!R94=1,"notify",Sistema!R94)</f>
        <v>0</v>
      </c>
      <c r="T94" t="str">
        <f>IF(Sistema!T94="","",Sistema!T94)</f>
        <v/>
      </c>
      <c r="U94" t="str">
        <f>IF(Sistema!U94="","",Sistema!U94)</f>
        <v/>
      </c>
      <c r="V94" t="str">
        <f>IF(Sistema!V94="","",Sistema!V94)</f>
        <v/>
      </c>
      <c r="W94" t="str">
        <f>IF(Sistema!W94="","",Sistema!W94)</f>
        <v/>
      </c>
      <c r="X94" s="6">
        <v>1</v>
      </c>
      <c r="Z94" t="str">
        <f>IF(Sistema!Z94="","",Sistema!Z94)</f>
        <v/>
      </c>
      <c r="AA94" t="str">
        <f>IF(Sistema!AA94="","",Sistema!AA94)</f>
        <v/>
      </c>
      <c r="AB94" t="str">
        <f>IF(Sistema!AB94="","",IF(OR(ISNUMBER(SEARCH("MKP",E94)),ISNUMBER(SEARCH("MKP",C94))),"Marketplace &gt; "&amp;Sistema!AB94,Sistema!AB94))</f>
        <v/>
      </c>
      <c r="AC94" t="str">
        <f>IF(Sistema!AC94="","",Sistema!AC94)</f>
        <v/>
      </c>
      <c r="AE94" t="str">
        <f>IF(Sistema!AE94="","",Sistema!AE94)</f>
        <v/>
      </c>
      <c r="AH94" t="str">
        <f>IF(Sistema!AH94="","",Sistema!AH94)</f>
        <v/>
      </c>
      <c r="AQ94" t="str">
        <f>IF(Sistema!AQ94="","",Sistema!AQ94)</f>
        <v/>
      </c>
      <c r="AR94" t="str">
        <f>IF(Sistema!AR94="","",Sistema!AR94)</f>
        <v/>
      </c>
      <c r="AS94" t="str">
        <f>IF(Sistema!AS94="","",Sistema!AS94)</f>
        <v/>
      </c>
      <c r="AT94" t="str">
        <f>IF(Sistema!AT94="","",Sistema!AT94)</f>
        <v/>
      </c>
      <c r="AU94" t="str">
        <f>IF(Sistema!AU94="","",Sistema!AU94)</f>
        <v/>
      </c>
      <c r="AV94" t="str">
        <f>IF(Sistema!AV94="","",Sistema!AV94)</f>
        <v/>
      </c>
      <c r="AW94" t="str">
        <f>IF(Sistema!AW94="","",Sistema!AW94)</f>
        <v/>
      </c>
      <c r="AX94" t="str">
        <f>IF(Sistema!AX94="","",Sistema!AX94)</f>
        <v/>
      </c>
      <c r="AY94" t="str">
        <f>IF(Sistema!AY94="","",Sistema!AY94)</f>
        <v/>
      </c>
      <c r="AZ94" t="str">
        <f>IF(Sistema!AZ94="","",Sistema!AZ94)</f>
        <v/>
      </c>
      <c r="BA94" t="str">
        <f>IF(Sistema!BA94="","",Sistema!BA94)</f>
        <v/>
      </c>
      <c r="BB94" t="str">
        <f>IF(Sistema!BB94="","",Sistema!BB94)</f>
        <v/>
      </c>
      <c r="BC94" t="str">
        <f>IF(Sistema!BC94="","",Sistema!BC94)</f>
        <v/>
      </c>
      <c r="BD94" t="str">
        <f>IF(Sistema!BD94="","",Sistema!BD94)</f>
        <v/>
      </c>
      <c r="BE94" t="str">
        <f>IF(Sistema!BE94="","",Sistema!BE94)</f>
        <v/>
      </c>
      <c r="BF94" t="str">
        <f>IF(Sistema!BF94="","",Sistema!BF94)</f>
        <v/>
      </c>
      <c r="BG94" t="str">
        <f>IF(Sistema!BG94="","",Sistema!BG94)</f>
        <v/>
      </c>
      <c r="BH94" t="str">
        <f>IF(Sistema!BH94="","",Sistema!BH94)</f>
        <v/>
      </c>
      <c r="BI94" t="str">
        <f>IF(Sistema!BI94="","",Sistema!BI94)</f>
        <v/>
      </c>
      <c r="BJ94" t="str">
        <f>IF(Sistema!BJ94="","",Sistema!BJ94)</f>
        <v/>
      </c>
      <c r="BK94" t="str">
        <f>IF(Sistema!BK94="","",Sistema!BK94)</f>
        <v/>
      </c>
      <c r="BL94" t="str">
        <f>IF(Sistema!BL94="","",Sistema!BL94)</f>
        <v/>
      </c>
      <c r="BM94" t="str">
        <f>IF(Sistema!BM94="","",Sistema!BM94)</f>
        <v/>
      </c>
      <c r="BN94" t="str">
        <f>IF(Sistema!BN94="","",Sistema!BN94)</f>
        <v/>
      </c>
      <c r="BO94" t="str">
        <f>IF(Sistema!BO94="","",Sistema!BO94)</f>
        <v/>
      </c>
      <c r="BP94" t="str">
        <f>IF(Sistema!BP94="","",Sistema!BP94)</f>
        <v/>
      </c>
      <c r="BQ94" t="str">
        <f>IF(Sistema!BQ94="","",Sistema!BQ94)</f>
        <v/>
      </c>
      <c r="BR94" t="str">
        <f>IF(Sistema!BR94="","",Sistema!BR94)</f>
        <v/>
      </c>
      <c r="BS94" t="str">
        <f>IF(Sistema!BS94="","",Sistema!BS94)</f>
        <v/>
      </c>
      <c r="BT94" t="str">
        <f>IF(Sistema!BT94="","",Sistema!BT94)</f>
        <v/>
      </c>
      <c r="BU94" t="str">
        <f>IF(Sistema!BU94="","",Sistema!BU94)</f>
        <v/>
      </c>
      <c r="BV94" t="str">
        <f>IF(Sistema!BV94="","",Sistema!BV94)</f>
        <v/>
      </c>
      <c r="BW94" t="str">
        <f>IF(Sistema!BW94="","",Sistema!BW94)</f>
        <v/>
      </c>
      <c r="BX94" t="str">
        <f>IF(Sistema!BX94="","",Sistema!BX94)</f>
        <v/>
      </c>
      <c r="BY94" t="str">
        <f>IF(Sistema!BY94="","",Sistema!BY94)</f>
        <v/>
      </c>
      <c r="BZ94" t="str">
        <f>IF(Sistema!BZ94="","",Sistema!BZ94)</f>
        <v/>
      </c>
      <c r="CA94" t="str">
        <f>IF(Sistema!CA94="","",Sistema!CA94)</f>
        <v/>
      </c>
      <c r="CB94" t="str">
        <f>IF(Sistema!CB94="","",Sistema!CB94)</f>
        <v/>
      </c>
      <c r="CC94" t="str">
        <f>IF(Sistema!CC94="","",Sistema!CC94)</f>
        <v/>
      </c>
      <c r="CD94" t="str">
        <f>IF(Sistema!CD94="","",Sistema!CD94)</f>
        <v/>
      </c>
    </row>
    <row r="95" spans="1:82" x14ac:dyDescent="0.25">
      <c r="A95" t="str">
        <f>IF(Sistema!A95="","",Sistema!A95)</f>
        <v/>
      </c>
      <c r="B95" t="str">
        <f>IF(Sistema!B95="","",Sistema!B95)</f>
        <v/>
      </c>
      <c r="C95" t="str">
        <f>IF(Sistema!C95="","",Sistema!C95)</f>
        <v/>
      </c>
      <c r="D95" t="str">
        <f>IF(Sistema!D95="","",Sistema!D95)</f>
        <v/>
      </c>
      <c r="E95" t="str">
        <f>IF(Sistema!E95="","",Sistema!E95)</f>
        <v/>
      </c>
      <c r="F95">
        <f>IF(P95&gt;0,1,IF(Sistema!F95=0,-1,1))</f>
        <v>-1</v>
      </c>
      <c r="G95">
        <f>Sistema!G95</f>
        <v>0</v>
      </c>
      <c r="H95" t="str">
        <f>IF(OR(R95="notify",R95=1),"visible",IF(OR(Sistema!F95=-1,Sistema!F95=0,ISNUMBER(SEARCH("PCK",E95))),"hidden",IF(P95&gt;0,"visible","hidden")))</f>
        <v>hidden</v>
      </c>
      <c r="I95" t="str">
        <f>IF(B95="simple",IF(P95&gt;0,"",IF(R95="notify",Info!C$2,"")),IF(B95="variable",IF(P95&gt;0,"",IF(R95="notify",Info!C$4,"")),""))</f>
        <v/>
      </c>
      <c r="J95" t="str">
        <f>IF(Sistema!J95="","",Sistema!J95)</f>
        <v/>
      </c>
      <c r="M95" t="str">
        <f>IF(Sistema!M95="","",Sistema!M95)</f>
        <v/>
      </c>
      <c r="N95" s="6" t="s">
        <v>1557</v>
      </c>
      <c r="O95" s="6">
        <v>1</v>
      </c>
      <c r="P95">
        <f>Sistema!P95</f>
        <v>0</v>
      </c>
      <c r="Q95">
        <f>Sistema!Q95</f>
        <v>0</v>
      </c>
      <c r="R95">
        <f>IF(Sistema!R95=1,"notify",Sistema!R95)</f>
        <v>0</v>
      </c>
      <c r="T95" t="str">
        <f>IF(Sistema!T95="","",Sistema!T95)</f>
        <v/>
      </c>
      <c r="U95" t="str">
        <f>IF(Sistema!U95="","",Sistema!U95)</f>
        <v/>
      </c>
      <c r="V95" t="str">
        <f>IF(Sistema!V95="","",Sistema!V95)</f>
        <v/>
      </c>
      <c r="W95" t="str">
        <f>IF(Sistema!W95="","",Sistema!W95)</f>
        <v/>
      </c>
      <c r="X95" s="6">
        <v>1</v>
      </c>
      <c r="Z95" t="str">
        <f>IF(Sistema!Z95="","",Sistema!Z95)</f>
        <v/>
      </c>
      <c r="AA95" t="str">
        <f>IF(Sistema!AA95="","",Sistema!AA95)</f>
        <v/>
      </c>
      <c r="AB95" t="str">
        <f>IF(Sistema!AB95="","",IF(OR(ISNUMBER(SEARCH("MKP",E95)),ISNUMBER(SEARCH("MKP",C95))),"Marketplace &gt; "&amp;Sistema!AB95,Sistema!AB95))</f>
        <v/>
      </c>
      <c r="AC95" t="str">
        <f>IF(Sistema!AC95="","",Sistema!AC95)</f>
        <v/>
      </c>
      <c r="AE95" t="str">
        <f>IF(Sistema!AE95="","",Sistema!AE95)</f>
        <v/>
      </c>
      <c r="AH95" t="str">
        <f>IF(Sistema!AH95="","",Sistema!AH95)</f>
        <v/>
      </c>
      <c r="AQ95" t="str">
        <f>IF(Sistema!AQ95="","",Sistema!AQ95)</f>
        <v/>
      </c>
      <c r="AR95" t="str">
        <f>IF(Sistema!AR95="","",Sistema!AR95)</f>
        <v/>
      </c>
      <c r="AS95" t="str">
        <f>IF(Sistema!AS95="","",Sistema!AS95)</f>
        <v/>
      </c>
      <c r="AT95" t="str">
        <f>IF(Sistema!AT95="","",Sistema!AT95)</f>
        <v/>
      </c>
      <c r="AU95" t="str">
        <f>IF(Sistema!AU95="","",Sistema!AU95)</f>
        <v/>
      </c>
      <c r="AV95" t="str">
        <f>IF(Sistema!AV95="","",Sistema!AV95)</f>
        <v/>
      </c>
      <c r="AW95" t="str">
        <f>IF(Sistema!AW95="","",Sistema!AW95)</f>
        <v/>
      </c>
      <c r="AX95" t="str">
        <f>IF(Sistema!AX95="","",Sistema!AX95)</f>
        <v/>
      </c>
      <c r="AY95" t="str">
        <f>IF(Sistema!AY95="","",Sistema!AY95)</f>
        <v/>
      </c>
      <c r="AZ95" t="str">
        <f>IF(Sistema!AZ95="","",Sistema!AZ95)</f>
        <v/>
      </c>
      <c r="BA95" t="str">
        <f>IF(Sistema!BA95="","",Sistema!BA95)</f>
        <v/>
      </c>
      <c r="BB95" t="str">
        <f>IF(Sistema!BB95="","",Sistema!BB95)</f>
        <v/>
      </c>
      <c r="BC95" t="str">
        <f>IF(Sistema!BC95="","",Sistema!BC95)</f>
        <v/>
      </c>
      <c r="BD95" t="str">
        <f>IF(Sistema!BD95="","",Sistema!BD95)</f>
        <v/>
      </c>
      <c r="BE95" t="str">
        <f>IF(Sistema!BE95="","",Sistema!BE95)</f>
        <v/>
      </c>
      <c r="BF95" t="str">
        <f>IF(Sistema!BF95="","",Sistema!BF95)</f>
        <v/>
      </c>
      <c r="BG95" t="str">
        <f>IF(Sistema!BG95="","",Sistema!BG95)</f>
        <v/>
      </c>
      <c r="BH95" t="str">
        <f>IF(Sistema!BH95="","",Sistema!BH95)</f>
        <v/>
      </c>
      <c r="BI95" t="str">
        <f>IF(Sistema!BI95="","",Sistema!BI95)</f>
        <v/>
      </c>
      <c r="BJ95" t="str">
        <f>IF(Sistema!BJ95="","",Sistema!BJ95)</f>
        <v/>
      </c>
      <c r="BK95" t="str">
        <f>IF(Sistema!BK95="","",Sistema!BK95)</f>
        <v/>
      </c>
      <c r="BL95" t="str">
        <f>IF(Sistema!BL95="","",Sistema!BL95)</f>
        <v/>
      </c>
      <c r="BM95" t="str">
        <f>IF(Sistema!BM95="","",Sistema!BM95)</f>
        <v/>
      </c>
      <c r="BN95" t="str">
        <f>IF(Sistema!BN95="","",Sistema!BN95)</f>
        <v/>
      </c>
      <c r="BO95" t="str">
        <f>IF(Sistema!BO95="","",Sistema!BO95)</f>
        <v/>
      </c>
      <c r="BP95" t="str">
        <f>IF(Sistema!BP95="","",Sistema!BP95)</f>
        <v/>
      </c>
      <c r="BQ95" t="str">
        <f>IF(Sistema!BQ95="","",Sistema!BQ95)</f>
        <v/>
      </c>
      <c r="BR95" t="str">
        <f>IF(Sistema!BR95="","",Sistema!BR95)</f>
        <v/>
      </c>
      <c r="BS95" t="str">
        <f>IF(Sistema!BS95="","",Sistema!BS95)</f>
        <v/>
      </c>
      <c r="BT95" t="str">
        <f>IF(Sistema!BT95="","",Sistema!BT95)</f>
        <v/>
      </c>
      <c r="BU95" t="str">
        <f>IF(Sistema!BU95="","",Sistema!BU95)</f>
        <v/>
      </c>
      <c r="BV95" t="str">
        <f>IF(Sistema!BV95="","",Sistema!BV95)</f>
        <v/>
      </c>
      <c r="BW95" t="str">
        <f>IF(Sistema!BW95="","",Sistema!BW95)</f>
        <v/>
      </c>
      <c r="BX95" t="str">
        <f>IF(Sistema!BX95="","",Sistema!BX95)</f>
        <v/>
      </c>
      <c r="BY95" t="str">
        <f>IF(Sistema!BY95="","",Sistema!BY95)</f>
        <v/>
      </c>
      <c r="BZ95" t="str">
        <f>IF(Sistema!BZ95="","",Sistema!BZ95)</f>
        <v/>
      </c>
      <c r="CA95" t="str">
        <f>IF(Sistema!CA95="","",Sistema!CA95)</f>
        <v/>
      </c>
      <c r="CB95" t="str">
        <f>IF(Sistema!CB95="","",Sistema!CB95)</f>
        <v/>
      </c>
      <c r="CC95" t="str">
        <f>IF(Sistema!CC95="","",Sistema!CC95)</f>
        <v/>
      </c>
      <c r="CD95" t="str">
        <f>IF(Sistema!CD95="","",Sistema!CD95)</f>
        <v/>
      </c>
    </row>
    <row r="96" spans="1:82" x14ac:dyDescent="0.25">
      <c r="A96" t="str">
        <f>IF(Sistema!A96="","",Sistema!A96)</f>
        <v/>
      </c>
      <c r="B96" t="str">
        <f>IF(Sistema!B96="","",Sistema!B96)</f>
        <v/>
      </c>
      <c r="C96" t="str">
        <f>IF(Sistema!C96="","",Sistema!C96)</f>
        <v/>
      </c>
      <c r="D96" t="str">
        <f>IF(Sistema!D96="","",Sistema!D96)</f>
        <v/>
      </c>
      <c r="E96" t="str">
        <f>IF(Sistema!E96="","",Sistema!E96)</f>
        <v/>
      </c>
      <c r="F96">
        <f>IF(P96&gt;0,1,IF(Sistema!F96=0,-1,1))</f>
        <v>-1</v>
      </c>
      <c r="G96">
        <f>Sistema!G96</f>
        <v>0</v>
      </c>
      <c r="H96" t="str">
        <f>IF(OR(R96="notify",R96=1),"visible",IF(OR(Sistema!F96=-1,Sistema!F96=0,ISNUMBER(SEARCH("PCK",E96))),"hidden",IF(P96&gt;0,"visible","hidden")))</f>
        <v>hidden</v>
      </c>
      <c r="I96" t="str">
        <f>IF(B96="simple",IF(P96&gt;0,"",IF(R96="notify",Info!C$2,"")),IF(B96="variable",IF(P96&gt;0,"",IF(R96="notify",Info!C$4,"")),""))</f>
        <v/>
      </c>
      <c r="J96" t="str">
        <f>IF(Sistema!J96="","",Sistema!J96)</f>
        <v/>
      </c>
      <c r="M96" t="str">
        <f>IF(Sistema!M96="","",Sistema!M96)</f>
        <v/>
      </c>
      <c r="N96" s="6" t="s">
        <v>1557</v>
      </c>
      <c r="O96" s="6">
        <v>1</v>
      </c>
      <c r="P96">
        <f>Sistema!P96</f>
        <v>0</v>
      </c>
      <c r="Q96">
        <f>Sistema!Q96</f>
        <v>0</v>
      </c>
      <c r="R96">
        <f>IF(Sistema!R96=1,"notify",Sistema!R96)</f>
        <v>0</v>
      </c>
      <c r="T96" t="str">
        <f>IF(Sistema!T96="","",Sistema!T96)</f>
        <v/>
      </c>
      <c r="U96" t="str">
        <f>IF(Sistema!U96="","",Sistema!U96)</f>
        <v/>
      </c>
      <c r="V96" t="str">
        <f>IF(Sistema!V96="","",Sistema!V96)</f>
        <v/>
      </c>
      <c r="W96" t="str">
        <f>IF(Sistema!W96="","",Sistema!W96)</f>
        <v/>
      </c>
      <c r="X96" s="6">
        <v>1</v>
      </c>
      <c r="Z96" t="str">
        <f>IF(Sistema!Z96="","",Sistema!Z96)</f>
        <v/>
      </c>
      <c r="AA96" t="str">
        <f>IF(Sistema!AA96="","",Sistema!AA96)</f>
        <v/>
      </c>
      <c r="AB96" t="str">
        <f>IF(Sistema!AB96="","",IF(OR(ISNUMBER(SEARCH("MKP",E96)),ISNUMBER(SEARCH("MKP",C96))),"Marketplace &gt; "&amp;Sistema!AB96,Sistema!AB96))</f>
        <v/>
      </c>
      <c r="AC96" t="str">
        <f>IF(Sistema!AC96="","",Sistema!AC96)</f>
        <v/>
      </c>
      <c r="AE96" t="str">
        <f>IF(Sistema!AE96="","",Sistema!AE96)</f>
        <v/>
      </c>
      <c r="AH96" t="str">
        <f>IF(Sistema!AH96="","",Sistema!AH96)</f>
        <v/>
      </c>
      <c r="AQ96" t="str">
        <f>IF(Sistema!AQ96="","",Sistema!AQ96)</f>
        <v/>
      </c>
      <c r="AR96" t="str">
        <f>IF(Sistema!AR96="","",Sistema!AR96)</f>
        <v/>
      </c>
      <c r="AS96" t="str">
        <f>IF(Sistema!AS96="","",Sistema!AS96)</f>
        <v/>
      </c>
      <c r="AT96" t="str">
        <f>IF(Sistema!AT96="","",Sistema!AT96)</f>
        <v/>
      </c>
      <c r="AU96" t="str">
        <f>IF(Sistema!AU96="","",Sistema!AU96)</f>
        <v/>
      </c>
      <c r="AV96" t="str">
        <f>IF(Sistema!AV96="","",Sistema!AV96)</f>
        <v/>
      </c>
      <c r="AW96" t="str">
        <f>IF(Sistema!AW96="","",Sistema!AW96)</f>
        <v/>
      </c>
      <c r="AX96" t="str">
        <f>IF(Sistema!AX96="","",Sistema!AX96)</f>
        <v/>
      </c>
      <c r="AY96" t="str">
        <f>IF(Sistema!AY96="","",Sistema!AY96)</f>
        <v/>
      </c>
      <c r="AZ96" t="str">
        <f>IF(Sistema!AZ96="","",Sistema!AZ96)</f>
        <v/>
      </c>
      <c r="BA96" t="str">
        <f>IF(Sistema!BA96="","",Sistema!BA96)</f>
        <v/>
      </c>
      <c r="BB96" t="str">
        <f>IF(Sistema!BB96="","",Sistema!BB96)</f>
        <v/>
      </c>
      <c r="BC96" t="str">
        <f>IF(Sistema!BC96="","",Sistema!BC96)</f>
        <v/>
      </c>
      <c r="BD96" t="str">
        <f>IF(Sistema!BD96="","",Sistema!BD96)</f>
        <v/>
      </c>
      <c r="BE96" t="str">
        <f>IF(Sistema!BE96="","",Sistema!BE96)</f>
        <v/>
      </c>
      <c r="BF96" t="str">
        <f>IF(Sistema!BF96="","",Sistema!BF96)</f>
        <v/>
      </c>
      <c r="BG96" t="str">
        <f>IF(Sistema!BG96="","",Sistema!BG96)</f>
        <v/>
      </c>
      <c r="BH96" t="str">
        <f>IF(Sistema!BH96="","",Sistema!BH96)</f>
        <v/>
      </c>
      <c r="BI96" t="str">
        <f>IF(Sistema!BI96="","",Sistema!BI96)</f>
        <v/>
      </c>
      <c r="BJ96" t="str">
        <f>IF(Sistema!BJ96="","",Sistema!BJ96)</f>
        <v/>
      </c>
      <c r="BK96" t="str">
        <f>IF(Sistema!BK96="","",Sistema!BK96)</f>
        <v/>
      </c>
      <c r="BL96" t="str">
        <f>IF(Sistema!BL96="","",Sistema!BL96)</f>
        <v/>
      </c>
      <c r="BM96" t="str">
        <f>IF(Sistema!BM96="","",Sistema!BM96)</f>
        <v/>
      </c>
      <c r="BN96" t="str">
        <f>IF(Sistema!BN96="","",Sistema!BN96)</f>
        <v/>
      </c>
      <c r="BO96" t="str">
        <f>IF(Sistema!BO96="","",Sistema!BO96)</f>
        <v/>
      </c>
      <c r="BP96" t="str">
        <f>IF(Sistema!BP96="","",Sistema!BP96)</f>
        <v/>
      </c>
      <c r="BQ96" t="str">
        <f>IF(Sistema!BQ96="","",Sistema!BQ96)</f>
        <v/>
      </c>
      <c r="BR96" t="str">
        <f>IF(Sistema!BR96="","",Sistema!BR96)</f>
        <v/>
      </c>
      <c r="BS96" t="str">
        <f>IF(Sistema!BS96="","",Sistema!BS96)</f>
        <v/>
      </c>
      <c r="BT96" t="str">
        <f>IF(Sistema!BT96="","",Sistema!BT96)</f>
        <v/>
      </c>
      <c r="BU96" t="str">
        <f>IF(Sistema!BU96="","",Sistema!BU96)</f>
        <v/>
      </c>
      <c r="BV96" t="str">
        <f>IF(Sistema!BV96="","",Sistema!BV96)</f>
        <v/>
      </c>
      <c r="BW96" t="str">
        <f>IF(Sistema!BW96="","",Sistema!BW96)</f>
        <v/>
      </c>
      <c r="BX96" t="str">
        <f>IF(Sistema!BX96="","",Sistema!BX96)</f>
        <v/>
      </c>
      <c r="BY96" t="str">
        <f>IF(Sistema!BY96="","",Sistema!BY96)</f>
        <v/>
      </c>
      <c r="BZ96" t="str">
        <f>IF(Sistema!BZ96="","",Sistema!BZ96)</f>
        <v/>
      </c>
      <c r="CA96" t="str">
        <f>IF(Sistema!CA96="","",Sistema!CA96)</f>
        <v/>
      </c>
      <c r="CB96" t="str">
        <f>IF(Sistema!CB96="","",Sistema!CB96)</f>
        <v/>
      </c>
      <c r="CC96" t="str">
        <f>IF(Sistema!CC96="","",Sistema!CC96)</f>
        <v/>
      </c>
      <c r="CD96" t="str">
        <f>IF(Sistema!CD96="","",Sistema!CD96)</f>
        <v/>
      </c>
    </row>
    <row r="97" spans="1:82" x14ac:dyDescent="0.25">
      <c r="A97" t="str">
        <f>IF(Sistema!A97="","",Sistema!A97)</f>
        <v/>
      </c>
      <c r="B97" t="str">
        <f>IF(Sistema!B97="","",Sistema!B97)</f>
        <v/>
      </c>
      <c r="C97" t="str">
        <f>IF(Sistema!C97="","",Sistema!C97)</f>
        <v/>
      </c>
      <c r="D97" t="str">
        <f>IF(Sistema!D97="","",Sistema!D97)</f>
        <v/>
      </c>
      <c r="E97" t="str">
        <f>IF(Sistema!E97="","",Sistema!E97)</f>
        <v/>
      </c>
      <c r="F97">
        <f>IF(P97&gt;0,1,IF(Sistema!F97=0,-1,1))</f>
        <v>-1</v>
      </c>
      <c r="G97">
        <f>Sistema!G97</f>
        <v>0</v>
      </c>
      <c r="H97" t="str">
        <f>IF(OR(R97="notify",R97=1),"visible",IF(OR(Sistema!F97=-1,Sistema!F97=0,ISNUMBER(SEARCH("PCK",E97))),"hidden",IF(P97&gt;0,"visible","hidden")))</f>
        <v>hidden</v>
      </c>
      <c r="I97" t="str">
        <f>IF(B97="simple",IF(P97&gt;0,"",IF(R97="notify",Info!C$2,"")),IF(B97="variable",IF(P97&gt;0,"",IF(R97="notify",Info!C$4,"")),""))</f>
        <v/>
      </c>
      <c r="J97" t="str">
        <f>IF(Sistema!J97="","",Sistema!J97)</f>
        <v/>
      </c>
      <c r="M97" t="str">
        <f>IF(Sistema!M97="","",Sistema!M97)</f>
        <v/>
      </c>
      <c r="N97" s="6" t="s">
        <v>1557</v>
      </c>
      <c r="O97" s="6">
        <v>1</v>
      </c>
      <c r="P97">
        <f>Sistema!P97</f>
        <v>0</v>
      </c>
      <c r="Q97">
        <f>Sistema!Q97</f>
        <v>0</v>
      </c>
      <c r="R97">
        <f>IF(Sistema!R97=1,"notify",Sistema!R97)</f>
        <v>0</v>
      </c>
      <c r="T97" t="str">
        <f>IF(Sistema!T97="","",Sistema!T97)</f>
        <v/>
      </c>
      <c r="U97" t="str">
        <f>IF(Sistema!U97="","",Sistema!U97)</f>
        <v/>
      </c>
      <c r="V97" t="str">
        <f>IF(Sistema!V97="","",Sistema!V97)</f>
        <v/>
      </c>
      <c r="W97" t="str">
        <f>IF(Sistema!W97="","",Sistema!W97)</f>
        <v/>
      </c>
      <c r="X97" s="6">
        <v>1</v>
      </c>
      <c r="Z97" t="str">
        <f>IF(Sistema!Z97="","",Sistema!Z97)</f>
        <v/>
      </c>
      <c r="AA97" t="str">
        <f>IF(Sistema!AA97="","",Sistema!AA97)</f>
        <v/>
      </c>
      <c r="AB97" t="str">
        <f>IF(Sistema!AB97="","",IF(OR(ISNUMBER(SEARCH("MKP",E97)),ISNUMBER(SEARCH("MKP",C97))),"Marketplace &gt; "&amp;Sistema!AB97,Sistema!AB97))</f>
        <v/>
      </c>
      <c r="AC97" t="str">
        <f>IF(Sistema!AC97="","",Sistema!AC97)</f>
        <v/>
      </c>
      <c r="AE97" t="str">
        <f>IF(Sistema!AE97="","",Sistema!AE97)</f>
        <v/>
      </c>
      <c r="AH97" t="str">
        <f>IF(Sistema!AH97="","",Sistema!AH97)</f>
        <v/>
      </c>
      <c r="AQ97" t="str">
        <f>IF(Sistema!AQ97="","",Sistema!AQ97)</f>
        <v/>
      </c>
      <c r="AR97" t="str">
        <f>IF(Sistema!AR97="","",Sistema!AR97)</f>
        <v/>
      </c>
      <c r="AS97" t="str">
        <f>IF(Sistema!AS97="","",Sistema!AS97)</f>
        <v/>
      </c>
      <c r="AT97" t="str">
        <f>IF(Sistema!AT97="","",Sistema!AT97)</f>
        <v/>
      </c>
      <c r="AU97" t="str">
        <f>IF(Sistema!AU97="","",Sistema!AU97)</f>
        <v/>
      </c>
      <c r="AV97" t="str">
        <f>IF(Sistema!AV97="","",Sistema!AV97)</f>
        <v/>
      </c>
      <c r="AW97" t="str">
        <f>IF(Sistema!AW97="","",Sistema!AW97)</f>
        <v/>
      </c>
      <c r="AX97" t="str">
        <f>IF(Sistema!AX97="","",Sistema!AX97)</f>
        <v/>
      </c>
      <c r="AY97" t="str">
        <f>IF(Sistema!AY97="","",Sistema!AY97)</f>
        <v/>
      </c>
      <c r="AZ97" t="str">
        <f>IF(Sistema!AZ97="","",Sistema!AZ97)</f>
        <v/>
      </c>
      <c r="BA97" t="str">
        <f>IF(Sistema!BA97="","",Sistema!BA97)</f>
        <v/>
      </c>
      <c r="BB97" t="str">
        <f>IF(Sistema!BB97="","",Sistema!BB97)</f>
        <v/>
      </c>
      <c r="BC97" t="str">
        <f>IF(Sistema!BC97="","",Sistema!BC97)</f>
        <v/>
      </c>
      <c r="BD97" t="str">
        <f>IF(Sistema!BD97="","",Sistema!BD97)</f>
        <v/>
      </c>
      <c r="BE97" t="str">
        <f>IF(Sistema!BE97="","",Sistema!BE97)</f>
        <v/>
      </c>
      <c r="BF97" t="str">
        <f>IF(Sistema!BF97="","",Sistema!BF97)</f>
        <v/>
      </c>
      <c r="BG97" t="str">
        <f>IF(Sistema!BG97="","",Sistema!BG97)</f>
        <v/>
      </c>
      <c r="BH97" t="str">
        <f>IF(Sistema!BH97="","",Sistema!BH97)</f>
        <v/>
      </c>
      <c r="BI97" t="str">
        <f>IF(Sistema!BI97="","",Sistema!BI97)</f>
        <v/>
      </c>
      <c r="BJ97" t="str">
        <f>IF(Sistema!BJ97="","",Sistema!BJ97)</f>
        <v/>
      </c>
      <c r="BK97" t="str">
        <f>IF(Sistema!BK97="","",Sistema!BK97)</f>
        <v/>
      </c>
      <c r="BL97" t="str">
        <f>IF(Sistema!BL97="","",Sistema!BL97)</f>
        <v/>
      </c>
      <c r="BM97" t="str">
        <f>IF(Sistema!BM97="","",Sistema!BM97)</f>
        <v/>
      </c>
      <c r="BN97" t="str">
        <f>IF(Sistema!BN97="","",Sistema!BN97)</f>
        <v/>
      </c>
      <c r="BO97" t="str">
        <f>IF(Sistema!BO97="","",Sistema!BO97)</f>
        <v/>
      </c>
      <c r="BP97" t="str">
        <f>IF(Sistema!BP97="","",Sistema!BP97)</f>
        <v/>
      </c>
      <c r="BQ97" t="str">
        <f>IF(Sistema!BQ97="","",Sistema!BQ97)</f>
        <v/>
      </c>
      <c r="BR97" t="str">
        <f>IF(Sistema!BR97="","",Sistema!BR97)</f>
        <v/>
      </c>
      <c r="BS97" t="str">
        <f>IF(Sistema!BS97="","",Sistema!BS97)</f>
        <v/>
      </c>
      <c r="BT97" t="str">
        <f>IF(Sistema!BT97="","",Sistema!BT97)</f>
        <v/>
      </c>
      <c r="BU97" t="str">
        <f>IF(Sistema!BU97="","",Sistema!BU97)</f>
        <v/>
      </c>
      <c r="BV97" t="str">
        <f>IF(Sistema!BV97="","",Sistema!BV97)</f>
        <v/>
      </c>
      <c r="BW97" t="str">
        <f>IF(Sistema!BW97="","",Sistema!BW97)</f>
        <v/>
      </c>
      <c r="BX97" t="str">
        <f>IF(Sistema!BX97="","",Sistema!BX97)</f>
        <v/>
      </c>
      <c r="BY97" t="str">
        <f>IF(Sistema!BY97="","",Sistema!BY97)</f>
        <v/>
      </c>
      <c r="BZ97" t="str">
        <f>IF(Sistema!BZ97="","",Sistema!BZ97)</f>
        <v/>
      </c>
      <c r="CA97" t="str">
        <f>IF(Sistema!CA97="","",Sistema!CA97)</f>
        <v/>
      </c>
      <c r="CB97" t="str">
        <f>IF(Sistema!CB97="","",Sistema!CB97)</f>
        <v/>
      </c>
      <c r="CC97" t="str">
        <f>IF(Sistema!CC97="","",Sistema!CC97)</f>
        <v/>
      </c>
      <c r="CD97" t="str">
        <f>IF(Sistema!CD97="","",Sistema!CD97)</f>
        <v/>
      </c>
    </row>
    <row r="98" spans="1:82" x14ac:dyDescent="0.25">
      <c r="A98" t="str">
        <f>IF(Sistema!A98="","",Sistema!A98)</f>
        <v/>
      </c>
      <c r="B98" t="str">
        <f>IF(Sistema!B98="","",Sistema!B98)</f>
        <v/>
      </c>
      <c r="C98" t="str">
        <f>IF(Sistema!C98="","",Sistema!C98)</f>
        <v/>
      </c>
      <c r="D98" t="str">
        <f>IF(Sistema!D98="","",Sistema!D98)</f>
        <v/>
      </c>
      <c r="E98" t="str">
        <f>IF(Sistema!E98="","",Sistema!E98)</f>
        <v/>
      </c>
      <c r="F98">
        <f>IF(P98&gt;0,1,IF(Sistema!F98=0,-1,1))</f>
        <v>-1</v>
      </c>
      <c r="G98">
        <f>Sistema!G98</f>
        <v>0</v>
      </c>
      <c r="H98" t="str">
        <f>IF(OR(R98="notify",R98=1),"visible",IF(OR(Sistema!F98=-1,Sistema!F98=0,ISNUMBER(SEARCH("PCK",E98))),"hidden",IF(P98&gt;0,"visible","hidden")))</f>
        <v>hidden</v>
      </c>
      <c r="I98" t="str">
        <f>IF(B98="simple",IF(P98&gt;0,"",IF(R98="notify",Info!C$2,"")),IF(B98="variable",IF(P98&gt;0,"",IF(R98="notify",Info!C$4,"")),""))</f>
        <v/>
      </c>
      <c r="J98" t="str">
        <f>IF(Sistema!J98="","",Sistema!J98)</f>
        <v/>
      </c>
      <c r="M98" t="str">
        <f>IF(Sistema!M98="","",Sistema!M98)</f>
        <v/>
      </c>
      <c r="N98" s="6" t="s">
        <v>1557</v>
      </c>
      <c r="O98" s="6">
        <v>1</v>
      </c>
      <c r="P98">
        <f>Sistema!P98</f>
        <v>0</v>
      </c>
      <c r="Q98">
        <f>Sistema!Q98</f>
        <v>0</v>
      </c>
      <c r="R98">
        <f>IF(Sistema!R98=1,"notify",Sistema!R98)</f>
        <v>0</v>
      </c>
      <c r="T98" t="str">
        <f>IF(Sistema!T98="","",Sistema!T98)</f>
        <v/>
      </c>
      <c r="U98" t="str">
        <f>IF(Sistema!U98="","",Sistema!U98)</f>
        <v/>
      </c>
      <c r="V98" t="str">
        <f>IF(Sistema!V98="","",Sistema!V98)</f>
        <v/>
      </c>
      <c r="W98" t="str">
        <f>IF(Sistema!W98="","",Sistema!W98)</f>
        <v/>
      </c>
      <c r="X98" s="6">
        <v>1</v>
      </c>
      <c r="Z98" t="str">
        <f>IF(Sistema!Z98="","",Sistema!Z98)</f>
        <v/>
      </c>
      <c r="AA98" t="str">
        <f>IF(Sistema!AA98="","",Sistema!AA98)</f>
        <v/>
      </c>
      <c r="AB98" t="str">
        <f>IF(Sistema!AB98="","",IF(OR(ISNUMBER(SEARCH("MKP",E98)),ISNUMBER(SEARCH("MKP",C98))),"Marketplace &gt; "&amp;Sistema!AB98,Sistema!AB98))</f>
        <v/>
      </c>
      <c r="AC98" t="str">
        <f>IF(Sistema!AC98="","",Sistema!AC98)</f>
        <v/>
      </c>
      <c r="AE98" t="str">
        <f>IF(Sistema!AE98="","",Sistema!AE98)</f>
        <v/>
      </c>
      <c r="AH98" t="str">
        <f>IF(Sistema!AH98="","",Sistema!AH98)</f>
        <v/>
      </c>
      <c r="AQ98" t="str">
        <f>IF(Sistema!AQ98="","",Sistema!AQ98)</f>
        <v/>
      </c>
      <c r="AR98" t="str">
        <f>IF(Sistema!AR98="","",Sistema!AR98)</f>
        <v/>
      </c>
      <c r="AS98" t="str">
        <f>IF(Sistema!AS98="","",Sistema!AS98)</f>
        <v/>
      </c>
      <c r="AT98" t="str">
        <f>IF(Sistema!AT98="","",Sistema!AT98)</f>
        <v/>
      </c>
      <c r="AU98" t="str">
        <f>IF(Sistema!AU98="","",Sistema!AU98)</f>
        <v/>
      </c>
      <c r="AV98" t="str">
        <f>IF(Sistema!AV98="","",Sistema!AV98)</f>
        <v/>
      </c>
      <c r="AW98" t="str">
        <f>IF(Sistema!AW98="","",Sistema!AW98)</f>
        <v/>
      </c>
      <c r="AX98" t="str">
        <f>IF(Sistema!AX98="","",Sistema!AX98)</f>
        <v/>
      </c>
      <c r="AY98" t="str">
        <f>IF(Sistema!AY98="","",Sistema!AY98)</f>
        <v/>
      </c>
      <c r="AZ98" t="str">
        <f>IF(Sistema!AZ98="","",Sistema!AZ98)</f>
        <v/>
      </c>
      <c r="BA98" t="str">
        <f>IF(Sistema!BA98="","",Sistema!BA98)</f>
        <v/>
      </c>
      <c r="BB98" t="str">
        <f>IF(Sistema!BB98="","",Sistema!BB98)</f>
        <v/>
      </c>
      <c r="BC98" t="str">
        <f>IF(Sistema!BC98="","",Sistema!BC98)</f>
        <v/>
      </c>
      <c r="BD98" t="str">
        <f>IF(Sistema!BD98="","",Sistema!BD98)</f>
        <v/>
      </c>
      <c r="BE98" t="str">
        <f>IF(Sistema!BE98="","",Sistema!BE98)</f>
        <v/>
      </c>
      <c r="BF98" t="str">
        <f>IF(Sistema!BF98="","",Sistema!BF98)</f>
        <v/>
      </c>
      <c r="BG98" t="str">
        <f>IF(Sistema!BG98="","",Sistema!BG98)</f>
        <v/>
      </c>
      <c r="BH98" t="str">
        <f>IF(Sistema!BH98="","",Sistema!BH98)</f>
        <v/>
      </c>
      <c r="BI98" t="str">
        <f>IF(Sistema!BI98="","",Sistema!BI98)</f>
        <v/>
      </c>
      <c r="BJ98" t="str">
        <f>IF(Sistema!BJ98="","",Sistema!BJ98)</f>
        <v/>
      </c>
      <c r="BK98" t="str">
        <f>IF(Sistema!BK98="","",Sistema!BK98)</f>
        <v/>
      </c>
      <c r="BL98" t="str">
        <f>IF(Sistema!BL98="","",Sistema!BL98)</f>
        <v/>
      </c>
      <c r="BM98" t="str">
        <f>IF(Sistema!BM98="","",Sistema!BM98)</f>
        <v/>
      </c>
      <c r="BN98" t="str">
        <f>IF(Sistema!BN98="","",Sistema!BN98)</f>
        <v/>
      </c>
      <c r="BO98" t="str">
        <f>IF(Sistema!BO98="","",Sistema!BO98)</f>
        <v/>
      </c>
      <c r="BP98" t="str">
        <f>IF(Sistema!BP98="","",Sistema!BP98)</f>
        <v/>
      </c>
      <c r="BQ98" t="str">
        <f>IF(Sistema!BQ98="","",Sistema!BQ98)</f>
        <v/>
      </c>
      <c r="BR98" t="str">
        <f>IF(Sistema!BR98="","",Sistema!BR98)</f>
        <v/>
      </c>
      <c r="BS98" t="str">
        <f>IF(Sistema!BS98="","",Sistema!BS98)</f>
        <v/>
      </c>
      <c r="BT98" t="str">
        <f>IF(Sistema!BT98="","",Sistema!BT98)</f>
        <v/>
      </c>
      <c r="BU98" t="str">
        <f>IF(Sistema!BU98="","",Sistema!BU98)</f>
        <v/>
      </c>
      <c r="BV98" t="str">
        <f>IF(Sistema!BV98="","",Sistema!BV98)</f>
        <v/>
      </c>
      <c r="BW98" t="str">
        <f>IF(Sistema!BW98="","",Sistema!BW98)</f>
        <v/>
      </c>
      <c r="BX98" t="str">
        <f>IF(Sistema!BX98="","",Sistema!BX98)</f>
        <v/>
      </c>
      <c r="BY98" t="str">
        <f>IF(Sistema!BY98="","",Sistema!BY98)</f>
        <v/>
      </c>
      <c r="BZ98" t="str">
        <f>IF(Sistema!BZ98="","",Sistema!BZ98)</f>
        <v/>
      </c>
      <c r="CA98" t="str">
        <f>IF(Sistema!CA98="","",Sistema!CA98)</f>
        <v/>
      </c>
      <c r="CB98" t="str">
        <f>IF(Sistema!CB98="","",Sistema!CB98)</f>
        <v/>
      </c>
      <c r="CC98" t="str">
        <f>IF(Sistema!CC98="","",Sistema!CC98)</f>
        <v/>
      </c>
      <c r="CD98" t="str">
        <f>IF(Sistema!CD98="","",Sistema!CD98)</f>
        <v/>
      </c>
    </row>
    <row r="99" spans="1:82" x14ac:dyDescent="0.25">
      <c r="A99" t="str">
        <f>IF(Sistema!A99="","",Sistema!A99)</f>
        <v/>
      </c>
      <c r="B99" t="str">
        <f>IF(Sistema!B99="","",Sistema!B99)</f>
        <v/>
      </c>
      <c r="C99" t="str">
        <f>IF(Sistema!C99="","",Sistema!C99)</f>
        <v/>
      </c>
      <c r="D99" t="str">
        <f>IF(Sistema!D99="","",Sistema!D99)</f>
        <v/>
      </c>
      <c r="E99" t="str">
        <f>IF(Sistema!E99="","",Sistema!E99)</f>
        <v/>
      </c>
      <c r="F99">
        <f>IF(P99&gt;0,1,IF(Sistema!F99=0,-1,1))</f>
        <v>-1</v>
      </c>
      <c r="G99">
        <f>Sistema!G99</f>
        <v>0</v>
      </c>
      <c r="H99" t="str">
        <f>IF(OR(R99="notify",R99=1),"visible",IF(OR(Sistema!F99=-1,Sistema!F99=0,ISNUMBER(SEARCH("PCK",E99))),"hidden",IF(P99&gt;0,"visible","hidden")))</f>
        <v>hidden</v>
      </c>
      <c r="I99" t="str">
        <f>IF(B99="simple",IF(P99&gt;0,"",IF(R99="notify",Info!C$2,"")),IF(B99="variable",IF(P99&gt;0,"",IF(R99="notify",Info!C$4,"")),""))</f>
        <v/>
      </c>
      <c r="J99" t="str">
        <f>IF(Sistema!J99="","",Sistema!J99)</f>
        <v/>
      </c>
      <c r="M99" t="str">
        <f>IF(Sistema!M99="","",Sistema!M99)</f>
        <v/>
      </c>
      <c r="N99" s="6" t="s">
        <v>1557</v>
      </c>
      <c r="O99" s="6">
        <v>1</v>
      </c>
      <c r="P99">
        <f>Sistema!P99</f>
        <v>0</v>
      </c>
      <c r="Q99">
        <f>Sistema!Q99</f>
        <v>0</v>
      </c>
      <c r="R99">
        <f>IF(Sistema!R99=1,"notify",Sistema!R99)</f>
        <v>0</v>
      </c>
      <c r="T99" t="str">
        <f>IF(Sistema!T99="","",Sistema!T99)</f>
        <v/>
      </c>
      <c r="U99" t="str">
        <f>IF(Sistema!U99="","",Sistema!U99)</f>
        <v/>
      </c>
      <c r="V99" t="str">
        <f>IF(Sistema!V99="","",Sistema!V99)</f>
        <v/>
      </c>
      <c r="W99" t="str">
        <f>IF(Sistema!W99="","",Sistema!W99)</f>
        <v/>
      </c>
      <c r="X99" s="6">
        <v>1</v>
      </c>
      <c r="Z99" t="str">
        <f>IF(Sistema!Z99="","",Sistema!Z99)</f>
        <v/>
      </c>
      <c r="AA99" t="str">
        <f>IF(Sistema!AA99="","",Sistema!AA99)</f>
        <v/>
      </c>
      <c r="AB99" t="str">
        <f>IF(Sistema!AB99="","",IF(OR(ISNUMBER(SEARCH("MKP",E99)),ISNUMBER(SEARCH("MKP",C99))),"Marketplace &gt; "&amp;Sistema!AB99,Sistema!AB99))</f>
        <v/>
      </c>
      <c r="AC99" t="str">
        <f>IF(Sistema!AC99="","",Sistema!AC99)</f>
        <v/>
      </c>
      <c r="AE99" t="str">
        <f>IF(Sistema!AE99="","",Sistema!AE99)</f>
        <v/>
      </c>
      <c r="AH99" t="str">
        <f>IF(Sistema!AH99="","",Sistema!AH99)</f>
        <v/>
      </c>
      <c r="AQ99" t="str">
        <f>IF(Sistema!AQ99="","",Sistema!AQ99)</f>
        <v/>
      </c>
      <c r="AR99" t="str">
        <f>IF(Sistema!AR99="","",Sistema!AR99)</f>
        <v/>
      </c>
      <c r="AS99" t="str">
        <f>IF(Sistema!AS99="","",Sistema!AS99)</f>
        <v/>
      </c>
      <c r="AT99" t="str">
        <f>IF(Sistema!AT99="","",Sistema!AT99)</f>
        <v/>
      </c>
      <c r="AU99" t="str">
        <f>IF(Sistema!AU99="","",Sistema!AU99)</f>
        <v/>
      </c>
      <c r="AV99" t="str">
        <f>IF(Sistema!AV99="","",Sistema!AV99)</f>
        <v/>
      </c>
      <c r="AW99" t="str">
        <f>IF(Sistema!AW99="","",Sistema!AW99)</f>
        <v/>
      </c>
      <c r="AX99" t="str">
        <f>IF(Sistema!AX99="","",Sistema!AX99)</f>
        <v/>
      </c>
      <c r="AY99" t="str">
        <f>IF(Sistema!AY99="","",Sistema!AY99)</f>
        <v/>
      </c>
      <c r="AZ99" t="str">
        <f>IF(Sistema!AZ99="","",Sistema!AZ99)</f>
        <v/>
      </c>
      <c r="BA99" t="str">
        <f>IF(Sistema!BA99="","",Sistema!BA99)</f>
        <v/>
      </c>
      <c r="BB99" t="str">
        <f>IF(Sistema!BB99="","",Sistema!BB99)</f>
        <v/>
      </c>
      <c r="BC99" t="str">
        <f>IF(Sistema!BC99="","",Sistema!BC99)</f>
        <v/>
      </c>
      <c r="BD99" t="str">
        <f>IF(Sistema!BD99="","",Sistema!BD99)</f>
        <v/>
      </c>
      <c r="BE99" t="str">
        <f>IF(Sistema!BE99="","",Sistema!BE99)</f>
        <v/>
      </c>
      <c r="BF99" t="str">
        <f>IF(Sistema!BF99="","",Sistema!BF99)</f>
        <v/>
      </c>
      <c r="BG99" t="str">
        <f>IF(Sistema!BG99="","",Sistema!BG99)</f>
        <v/>
      </c>
      <c r="BH99" t="str">
        <f>IF(Sistema!BH99="","",Sistema!BH99)</f>
        <v/>
      </c>
      <c r="BI99" t="str">
        <f>IF(Sistema!BI99="","",Sistema!BI99)</f>
        <v/>
      </c>
      <c r="BJ99" t="str">
        <f>IF(Sistema!BJ99="","",Sistema!BJ99)</f>
        <v/>
      </c>
      <c r="BK99" t="str">
        <f>IF(Sistema!BK99="","",Sistema!BK99)</f>
        <v/>
      </c>
      <c r="BL99" t="str">
        <f>IF(Sistema!BL99="","",Sistema!BL99)</f>
        <v/>
      </c>
      <c r="BM99" t="str">
        <f>IF(Sistema!BM99="","",Sistema!BM99)</f>
        <v/>
      </c>
      <c r="BN99" t="str">
        <f>IF(Sistema!BN99="","",Sistema!BN99)</f>
        <v/>
      </c>
      <c r="BO99" t="str">
        <f>IF(Sistema!BO99="","",Sistema!BO99)</f>
        <v/>
      </c>
      <c r="BP99" t="str">
        <f>IF(Sistema!BP99="","",Sistema!BP99)</f>
        <v/>
      </c>
      <c r="BQ99" t="str">
        <f>IF(Sistema!BQ99="","",Sistema!BQ99)</f>
        <v/>
      </c>
      <c r="BR99" t="str">
        <f>IF(Sistema!BR99="","",Sistema!BR99)</f>
        <v/>
      </c>
      <c r="BS99" t="str">
        <f>IF(Sistema!BS99="","",Sistema!BS99)</f>
        <v/>
      </c>
      <c r="BT99" t="str">
        <f>IF(Sistema!BT99="","",Sistema!BT99)</f>
        <v/>
      </c>
      <c r="BU99" t="str">
        <f>IF(Sistema!BU99="","",Sistema!BU99)</f>
        <v/>
      </c>
      <c r="BV99" t="str">
        <f>IF(Sistema!BV99="","",Sistema!BV99)</f>
        <v/>
      </c>
      <c r="BW99" t="str">
        <f>IF(Sistema!BW99="","",Sistema!BW99)</f>
        <v/>
      </c>
      <c r="BX99" t="str">
        <f>IF(Sistema!BX99="","",Sistema!BX99)</f>
        <v/>
      </c>
      <c r="BY99" t="str">
        <f>IF(Sistema!BY99="","",Sistema!BY99)</f>
        <v/>
      </c>
      <c r="BZ99" t="str">
        <f>IF(Sistema!BZ99="","",Sistema!BZ99)</f>
        <v/>
      </c>
      <c r="CA99" t="str">
        <f>IF(Sistema!CA99="","",Sistema!CA99)</f>
        <v/>
      </c>
      <c r="CB99" t="str">
        <f>IF(Sistema!CB99="","",Sistema!CB99)</f>
        <v/>
      </c>
      <c r="CC99" t="str">
        <f>IF(Sistema!CC99="","",Sistema!CC99)</f>
        <v/>
      </c>
      <c r="CD99" t="str">
        <f>IF(Sistema!CD99="","",Sistema!CD99)</f>
        <v/>
      </c>
    </row>
    <row r="100" spans="1:82" x14ac:dyDescent="0.25">
      <c r="A100" t="str">
        <f>IF(Sistema!A100="","",Sistema!A100)</f>
        <v/>
      </c>
      <c r="B100" t="str">
        <f>IF(Sistema!B100="","",Sistema!B100)</f>
        <v/>
      </c>
      <c r="C100" t="str">
        <f>IF(Sistema!C100="","",Sistema!C100)</f>
        <v/>
      </c>
      <c r="D100" t="str">
        <f>IF(Sistema!D100="","",Sistema!D100)</f>
        <v/>
      </c>
      <c r="E100" t="str">
        <f>IF(Sistema!E100="","",Sistema!E100)</f>
        <v/>
      </c>
      <c r="F100">
        <f>IF(P100&gt;0,1,IF(Sistema!F100=0,-1,1))</f>
        <v>-1</v>
      </c>
      <c r="G100">
        <f>Sistema!G100</f>
        <v>0</v>
      </c>
      <c r="H100" t="str">
        <f>IF(OR(R100="notify",R100=1),"visible",IF(OR(Sistema!F100=-1,Sistema!F100=0,ISNUMBER(SEARCH("PCK",E100))),"hidden",IF(P100&gt;0,"visible","hidden")))</f>
        <v>hidden</v>
      </c>
      <c r="I100" t="str">
        <f>IF(B100="simple",IF(P100&gt;0,"",IF(R100="notify",Info!C$2,"")),IF(B100="variable",IF(P100&gt;0,"",IF(R100="notify",Info!C$4,"")),""))</f>
        <v/>
      </c>
      <c r="J100" t="str">
        <f>IF(Sistema!J100="","",Sistema!J100)</f>
        <v/>
      </c>
      <c r="M100" t="str">
        <f>IF(Sistema!M100="","",Sistema!M100)</f>
        <v/>
      </c>
      <c r="N100" s="6" t="s">
        <v>1557</v>
      </c>
      <c r="O100" s="6">
        <v>1</v>
      </c>
      <c r="P100">
        <f>Sistema!P100</f>
        <v>0</v>
      </c>
      <c r="Q100">
        <f>Sistema!Q100</f>
        <v>0</v>
      </c>
      <c r="R100">
        <f>IF(Sistema!R100=1,"notify",Sistema!R100)</f>
        <v>0</v>
      </c>
      <c r="T100" t="str">
        <f>IF(Sistema!T100="","",Sistema!T100)</f>
        <v/>
      </c>
      <c r="U100" t="str">
        <f>IF(Sistema!U100="","",Sistema!U100)</f>
        <v/>
      </c>
      <c r="V100" t="str">
        <f>IF(Sistema!V100="","",Sistema!V100)</f>
        <v/>
      </c>
      <c r="W100" t="str">
        <f>IF(Sistema!W100="","",Sistema!W100)</f>
        <v/>
      </c>
      <c r="X100" s="6">
        <v>1</v>
      </c>
      <c r="Z100" t="str">
        <f>IF(Sistema!Z100="","",Sistema!Z100)</f>
        <v/>
      </c>
      <c r="AA100" t="str">
        <f>IF(Sistema!AA100="","",Sistema!AA100)</f>
        <v/>
      </c>
      <c r="AB100" t="str">
        <f>IF(Sistema!AB100="","",IF(OR(ISNUMBER(SEARCH("MKP",E100)),ISNUMBER(SEARCH("MKP",C100))),"Marketplace &gt; "&amp;Sistema!AB100,Sistema!AB100))</f>
        <v/>
      </c>
      <c r="AC100" t="str">
        <f>IF(Sistema!AC100="","",Sistema!AC100)</f>
        <v/>
      </c>
      <c r="AE100" t="str">
        <f>IF(Sistema!AE100="","",Sistema!AE100)</f>
        <v/>
      </c>
      <c r="AH100" t="str">
        <f>IF(Sistema!AH100="","",Sistema!AH100)</f>
        <v/>
      </c>
      <c r="AQ100" t="str">
        <f>IF(Sistema!AQ100="","",Sistema!AQ100)</f>
        <v/>
      </c>
      <c r="AR100" t="str">
        <f>IF(Sistema!AR100="","",Sistema!AR100)</f>
        <v/>
      </c>
      <c r="AS100" t="str">
        <f>IF(Sistema!AS100="","",Sistema!AS100)</f>
        <v/>
      </c>
      <c r="AT100" t="str">
        <f>IF(Sistema!AT100="","",Sistema!AT100)</f>
        <v/>
      </c>
      <c r="AU100" t="str">
        <f>IF(Sistema!AU100="","",Sistema!AU100)</f>
        <v/>
      </c>
      <c r="AV100" t="str">
        <f>IF(Sistema!AV100="","",Sistema!AV100)</f>
        <v/>
      </c>
      <c r="AW100" t="str">
        <f>IF(Sistema!AW100="","",Sistema!AW100)</f>
        <v/>
      </c>
      <c r="AX100" t="str">
        <f>IF(Sistema!AX100="","",Sistema!AX100)</f>
        <v/>
      </c>
      <c r="AY100" t="str">
        <f>IF(Sistema!AY100="","",Sistema!AY100)</f>
        <v/>
      </c>
      <c r="AZ100" t="str">
        <f>IF(Sistema!AZ100="","",Sistema!AZ100)</f>
        <v/>
      </c>
      <c r="BA100" t="str">
        <f>IF(Sistema!BA100="","",Sistema!BA100)</f>
        <v/>
      </c>
      <c r="BB100" t="str">
        <f>IF(Sistema!BB100="","",Sistema!BB100)</f>
        <v/>
      </c>
      <c r="BC100" t="str">
        <f>IF(Sistema!BC100="","",Sistema!BC100)</f>
        <v/>
      </c>
      <c r="BD100" t="str">
        <f>IF(Sistema!BD100="","",Sistema!BD100)</f>
        <v/>
      </c>
      <c r="BE100" t="str">
        <f>IF(Sistema!BE100="","",Sistema!BE100)</f>
        <v/>
      </c>
      <c r="BF100" t="str">
        <f>IF(Sistema!BF100="","",Sistema!BF100)</f>
        <v/>
      </c>
      <c r="BG100" t="str">
        <f>IF(Sistema!BG100="","",Sistema!BG100)</f>
        <v/>
      </c>
      <c r="BH100" t="str">
        <f>IF(Sistema!BH100="","",Sistema!BH100)</f>
        <v/>
      </c>
      <c r="BI100" t="str">
        <f>IF(Sistema!BI100="","",Sistema!BI100)</f>
        <v/>
      </c>
      <c r="BJ100" t="str">
        <f>IF(Sistema!BJ100="","",Sistema!BJ100)</f>
        <v/>
      </c>
      <c r="BK100" t="str">
        <f>IF(Sistema!BK100="","",Sistema!BK100)</f>
        <v/>
      </c>
      <c r="BL100" t="str">
        <f>IF(Sistema!BL100="","",Sistema!BL100)</f>
        <v/>
      </c>
      <c r="BM100" t="str">
        <f>IF(Sistema!BM100="","",Sistema!BM100)</f>
        <v/>
      </c>
      <c r="BN100" t="str">
        <f>IF(Sistema!BN100="","",Sistema!BN100)</f>
        <v/>
      </c>
      <c r="BO100" t="str">
        <f>IF(Sistema!BO100="","",Sistema!BO100)</f>
        <v/>
      </c>
      <c r="BP100" t="str">
        <f>IF(Sistema!BP100="","",Sistema!BP100)</f>
        <v/>
      </c>
      <c r="BQ100" t="str">
        <f>IF(Sistema!BQ100="","",Sistema!BQ100)</f>
        <v/>
      </c>
      <c r="BR100" t="str">
        <f>IF(Sistema!BR100="","",Sistema!BR100)</f>
        <v/>
      </c>
      <c r="BS100" t="str">
        <f>IF(Sistema!BS100="","",Sistema!BS100)</f>
        <v/>
      </c>
      <c r="BT100" t="str">
        <f>IF(Sistema!BT100="","",Sistema!BT100)</f>
        <v/>
      </c>
      <c r="BU100" t="str">
        <f>IF(Sistema!BU100="","",Sistema!BU100)</f>
        <v/>
      </c>
      <c r="BV100" t="str">
        <f>IF(Sistema!BV100="","",Sistema!BV100)</f>
        <v/>
      </c>
      <c r="BW100" t="str">
        <f>IF(Sistema!BW100="","",Sistema!BW100)</f>
        <v/>
      </c>
      <c r="BX100" t="str">
        <f>IF(Sistema!BX100="","",Sistema!BX100)</f>
        <v/>
      </c>
      <c r="BY100" t="str">
        <f>IF(Sistema!BY100="","",Sistema!BY100)</f>
        <v/>
      </c>
      <c r="BZ100" t="str">
        <f>IF(Sistema!BZ100="","",Sistema!BZ100)</f>
        <v/>
      </c>
      <c r="CA100" t="str">
        <f>IF(Sistema!CA100="","",Sistema!CA100)</f>
        <v/>
      </c>
      <c r="CB100" t="str">
        <f>IF(Sistema!CB100="","",Sistema!CB100)</f>
        <v/>
      </c>
      <c r="CC100" t="str">
        <f>IF(Sistema!CC100="","",Sistema!CC100)</f>
        <v/>
      </c>
      <c r="CD100" t="str">
        <f>IF(Sistema!CD100="","",Sistema!CD100)</f>
        <v/>
      </c>
    </row>
    <row r="101" spans="1:82" x14ac:dyDescent="0.25">
      <c r="A101" t="str">
        <f>IF(Sistema!A101="","",Sistema!A101)</f>
        <v/>
      </c>
      <c r="B101" t="str">
        <f>IF(Sistema!B101="","",Sistema!B101)</f>
        <v/>
      </c>
      <c r="C101" t="str">
        <f>IF(Sistema!C101="","",Sistema!C101)</f>
        <v/>
      </c>
      <c r="D101" t="str">
        <f>IF(Sistema!D101="","",Sistema!D101)</f>
        <v/>
      </c>
      <c r="E101" t="str">
        <f>IF(Sistema!E101="","",Sistema!E101)</f>
        <v/>
      </c>
      <c r="F101">
        <f>IF(P101&gt;0,1,IF(Sistema!F101=0,-1,1))</f>
        <v>-1</v>
      </c>
      <c r="G101">
        <f>Sistema!G101</f>
        <v>0</v>
      </c>
      <c r="H101" t="str">
        <f>IF(OR(R101="notify",R101=1),"visible",IF(OR(Sistema!F101=-1,Sistema!F101=0,ISNUMBER(SEARCH("PCK",E101))),"hidden",IF(P101&gt;0,"visible","hidden")))</f>
        <v>hidden</v>
      </c>
      <c r="I101" t="str">
        <f>IF(B101="simple",IF(P101&gt;0,"",IF(R101="notify",Info!C$2,"")),IF(B101="variable",IF(P101&gt;0,"",IF(R101="notify",Info!C$4,"")),""))</f>
        <v/>
      </c>
      <c r="J101" t="str">
        <f>IF(Sistema!J101="","",Sistema!J101)</f>
        <v/>
      </c>
      <c r="M101" t="str">
        <f>IF(Sistema!M101="","",Sistema!M101)</f>
        <v/>
      </c>
      <c r="N101" s="6" t="s">
        <v>1557</v>
      </c>
      <c r="O101" s="6">
        <v>1</v>
      </c>
      <c r="P101">
        <f>Sistema!P101</f>
        <v>0</v>
      </c>
      <c r="Q101">
        <f>Sistema!Q101</f>
        <v>0</v>
      </c>
      <c r="R101">
        <f>IF(Sistema!R101=1,"notify",Sistema!R101)</f>
        <v>0</v>
      </c>
      <c r="T101" t="str">
        <f>IF(Sistema!T101="","",Sistema!T101)</f>
        <v/>
      </c>
      <c r="U101" t="str">
        <f>IF(Sistema!U101="","",Sistema!U101)</f>
        <v/>
      </c>
      <c r="V101" t="str">
        <f>IF(Sistema!V101="","",Sistema!V101)</f>
        <v/>
      </c>
      <c r="W101" t="str">
        <f>IF(Sistema!W101="","",Sistema!W101)</f>
        <v/>
      </c>
      <c r="X101" s="6">
        <v>1</v>
      </c>
      <c r="Z101" t="str">
        <f>IF(Sistema!Z101="","",Sistema!Z101)</f>
        <v/>
      </c>
      <c r="AA101" t="str">
        <f>IF(Sistema!AA101="","",Sistema!AA101)</f>
        <v/>
      </c>
      <c r="AB101" t="str">
        <f>IF(Sistema!AB101="","",IF(OR(ISNUMBER(SEARCH("MKP",E101)),ISNUMBER(SEARCH("MKP",C101))),"Marketplace &gt; "&amp;Sistema!AB101,Sistema!AB101))</f>
        <v/>
      </c>
      <c r="AC101" t="str">
        <f>IF(Sistema!AC101="","",Sistema!AC101)</f>
        <v/>
      </c>
      <c r="AE101" t="str">
        <f>IF(Sistema!AE101="","",Sistema!AE101)</f>
        <v/>
      </c>
      <c r="AH101" t="str">
        <f>IF(Sistema!AH101="","",Sistema!AH101)</f>
        <v/>
      </c>
      <c r="AQ101" t="str">
        <f>IF(Sistema!AQ101="","",Sistema!AQ101)</f>
        <v/>
      </c>
      <c r="AR101" t="str">
        <f>IF(Sistema!AR101="","",Sistema!AR101)</f>
        <v/>
      </c>
      <c r="AS101" t="str">
        <f>IF(Sistema!AS101="","",Sistema!AS101)</f>
        <v/>
      </c>
      <c r="AT101" t="str">
        <f>IF(Sistema!AT101="","",Sistema!AT101)</f>
        <v/>
      </c>
      <c r="AU101" t="str">
        <f>IF(Sistema!AU101="","",Sistema!AU101)</f>
        <v/>
      </c>
      <c r="AV101" t="str">
        <f>IF(Sistema!AV101="","",Sistema!AV101)</f>
        <v/>
      </c>
      <c r="AW101" t="str">
        <f>IF(Sistema!AW101="","",Sistema!AW101)</f>
        <v/>
      </c>
      <c r="AX101" t="str">
        <f>IF(Sistema!AX101="","",Sistema!AX101)</f>
        <v/>
      </c>
      <c r="AY101" t="str">
        <f>IF(Sistema!AY101="","",Sistema!AY101)</f>
        <v/>
      </c>
      <c r="AZ101" t="str">
        <f>IF(Sistema!AZ101="","",Sistema!AZ101)</f>
        <v/>
      </c>
      <c r="BA101" t="str">
        <f>IF(Sistema!BA101="","",Sistema!BA101)</f>
        <v/>
      </c>
      <c r="BB101" t="str">
        <f>IF(Sistema!BB101="","",Sistema!BB101)</f>
        <v/>
      </c>
      <c r="BC101" t="str">
        <f>IF(Sistema!BC101="","",Sistema!BC101)</f>
        <v/>
      </c>
      <c r="BD101" t="str">
        <f>IF(Sistema!BD101="","",Sistema!BD101)</f>
        <v/>
      </c>
      <c r="BE101" t="str">
        <f>IF(Sistema!BE101="","",Sistema!BE101)</f>
        <v/>
      </c>
      <c r="BF101" t="str">
        <f>IF(Sistema!BF101="","",Sistema!BF101)</f>
        <v/>
      </c>
      <c r="BG101" t="str">
        <f>IF(Sistema!BG101="","",Sistema!BG101)</f>
        <v/>
      </c>
      <c r="BH101" t="str">
        <f>IF(Sistema!BH101="","",Sistema!BH101)</f>
        <v/>
      </c>
      <c r="BI101" t="str">
        <f>IF(Sistema!BI101="","",Sistema!BI101)</f>
        <v/>
      </c>
      <c r="BJ101" t="str">
        <f>IF(Sistema!BJ101="","",Sistema!BJ101)</f>
        <v/>
      </c>
      <c r="BK101" t="str">
        <f>IF(Sistema!BK101="","",Sistema!BK101)</f>
        <v/>
      </c>
      <c r="BL101" t="str">
        <f>IF(Sistema!BL101="","",Sistema!BL101)</f>
        <v/>
      </c>
      <c r="BM101" t="str">
        <f>IF(Sistema!BM101="","",Sistema!BM101)</f>
        <v/>
      </c>
      <c r="BN101" t="str">
        <f>IF(Sistema!BN101="","",Sistema!BN101)</f>
        <v/>
      </c>
      <c r="BO101" t="str">
        <f>IF(Sistema!BO101="","",Sistema!BO101)</f>
        <v/>
      </c>
      <c r="BP101" t="str">
        <f>IF(Sistema!BP101="","",Sistema!BP101)</f>
        <v/>
      </c>
      <c r="BQ101" t="str">
        <f>IF(Sistema!BQ101="","",Sistema!BQ101)</f>
        <v/>
      </c>
      <c r="BR101" t="str">
        <f>IF(Sistema!BR101="","",Sistema!BR101)</f>
        <v/>
      </c>
      <c r="BS101" t="str">
        <f>IF(Sistema!BS101="","",Sistema!BS101)</f>
        <v/>
      </c>
      <c r="BT101" t="str">
        <f>IF(Sistema!BT101="","",Sistema!BT101)</f>
        <v/>
      </c>
      <c r="BU101" t="str">
        <f>IF(Sistema!BU101="","",Sistema!BU101)</f>
        <v/>
      </c>
      <c r="BV101" t="str">
        <f>IF(Sistema!BV101="","",Sistema!BV101)</f>
        <v/>
      </c>
      <c r="BW101" t="str">
        <f>IF(Sistema!BW101="","",Sistema!BW101)</f>
        <v/>
      </c>
      <c r="BX101" t="str">
        <f>IF(Sistema!BX101="","",Sistema!BX101)</f>
        <v/>
      </c>
      <c r="BY101" t="str">
        <f>IF(Sistema!BY101="","",Sistema!BY101)</f>
        <v/>
      </c>
      <c r="BZ101" t="str">
        <f>IF(Sistema!BZ101="","",Sistema!BZ101)</f>
        <v/>
      </c>
      <c r="CA101" t="str">
        <f>IF(Sistema!CA101="","",Sistema!CA101)</f>
        <v/>
      </c>
      <c r="CB101" t="str">
        <f>IF(Sistema!CB101="","",Sistema!CB101)</f>
        <v/>
      </c>
      <c r="CC101" t="str">
        <f>IF(Sistema!CC101="","",Sistema!CC101)</f>
        <v/>
      </c>
      <c r="CD101" t="str">
        <f>IF(Sistema!CD101="","",Sistema!CD101)</f>
        <v/>
      </c>
    </row>
    <row r="102" spans="1:82" x14ac:dyDescent="0.25">
      <c r="A102" t="str">
        <f>IF(Sistema!A102="","",Sistema!A102)</f>
        <v/>
      </c>
      <c r="B102" t="str">
        <f>IF(Sistema!B102="","",Sistema!B102)</f>
        <v/>
      </c>
      <c r="C102" t="str">
        <f>IF(Sistema!C102="","",Sistema!C102)</f>
        <v/>
      </c>
      <c r="D102" t="str">
        <f>IF(Sistema!D102="","",Sistema!D102)</f>
        <v/>
      </c>
      <c r="E102" t="str">
        <f>IF(Sistema!E102="","",Sistema!E102)</f>
        <v/>
      </c>
      <c r="F102">
        <f>IF(P102&gt;0,1,IF(Sistema!F102=0,-1,1))</f>
        <v>-1</v>
      </c>
      <c r="G102">
        <f>Sistema!G102</f>
        <v>0</v>
      </c>
      <c r="H102" t="str">
        <f>IF(OR(R102="notify",R102=1),"visible",IF(OR(Sistema!F102=-1,Sistema!F102=0,ISNUMBER(SEARCH("PCK",E102))),"hidden",IF(P102&gt;0,"visible","hidden")))</f>
        <v>hidden</v>
      </c>
      <c r="I102" t="str">
        <f>IF(B102="simple",IF(P102&gt;0,"",IF(R102="notify",Info!C$2,"")),IF(B102="variable",IF(P102&gt;0,"",IF(R102="notify",Info!C$4,"")),""))</f>
        <v/>
      </c>
      <c r="J102" t="str">
        <f>IF(Sistema!J102="","",Sistema!J102)</f>
        <v/>
      </c>
      <c r="M102" t="str">
        <f>IF(Sistema!M102="","",Sistema!M102)</f>
        <v/>
      </c>
      <c r="N102" s="6" t="s">
        <v>1557</v>
      </c>
      <c r="O102" s="6">
        <v>1</v>
      </c>
      <c r="P102">
        <f>Sistema!P102</f>
        <v>0</v>
      </c>
      <c r="Q102">
        <f>Sistema!Q102</f>
        <v>0</v>
      </c>
      <c r="R102">
        <f>IF(Sistema!R102=1,"notify",Sistema!R102)</f>
        <v>0</v>
      </c>
      <c r="T102" t="str">
        <f>IF(Sistema!T102="","",Sistema!T102)</f>
        <v/>
      </c>
      <c r="U102" t="str">
        <f>IF(Sistema!U102="","",Sistema!U102)</f>
        <v/>
      </c>
      <c r="V102" t="str">
        <f>IF(Sistema!V102="","",Sistema!V102)</f>
        <v/>
      </c>
      <c r="W102" t="str">
        <f>IF(Sistema!W102="","",Sistema!W102)</f>
        <v/>
      </c>
      <c r="X102" s="6">
        <v>1</v>
      </c>
      <c r="Z102" t="str">
        <f>IF(Sistema!Z102="","",Sistema!Z102)</f>
        <v/>
      </c>
      <c r="AA102" t="str">
        <f>IF(Sistema!AA102="","",Sistema!AA102)</f>
        <v/>
      </c>
      <c r="AB102" t="str">
        <f>IF(Sistema!AB102="","",IF(OR(ISNUMBER(SEARCH("MKP",E102)),ISNUMBER(SEARCH("MKP",C102))),"Marketplace &gt; "&amp;Sistema!AB102,Sistema!AB102))</f>
        <v/>
      </c>
      <c r="AC102" t="str">
        <f>IF(Sistema!AC102="","",Sistema!AC102)</f>
        <v/>
      </c>
      <c r="AE102" t="str">
        <f>IF(Sistema!AE102="","",Sistema!AE102)</f>
        <v/>
      </c>
      <c r="AH102" t="str">
        <f>IF(Sistema!AH102="","",Sistema!AH102)</f>
        <v/>
      </c>
      <c r="AQ102" t="str">
        <f>IF(Sistema!AQ102="","",Sistema!AQ102)</f>
        <v/>
      </c>
      <c r="AR102" t="str">
        <f>IF(Sistema!AR102="","",Sistema!AR102)</f>
        <v/>
      </c>
      <c r="AS102" t="str">
        <f>IF(Sistema!AS102="","",Sistema!AS102)</f>
        <v/>
      </c>
      <c r="AT102" t="str">
        <f>IF(Sistema!AT102="","",Sistema!AT102)</f>
        <v/>
      </c>
      <c r="AU102" t="str">
        <f>IF(Sistema!AU102="","",Sistema!AU102)</f>
        <v/>
      </c>
      <c r="AV102" t="str">
        <f>IF(Sistema!AV102="","",Sistema!AV102)</f>
        <v/>
      </c>
      <c r="AW102" t="str">
        <f>IF(Sistema!AW102="","",Sistema!AW102)</f>
        <v/>
      </c>
      <c r="AX102" t="str">
        <f>IF(Sistema!AX102="","",Sistema!AX102)</f>
        <v/>
      </c>
      <c r="AY102" t="str">
        <f>IF(Sistema!AY102="","",Sistema!AY102)</f>
        <v/>
      </c>
      <c r="AZ102" t="str">
        <f>IF(Sistema!AZ102="","",Sistema!AZ102)</f>
        <v/>
      </c>
      <c r="BA102" t="str">
        <f>IF(Sistema!BA102="","",Sistema!BA102)</f>
        <v/>
      </c>
      <c r="BB102" t="str">
        <f>IF(Sistema!BB102="","",Sistema!BB102)</f>
        <v/>
      </c>
      <c r="BC102" t="str">
        <f>IF(Sistema!BC102="","",Sistema!BC102)</f>
        <v/>
      </c>
      <c r="BD102" t="str">
        <f>IF(Sistema!BD102="","",Sistema!BD102)</f>
        <v/>
      </c>
      <c r="BE102" t="str">
        <f>IF(Sistema!BE102="","",Sistema!BE102)</f>
        <v/>
      </c>
      <c r="BF102" t="str">
        <f>IF(Sistema!BF102="","",Sistema!BF102)</f>
        <v/>
      </c>
      <c r="BG102" t="str">
        <f>IF(Sistema!BG102="","",Sistema!BG102)</f>
        <v/>
      </c>
      <c r="BH102" t="str">
        <f>IF(Sistema!BH102="","",Sistema!BH102)</f>
        <v/>
      </c>
      <c r="BI102" t="str">
        <f>IF(Sistema!BI102="","",Sistema!BI102)</f>
        <v/>
      </c>
      <c r="BJ102" t="str">
        <f>IF(Sistema!BJ102="","",Sistema!BJ102)</f>
        <v/>
      </c>
      <c r="BK102" t="str">
        <f>IF(Sistema!BK102="","",Sistema!BK102)</f>
        <v/>
      </c>
      <c r="BL102" t="str">
        <f>IF(Sistema!BL102="","",Sistema!BL102)</f>
        <v/>
      </c>
      <c r="BM102" t="str">
        <f>IF(Sistema!BM102="","",Sistema!BM102)</f>
        <v/>
      </c>
      <c r="BN102" t="str">
        <f>IF(Sistema!BN102="","",Sistema!BN102)</f>
        <v/>
      </c>
      <c r="BO102" t="str">
        <f>IF(Sistema!BO102="","",Sistema!BO102)</f>
        <v/>
      </c>
      <c r="BP102" t="str">
        <f>IF(Sistema!BP102="","",Sistema!BP102)</f>
        <v/>
      </c>
      <c r="BQ102" t="str">
        <f>IF(Sistema!BQ102="","",Sistema!BQ102)</f>
        <v/>
      </c>
      <c r="BR102" t="str">
        <f>IF(Sistema!BR102="","",Sistema!BR102)</f>
        <v/>
      </c>
      <c r="BS102" t="str">
        <f>IF(Sistema!BS102="","",Sistema!BS102)</f>
        <v/>
      </c>
      <c r="BT102" t="str">
        <f>IF(Sistema!BT102="","",Sistema!BT102)</f>
        <v/>
      </c>
      <c r="BU102" t="str">
        <f>IF(Sistema!BU102="","",Sistema!BU102)</f>
        <v/>
      </c>
      <c r="BV102" t="str">
        <f>IF(Sistema!BV102="","",Sistema!BV102)</f>
        <v/>
      </c>
      <c r="BW102" t="str">
        <f>IF(Sistema!BW102="","",Sistema!BW102)</f>
        <v/>
      </c>
      <c r="BX102" t="str">
        <f>IF(Sistema!BX102="","",Sistema!BX102)</f>
        <v/>
      </c>
      <c r="BY102" t="str">
        <f>IF(Sistema!BY102="","",Sistema!BY102)</f>
        <v/>
      </c>
      <c r="BZ102" t="str">
        <f>IF(Sistema!BZ102="","",Sistema!BZ102)</f>
        <v/>
      </c>
      <c r="CA102" t="str">
        <f>IF(Sistema!CA102="","",Sistema!CA102)</f>
        <v/>
      </c>
      <c r="CB102" t="str">
        <f>IF(Sistema!CB102="","",Sistema!CB102)</f>
        <v/>
      </c>
      <c r="CC102" t="str">
        <f>IF(Sistema!CC102="","",Sistema!CC102)</f>
        <v/>
      </c>
      <c r="CD102" t="str">
        <f>IF(Sistema!CD102="","",Sistema!CD102)</f>
        <v/>
      </c>
    </row>
    <row r="103" spans="1:82" x14ac:dyDescent="0.25">
      <c r="A103" t="str">
        <f>IF(Sistema!A103="","",Sistema!A103)</f>
        <v/>
      </c>
      <c r="B103" t="str">
        <f>IF(Sistema!B103="","",Sistema!B103)</f>
        <v/>
      </c>
      <c r="C103" t="str">
        <f>IF(Sistema!C103="","",Sistema!C103)</f>
        <v/>
      </c>
      <c r="D103" t="str">
        <f>IF(Sistema!D103="","",Sistema!D103)</f>
        <v/>
      </c>
      <c r="E103" t="str">
        <f>IF(Sistema!E103="","",Sistema!E103)</f>
        <v/>
      </c>
      <c r="F103">
        <f>IF(P103&gt;0,1,IF(Sistema!F103=0,-1,1))</f>
        <v>-1</v>
      </c>
      <c r="G103">
        <f>Sistema!G103</f>
        <v>0</v>
      </c>
      <c r="H103" t="str">
        <f>IF(OR(R103="notify",R103=1),"visible",IF(OR(Sistema!F103=-1,Sistema!F103=0,ISNUMBER(SEARCH("PCK",E103))),"hidden",IF(P103&gt;0,"visible","hidden")))</f>
        <v>hidden</v>
      </c>
      <c r="I103" t="str">
        <f>IF(B103="simple",IF(P103&gt;0,"",IF(R103="notify",Info!C$2,"")),IF(B103="variable",IF(P103&gt;0,"",IF(R103="notify",Info!C$4,"")),""))</f>
        <v/>
      </c>
      <c r="J103" t="str">
        <f>IF(Sistema!J103="","",Sistema!J103)</f>
        <v/>
      </c>
      <c r="M103" t="str">
        <f>IF(Sistema!M103="","",Sistema!M103)</f>
        <v/>
      </c>
      <c r="N103" s="6" t="s">
        <v>1557</v>
      </c>
      <c r="O103" s="6">
        <v>1</v>
      </c>
      <c r="P103">
        <f>Sistema!P103</f>
        <v>0</v>
      </c>
      <c r="Q103">
        <f>Sistema!Q103</f>
        <v>0</v>
      </c>
      <c r="R103">
        <f>IF(Sistema!R103=1,"notify",Sistema!R103)</f>
        <v>0</v>
      </c>
      <c r="T103" t="str">
        <f>IF(Sistema!T103="","",Sistema!T103)</f>
        <v/>
      </c>
      <c r="U103" t="str">
        <f>IF(Sistema!U103="","",Sistema!U103)</f>
        <v/>
      </c>
      <c r="V103" t="str">
        <f>IF(Sistema!V103="","",Sistema!V103)</f>
        <v/>
      </c>
      <c r="W103" t="str">
        <f>IF(Sistema!W103="","",Sistema!W103)</f>
        <v/>
      </c>
      <c r="X103" s="6">
        <v>1</v>
      </c>
      <c r="Z103" t="str">
        <f>IF(Sistema!Z103="","",Sistema!Z103)</f>
        <v/>
      </c>
      <c r="AA103" t="str">
        <f>IF(Sistema!AA103="","",Sistema!AA103)</f>
        <v/>
      </c>
      <c r="AB103" t="str">
        <f>IF(Sistema!AB103="","",IF(OR(ISNUMBER(SEARCH("MKP",E103)),ISNUMBER(SEARCH("MKP",C103))),"Marketplace &gt; "&amp;Sistema!AB103,Sistema!AB103))</f>
        <v/>
      </c>
      <c r="AC103" t="str">
        <f>IF(Sistema!AC103="","",Sistema!AC103)</f>
        <v/>
      </c>
      <c r="AE103" t="str">
        <f>IF(Sistema!AE103="","",Sistema!AE103)</f>
        <v/>
      </c>
      <c r="AH103" t="str">
        <f>IF(Sistema!AH103="","",Sistema!AH103)</f>
        <v/>
      </c>
      <c r="AQ103" t="str">
        <f>IF(Sistema!AQ103="","",Sistema!AQ103)</f>
        <v/>
      </c>
      <c r="AR103" t="str">
        <f>IF(Sistema!AR103="","",Sistema!AR103)</f>
        <v/>
      </c>
      <c r="AS103" t="str">
        <f>IF(Sistema!AS103="","",Sistema!AS103)</f>
        <v/>
      </c>
      <c r="AT103" t="str">
        <f>IF(Sistema!AT103="","",Sistema!AT103)</f>
        <v/>
      </c>
      <c r="AU103" t="str">
        <f>IF(Sistema!AU103="","",Sistema!AU103)</f>
        <v/>
      </c>
      <c r="AV103" t="str">
        <f>IF(Sistema!AV103="","",Sistema!AV103)</f>
        <v/>
      </c>
      <c r="AW103" t="str">
        <f>IF(Sistema!AW103="","",Sistema!AW103)</f>
        <v/>
      </c>
      <c r="AX103" t="str">
        <f>IF(Sistema!AX103="","",Sistema!AX103)</f>
        <v/>
      </c>
      <c r="AY103" t="str">
        <f>IF(Sistema!AY103="","",Sistema!AY103)</f>
        <v/>
      </c>
      <c r="AZ103" t="str">
        <f>IF(Sistema!AZ103="","",Sistema!AZ103)</f>
        <v/>
      </c>
      <c r="BA103" t="str">
        <f>IF(Sistema!BA103="","",Sistema!BA103)</f>
        <v/>
      </c>
      <c r="BB103" t="str">
        <f>IF(Sistema!BB103="","",Sistema!BB103)</f>
        <v/>
      </c>
      <c r="BC103" t="str">
        <f>IF(Sistema!BC103="","",Sistema!BC103)</f>
        <v/>
      </c>
      <c r="BD103" t="str">
        <f>IF(Sistema!BD103="","",Sistema!BD103)</f>
        <v/>
      </c>
      <c r="BE103" t="str">
        <f>IF(Sistema!BE103="","",Sistema!BE103)</f>
        <v/>
      </c>
      <c r="BF103" t="str">
        <f>IF(Sistema!BF103="","",Sistema!BF103)</f>
        <v/>
      </c>
      <c r="BG103" t="str">
        <f>IF(Sistema!BG103="","",Sistema!BG103)</f>
        <v/>
      </c>
      <c r="BH103" t="str">
        <f>IF(Sistema!BH103="","",Sistema!BH103)</f>
        <v/>
      </c>
      <c r="BI103" t="str">
        <f>IF(Sistema!BI103="","",Sistema!BI103)</f>
        <v/>
      </c>
      <c r="BJ103" t="str">
        <f>IF(Sistema!BJ103="","",Sistema!BJ103)</f>
        <v/>
      </c>
      <c r="BK103" t="str">
        <f>IF(Sistema!BK103="","",Sistema!BK103)</f>
        <v/>
      </c>
      <c r="BL103" t="str">
        <f>IF(Sistema!BL103="","",Sistema!BL103)</f>
        <v/>
      </c>
      <c r="BM103" t="str">
        <f>IF(Sistema!BM103="","",Sistema!BM103)</f>
        <v/>
      </c>
      <c r="BN103" t="str">
        <f>IF(Sistema!BN103="","",Sistema!BN103)</f>
        <v/>
      </c>
      <c r="BO103" t="str">
        <f>IF(Sistema!BO103="","",Sistema!BO103)</f>
        <v/>
      </c>
      <c r="BP103" t="str">
        <f>IF(Sistema!BP103="","",Sistema!BP103)</f>
        <v/>
      </c>
      <c r="BQ103" t="str">
        <f>IF(Sistema!BQ103="","",Sistema!BQ103)</f>
        <v/>
      </c>
      <c r="BR103" t="str">
        <f>IF(Sistema!BR103="","",Sistema!BR103)</f>
        <v/>
      </c>
      <c r="BS103" t="str">
        <f>IF(Sistema!BS103="","",Sistema!BS103)</f>
        <v/>
      </c>
      <c r="BT103" t="str">
        <f>IF(Sistema!BT103="","",Sistema!BT103)</f>
        <v/>
      </c>
      <c r="BU103" t="str">
        <f>IF(Sistema!BU103="","",Sistema!BU103)</f>
        <v/>
      </c>
      <c r="BV103" t="str">
        <f>IF(Sistema!BV103="","",Sistema!BV103)</f>
        <v/>
      </c>
      <c r="BW103" t="str">
        <f>IF(Sistema!BW103="","",Sistema!BW103)</f>
        <v/>
      </c>
      <c r="BX103" t="str">
        <f>IF(Sistema!BX103="","",Sistema!BX103)</f>
        <v/>
      </c>
      <c r="BY103" t="str">
        <f>IF(Sistema!BY103="","",Sistema!BY103)</f>
        <v/>
      </c>
      <c r="BZ103" t="str">
        <f>IF(Sistema!BZ103="","",Sistema!BZ103)</f>
        <v/>
      </c>
      <c r="CA103" t="str">
        <f>IF(Sistema!CA103="","",Sistema!CA103)</f>
        <v/>
      </c>
      <c r="CB103" t="str">
        <f>IF(Sistema!CB103="","",Sistema!CB103)</f>
        <v/>
      </c>
      <c r="CC103" t="str">
        <f>IF(Sistema!CC103="","",Sistema!CC103)</f>
        <v/>
      </c>
      <c r="CD103" t="str">
        <f>IF(Sistema!CD103="","",Sistema!CD103)</f>
        <v/>
      </c>
    </row>
    <row r="104" spans="1:82" x14ac:dyDescent="0.25">
      <c r="A104" t="str">
        <f>IF(Sistema!A104="","",Sistema!A104)</f>
        <v/>
      </c>
      <c r="B104" t="str">
        <f>IF(Sistema!B104="","",Sistema!B104)</f>
        <v/>
      </c>
      <c r="C104" t="str">
        <f>IF(Sistema!C104="","",Sistema!C104)</f>
        <v/>
      </c>
      <c r="D104" t="str">
        <f>IF(Sistema!D104="","",Sistema!D104)</f>
        <v/>
      </c>
      <c r="E104" t="str">
        <f>IF(Sistema!E104="","",Sistema!E104)</f>
        <v/>
      </c>
      <c r="F104">
        <f>IF(P104&gt;0,1,IF(Sistema!F104=0,-1,1))</f>
        <v>-1</v>
      </c>
      <c r="G104">
        <f>Sistema!G104</f>
        <v>0</v>
      </c>
      <c r="H104" t="str">
        <f>IF(OR(R104="notify",R104=1),"visible",IF(OR(Sistema!F104=-1,Sistema!F104=0,ISNUMBER(SEARCH("PCK",E104))),"hidden",IF(P104&gt;0,"visible","hidden")))</f>
        <v>hidden</v>
      </c>
      <c r="I104" t="str">
        <f>IF(B104="simple",IF(P104&gt;0,"",IF(R104="notify",Info!C$2,"")),IF(B104="variable",IF(P104&gt;0,"",IF(R104="notify",Info!C$4,"")),""))</f>
        <v/>
      </c>
      <c r="J104" t="str">
        <f>IF(Sistema!J104="","",Sistema!J104)</f>
        <v/>
      </c>
      <c r="M104" t="str">
        <f>IF(Sistema!M104="","",Sistema!M104)</f>
        <v/>
      </c>
      <c r="N104" s="6" t="s">
        <v>1557</v>
      </c>
      <c r="O104" s="6">
        <v>1</v>
      </c>
      <c r="P104">
        <f>Sistema!P104</f>
        <v>0</v>
      </c>
      <c r="Q104">
        <f>Sistema!Q104</f>
        <v>0</v>
      </c>
      <c r="R104">
        <f>IF(Sistema!R104=1,"notify",Sistema!R104)</f>
        <v>0</v>
      </c>
      <c r="T104" t="str">
        <f>IF(Sistema!T104="","",Sistema!T104)</f>
        <v/>
      </c>
      <c r="U104" t="str">
        <f>IF(Sistema!U104="","",Sistema!U104)</f>
        <v/>
      </c>
      <c r="V104" t="str">
        <f>IF(Sistema!V104="","",Sistema!V104)</f>
        <v/>
      </c>
      <c r="W104" t="str">
        <f>IF(Sistema!W104="","",Sistema!W104)</f>
        <v/>
      </c>
      <c r="X104" s="6">
        <v>1</v>
      </c>
      <c r="Z104" t="str">
        <f>IF(Sistema!Z104="","",Sistema!Z104)</f>
        <v/>
      </c>
      <c r="AA104" t="str">
        <f>IF(Sistema!AA104="","",Sistema!AA104)</f>
        <v/>
      </c>
      <c r="AB104" t="str">
        <f>IF(Sistema!AB104="","",IF(OR(ISNUMBER(SEARCH("MKP",E104)),ISNUMBER(SEARCH("MKP",C104))),"Marketplace &gt; "&amp;Sistema!AB104,Sistema!AB104))</f>
        <v/>
      </c>
      <c r="AC104" t="str">
        <f>IF(Sistema!AC104="","",Sistema!AC104)</f>
        <v/>
      </c>
      <c r="AE104" t="str">
        <f>IF(Sistema!AE104="","",Sistema!AE104)</f>
        <v/>
      </c>
      <c r="AH104" t="str">
        <f>IF(Sistema!AH104="","",Sistema!AH104)</f>
        <v/>
      </c>
      <c r="AQ104" t="str">
        <f>IF(Sistema!AQ104="","",Sistema!AQ104)</f>
        <v/>
      </c>
      <c r="AR104" t="str">
        <f>IF(Sistema!AR104="","",Sistema!AR104)</f>
        <v/>
      </c>
      <c r="AS104" t="str">
        <f>IF(Sistema!AS104="","",Sistema!AS104)</f>
        <v/>
      </c>
      <c r="AT104" t="str">
        <f>IF(Sistema!AT104="","",Sistema!AT104)</f>
        <v/>
      </c>
      <c r="AU104" t="str">
        <f>IF(Sistema!AU104="","",Sistema!AU104)</f>
        <v/>
      </c>
      <c r="AV104" t="str">
        <f>IF(Sistema!AV104="","",Sistema!AV104)</f>
        <v/>
      </c>
      <c r="AW104" t="str">
        <f>IF(Sistema!AW104="","",Sistema!AW104)</f>
        <v/>
      </c>
      <c r="AX104" t="str">
        <f>IF(Sistema!AX104="","",Sistema!AX104)</f>
        <v/>
      </c>
      <c r="AY104" t="str">
        <f>IF(Sistema!AY104="","",Sistema!AY104)</f>
        <v/>
      </c>
      <c r="AZ104" t="str">
        <f>IF(Sistema!AZ104="","",Sistema!AZ104)</f>
        <v/>
      </c>
      <c r="BA104" t="str">
        <f>IF(Sistema!BA104="","",Sistema!BA104)</f>
        <v/>
      </c>
      <c r="BB104" t="str">
        <f>IF(Sistema!BB104="","",Sistema!BB104)</f>
        <v/>
      </c>
      <c r="BC104" t="str">
        <f>IF(Sistema!BC104="","",Sistema!BC104)</f>
        <v/>
      </c>
      <c r="BD104" t="str">
        <f>IF(Sistema!BD104="","",Sistema!BD104)</f>
        <v/>
      </c>
      <c r="BE104" t="str">
        <f>IF(Sistema!BE104="","",Sistema!BE104)</f>
        <v/>
      </c>
      <c r="BF104" t="str">
        <f>IF(Sistema!BF104="","",Sistema!BF104)</f>
        <v/>
      </c>
      <c r="BG104" t="str">
        <f>IF(Sistema!BG104="","",Sistema!BG104)</f>
        <v/>
      </c>
      <c r="BH104" t="str">
        <f>IF(Sistema!BH104="","",Sistema!BH104)</f>
        <v/>
      </c>
      <c r="BI104" t="str">
        <f>IF(Sistema!BI104="","",Sistema!BI104)</f>
        <v/>
      </c>
      <c r="BJ104" t="str">
        <f>IF(Sistema!BJ104="","",Sistema!BJ104)</f>
        <v/>
      </c>
      <c r="BK104" t="str">
        <f>IF(Sistema!BK104="","",Sistema!BK104)</f>
        <v/>
      </c>
      <c r="BL104" t="str">
        <f>IF(Sistema!BL104="","",Sistema!BL104)</f>
        <v/>
      </c>
      <c r="BM104" t="str">
        <f>IF(Sistema!BM104="","",Sistema!BM104)</f>
        <v/>
      </c>
      <c r="BN104" t="str">
        <f>IF(Sistema!BN104="","",Sistema!BN104)</f>
        <v/>
      </c>
      <c r="BO104" t="str">
        <f>IF(Sistema!BO104="","",Sistema!BO104)</f>
        <v/>
      </c>
      <c r="BP104" t="str">
        <f>IF(Sistema!BP104="","",Sistema!BP104)</f>
        <v/>
      </c>
      <c r="BQ104" t="str">
        <f>IF(Sistema!BQ104="","",Sistema!BQ104)</f>
        <v/>
      </c>
      <c r="BR104" t="str">
        <f>IF(Sistema!BR104="","",Sistema!BR104)</f>
        <v/>
      </c>
      <c r="BS104" t="str">
        <f>IF(Sistema!BS104="","",Sistema!BS104)</f>
        <v/>
      </c>
      <c r="BT104" t="str">
        <f>IF(Sistema!BT104="","",Sistema!BT104)</f>
        <v/>
      </c>
      <c r="BU104" t="str">
        <f>IF(Sistema!BU104="","",Sistema!BU104)</f>
        <v/>
      </c>
      <c r="BV104" t="str">
        <f>IF(Sistema!BV104="","",Sistema!BV104)</f>
        <v/>
      </c>
      <c r="BW104" t="str">
        <f>IF(Sistema!BW104="","",Sistema!BW104)</f>
        <v/>
      </c>
      <c r="BX104" t="str">
        <f>IF(Sistema!BX104="","",Sistema!BX104)</f>
        <v/>
      </c>
      <c r="BY104" t="str">
        <f>IF(Sistema!BY104="","",Sistema!BY104)</f>
        <v/>
      </c>
      <c r="BZ104" t="str">
        <f>IF(Sistema!BZ104="","",Sistema!BZ104)</f>
        <v/>
      </c>
      <c r="CA104" t="str">
        <f>IF(Sistema!CA104="","",Sistema!CA104)</f>
        <v/>
      </c>
      <c r="CB104" t="str">
        <f>IF(Sistema!CB104="","",Sistema!CB104)</f>
        <v/>
      </c>
      <c r="CC104" t="str">
        <f>IF(Sistema!CC104="","",Sistema!CC104)</f>
        <v/>
      </c>
      <c r="CD104" t="str">
        <f>IF(Sistema!CD104="","",Sistema!CD104)</f>
        <v/>
      </c>
    </row>
    <row r="105" spans="1:82" x14ac:dyDescent="0.25">
      <c r="A105" t="str">
        <f>IF(Sistema!A105="","",Sistema!A105)</f>
        <v/>
      </c>
      <c r="B105" t="str">
        <f>IF(Sistema!B105="","",Sistema!B105)</f>
        <v/>
      </c>
      <c r="C105" t="str">
        <f>IF(Sistema!C105="","",Sistema!C105)</f>
        <v/>
      </c>
      <c r="D105" t="str">
        <f>IF(Sistema!D105="","",Sistema!D105)</f>
        <v/>
      </c>
      <c r="E105" t="str">
        <f>IF(Sistema!E105="","",Sistema!E105)</f>
        <v/>
      </c>
      <c r="F105">
        <f>IF(P105&gt;0,1,IF(Sistema!F105=0,-1,1))</f>
        <v>-1</v>
      </c>
      <c r="G105">
        <f>Sistema!G105</f>
        <v>0</v>
      </c>
      <c r="H105" t="str">
        <f>IF(OR(R105="notify",R105=1),"visible",IF(OR(Sistema!F105=-1,Sistema!F105=0,ISNUMBER(SEARCH("PCK",E105))),"hidden",IF(P105&gt;0,"visible","hidden")))</f>
        <v>hidden</v>
      </c>
      <c r="I105" t="str">
        <f>IF(B105="simple",IF(P105&gt;0,"",IF(R105="notify",Info!C$2,"")),IF(B105="variable",IF(P105&gt;0,"",IF(R105="notify",Info!C$4,"")),""))</f>
        <v/>
      </c>
      <c r="J105" t="str">
        <f>IF(Sistema!J105="","",Sistema!J105)</f>
        <v/>
      </c>
      <c r="M105" t="str">
        <f>IF(Sistema!M105="","",Sistema!M105)</f>
        <v/>
      </c>
      <c r="N105" s="6" t="s">
        <v>1557</v>
      </c>
      <c r="O105" s="6">
        <v>1</v>
      </c>
      <c r="P105">
        <f>Sistema!P105</f>
        <v>0</v>
      </c>
      <c r="Q105">
        <f>Sistema!Q105</f>
        <v>0</v>
      </c>
      <c r="R105">
        <f>IF(Sistema!R105=1,"notify",Sistema!R105)</f>
        <v>0</v>
      </c>
      <c r="T105" t="str">
        <f>IF(Sistema!T105="","",Sistema!T105)</f>
        <v/>
      </c>
      <c r="U105" t="str">
        <f>IF(Sistema!U105="","",Sistema!U105)</f>
        <v/>
      </c>
      <c r="V105" t="str">
        <f>IF(Sistema!V105="","",Sistema!V105)</f>
        <v/>
      </c>
      <c r="W105" t="str">
        <f>IF(Sistema!W105="","",Sistema!W105)</f>
        <v/>
      </c>
      <c r="X105" s="6">
        <v>1</v>
      </c>
      <c r="Z105" t="str">
        <f>IF(Sistema!Z105="","",Sistema!Z105)</f>
        <v/>
      </c>
      <c r="AA105" t="str">
        <f>IF(Sistema!AA105="","",Sistema!AA105)</f>
        <v/>
      </c>
      <c r="AB105" t="str">
        <f>IF(Sistema!AB105="","",IF(OR(ISNUMBER(SEARCH("MKP",E105)),ISNUMBER(SEARCH("MKP",C105))),"Marketplace &gt; "&amp;Sistema!AB105,Sistema!AB105))</f>
        <v/>
      </c>
      <c r="AC105" t="str">
        <f>IF(Sistema!AC105="","",Sistema!AC105)</f>
        <v/>
      </c>
      <c r="AE105" t="str">
        <f>IF(Sistema!AE105="","",Sistema!AE105)</f>
        <v/>
      </c>
      <c r="AH105" t="str">
        <f>IF(Sistema!AH105="","",Sistema!AH105)</f>
        <v/>
      </c>
      <c r="AQ105" t="str">
        <f>IF(Sistema!AQ105="","",Sistema!AQ105)</f>
        <v/>
      </c>
      <c r="AR105" t="str">
        <f>IF(Sistema!AR105="","",Sistema!AR105)</f>
        <v/>
      </c>
      <c r="AS105" t="str">
        <f>IF(Sistema!AS105="","",Sistema!AS105)</f>
        <v/>
      </c>
      <c r="AT105" t="str">
        <f>IF(Sistema!AT105="","",Sistema!AT105)</f>
        <v/>
      </c>
      <c r="AU105" t="str">
        <f>IF(Sistema!AU105="","",Sistema!AU105)</f>
        <v/>
      </c>
      <c r="AV105" t="str">
        <f>IF(Sistema!AV105="","",Sistema!AV105)</f>
        <v/>
      </c>
      <c r="AW105" t="str">
        <f>IF(Sistema!AW105="","",Sistema!AW105)</f>
        <v/>
      </c>
      <c r="AX105" t="str">
        <f>IF(Sistema!AX105="","",Sistema!AX105)</f>
        <v/>
      </c>
      <c r="AY105" t="str">
        <f>IF(Sistema!AY105="","",Sistema!AY105)</f>
        <v/>
      </c>
      <c r="AZ105" t="str">
        <f>IF(Sistema!AZ105="","",Sistema!AZ105)</f>
        <v/>
      </c>
      <c r="BA105" t="str">
        <f>IF(Sistema!BA105="","",Sistema!BA105)</f>
        <v/>
      </c>
      <c r="BB105" t="str">
        <f>IF(Sistema!BB105="","",Sistema!BB105)</f>
        <v/>
      </c>
      <c r="BC105" t="str">
        <f>IF(Sistema!BC105="","",Sistema!BC105)</f>
        <v/>
      </c>
      <c r="BD105" t="str">
        <f>IF(Sistema!BD105="","",Sistema!BD105)</f>
        <v/>
      </c>
      <c r="BE105" t="str">
        <f>IF(Sistema!BE105="","",Sistema!BE105)</f>
        <v/>
      </c>
      <c r="BF105" t="str">
        <f>IF(Sistema!BF105="","",Sistema!BF105)</f>
        <v/>
      </c>
      <c r="BG105" t="str">
        <f>IF(Sistema!BG105="","",Sistema!BG105)</f>
        <v/>
      </c>
      <c r="BH105" t="str">
        <f>IF(Sistema!BH105="","",Sistema!BH105)</f>
        <v/>
      </c>
      <c r="BI105" t="str">
        <f>IF(Sistema!BI105="","",Sistema!BI105)</f>
        <v/>
      </c>
      <c r="BJ105" t="str">
        <f>IF(Sistema!BJ105="","",Sistema!BJ105)</f>
        <v/>
      </c>
      <c r="BK105" t="str">
        <f>IF(Sistema!BK105="","",Sistema!BK105)</f>
        <v/>
      </c>
      <c r="BL105" t="str">
        <f>IF(Sistema!BL105="","",Sistema!BL105)</f>
        <v/>
      </c>
      <c r="BM105" t="str">
        <f>IF(Sistema!BM105="","",Sistema!BM105)</f>
        <v/>
      </c>
      <c r="BN105" t="str">
        <f>IF(Sistema!BN105="","",Sistema!BN105)</f>
        <v/>
      </c>
      <c r="BO105" t="str">
        <f>IF(Sistema!BO105="","",Sistema!BO105)</f>
        <v/>
      </c>
      <c r="BP105" t="str">
        <f>IF(Sistema!BP105="","",Sistema!BP105)</f>
        <v/>
      </c>
      <c r="BQ105" t="str">
        <f>IF(Sistema!BQ105="","",Sistema!BQ105)</f>
        <v/>
      </c>
      <c r="BR105" t="str">
        <f>IF(Sistema!BR105="","",Sistema!BR105)</f>
        <v/>
      </c>
      <c r="BS105" t="str">
        <f>IF(Sistema!BS105="","",Sistema!BS105)</f>
        <v/>
      </c>
      <c r="BT105" t="str">
        <f>IF(Sistema!BT105="","",Sistema!BT105)</f>
        <v/>
      </c>
      <c r="BU105" t="str">
        <f>IF(Sistema!BU105="","",Sistema!BU105)</f>
        <v/>
      </c>
      <c r="BV105" t="str">
        <f>IF(Sistema!BV105="","",Sistema!BV105)</f>
        <v/>
      </c>
      <c r="BW105" t="str">
        <f>IF(Sistema!BW105="","",Sistema!BW105)</f>
        <v/>
      </c>
      <c r="BX105" t="str">
        <f>IF(Sistema!BX105="","",Sistema!BX105)</f>
        <v/>
      </c>
      <c r="BY105" t="str">
        <f>IF(Sistema!BY105="","",Sistema!BY105)</f>
        <v/>
      </c>
      <c r="BZ105" t="str">
        <f>IF(Sistema!BZ105="","",Sistema!BZ105)</f>
        <v/>
      </c>
      <c r="CA105" t="str">
        <f>IF(Sistema!CA105="","",Sistema!CA105)</f>
        <v/>
      </c>
      <c r="CB105" t="str">
        <f>IF(Sistema!CB105="","",Sistema!CB105)</f>
        <v/>
      </c>
      <c r="CC105" t="str">
        <f>IF(Sistema!CC105="","",Sistema!CC105)</f>
        <v/>
      </c>
      <c r="CD105" t="str">
        <f>IF(Sistema!CD105="","",Sistema!CD105)</f>
        <v/>
      </c>
    </row>
    <row r="106" spans="1:82" x14ac:dyDescent="0.25">
      <c r="A106" t="str">
        <f>IF(Sistema!A106="","",Sistema!A106)</f>
        <v/>
      </c>
      <c r="B106" t="str">
        <f>IF(Sistema!B106="","",Sistema!B106)</f>
        <v/>
      </c>
      <c r="C106" t="str">
        <f>IF(Sistema!C106="","",Sistema!C106)</f>
        <v/>
      </c>
      <c r="D106" t="str">
        <f>IF(Sistema!D106="","",Sistema!D106)</f>
        <v/>
      </c>
      <c r="E106" t="str">
        <f>IF(Sistema!E106="","",Sistema!E106)</f>
        <v/>
      </c>
      <c r="F106">
        <f>IF(P106&gt;0,1,IF(Sistema!F106=0,-1,1))</f>
        <v>-1</v>
      </c>
      <c r="G106">
        <f>Sistema!G106</f>
        <v>0</v>
      </c>
      <c r="H106" t="str">
        <f>IF(OR(R106="notify",R106=1),"visible",IF(OR(Sistema!F106=-1,Sistema!F106=0,ISNUMBER(SEARCH("PCK",E106))),"hidden",IF(P106&gt;0,"visible","hidden")))</f>
        <v>hidden</v>
      </c>
      <c r="I106" t="str">
        <f>IF(B106="simple",IF(P106&gt;0,"",IF(R106="notify",Info!C$2,"")),IF(B106="variable",IF(P106&gt;0,"",IF(R106="notify",Info!C$4,"")),""))</f>
        <v/>
      </c>
      <c r="J106" t="str">
        <f>IF(Sistema!J106="","",Sistema!J106)</f>
        <v/>
      </c>
      <c r="M106" t="str">
        <f>IF(Sistema!M106="","",Sistema!M106)</f>
        <v/>
      </c>
      <c r="N106" s="6" t="s">
        <v>1557</v>
      </c>
      <c r="O106" s="6">
        <v>1</v>
      </c>
      <c r="P106">
        <f>Sistema!P106</f>
        <v>0</v>
      </c>
      <c r="Q106">
        <f>Sistema!Q106</f>
        <v>0</v>
      </c>
      <c r="R106">
        <f>IF(Sistema!R106=1,"notify",Sistema!R106)</f>
        <v>0</v>
      </c>
      <c r="T106" t="str">
        <f>IF(Sistema!T106="","",Sistema!T106)</f>
        <v/>
      </c>
      <c r="U106" t="str">
        <f>IF(Sistema!U106="","",Sistema!U106)</f>
        <v/>
      </c>
      <c r="V106" t="str">
        <f>IF(Sistema!V106="","",Sistema!V106)</f>
        <v/>
      </c>
      <c r="W106" t="str">
        <f>IF(Sistema!W106="","",Sistema!W106)</f>
        <v/>
      </c>
      <c r="X106" s="6">
        <v>1</v>
      </c>
      <c r="Z106" t="str">
        <f>IF(Sistema!Z106="","",Sistema!Z106)</f>
        <v/>
      </c>
      <c r="AA106" t="str">
        <f>IF(Sistema!AA106="","",Sistema!AA106)</f>
        <v/>
      </c>
      <c r="AB106" t="str">
        <f>IF(Sistema!AB106="","",IF(OR(ISNUMBER(SEARCH("MKP",E106)),ISNUMBER(SEARCH("MKP",C106))),"Marketplace &gt; "&amp;Sistema!AB106,Sistema!AB106))</f>
        <v/>
      </c>
      <c r="AC106" t="str">
        <f>IF(Sistema!AC106="","",Sistema!AC106)</f>
        <v/>
      </c>
      <c r="AE106" t="str">
        <f>IF(Sistema!AE106="","",Sistema!AE106)</f>
        <v/>
      </c>
      <c r="AH106" t="str">
        <f>IF(Sistema!AH106="","",Sistema!AH106)</f>
        <v/>
      </c>
      <c r="AQ106" t="str">
        <f>IF(Sistema!AQ106="","",Sistema!AQ106)</f>
        <v/>
      </c>
      <c r="AR106" t="str">
        <f>IF(Sistema!AR106="","",Sistema!AR106)</f>
        <v/>
      </c>
      <c r="AS106" t="str">
        <f>IF(Sistema!AS106="","",Sistema!AS106)</f>
        <v/>
      </c>
      <c r="AT106" t="str">
        <f>IF(Sistema!AT106="","",Sistema!AT106)</f>
        <v/>
      </c>
      <c r="AU106" t="str">
        <f>IF(Sistema!AU106="","",Sistema!AU106)</f>
        <v/>
      </c>
      <c r="AV106" t="str">
        <f>IF(Sistema!AV106="","",Sistema!AV106)</f>
        <v/>
      </c>
      <c r="AW106" t="str">
        <f>IF(Sistema!AW106="","",Sistema!AW106)</f>
        <v/>
      </c>
      <c r="AX106" t="str">
        <f>IF(Sistema!AX106="","",Sistema!AX106)</f>
        <v/>
      </c>
      <c r="AY106" t="str">
        <f>IF(Sistema!AY106="","",Sistema!AY106)</f>
        <v/>
      </c>
      <c r="AZ106" t="str">
        <f>IF(Sistema!AZ106="","",Sistema!AZ106)</f>
        <v/>
      </c>
      <c r="BA106" t="str">
        <f>IF(Sistema!BA106="","",Sistema!BA106)</f>
        <v/>
      </c>
      <c r="BB106" t="str">
        <f>IF(Sistema!BB106="","",Sistema!BB106)</f>
        <v/>
      </c>
      <c r="BC106" t="str">
        <f>IF(Sistema!BC106="","",Sistema!BC106)</f>
        <v/>
      </c>
      <c r="BD106" t="str">
        <f>IF(Sistema!BD106="","",Sistema!BD106)</f>
        <v/>
      </c>
      <c r="BE106" t="str">
        <f>IF(Sistema!BE106="","",Sistema!BE106)</f>
        <v/>
      </c>
      <c r="BF106" t="str">
        <f>IF(Sistema!BF106="","",Sistema!BF106)</f>
        <v/>
      </c>
      <c r="BG106" t="str">
        <f>IF(Sistema!BG106="","",Sistema!BG106)</f>
        <v/>
      </c>
      <c r="BH106" t="str">
        <f>IF(Sistema!BH106="","",Sistema!BH106)</f>
        <v/>
      </c>
      <c r="BI106" t="str">
        <f>IF(Sistema!BI106="","",Sistema!BI106)</f>
        <v/>
      </c>
      <c r="BJ106" t="str">
        <f>IF(Sistema!BJ106="","",Sistema!BJ106)</f>
        <v/>
      </c>
      <c r="BK106" t="str">
        <f>IF(Sistema!BK106="","",Sistema!BK106)</f>
        <v/>
      </c>
      <c r="BL106" t="str">
        <f>IF(Sistema!BL106="","",Sistema!BL106)</f>
        <v/>
      </c>
      <c r="BM106" t="str">
        <f>IF(Sistema!BM106="","",Sistema!BM106)</f>
        <v/>
      </c>
      <c r="BN106" t="str">
        <f>IF(Sistema!BN106="","",Sistema!BN106)</f>
        <v/>
      </c>
      <c r="BO106" t="str">
        <f>IF(Sistema!BO106="","",Sistema!BO106)</f>
        <v/>
      </c>
      <c r="BP106" t="str">
        <f>IF(Sistema!BP106="","",Sistema!BP106)</f>
        <v/>
      </c>
      <c r="BQ106" t="str">
        <f>IF(Sistema!BQ106="","",Sistema!BQ106)</f>
        <v/>
      </c>
      <c r="BR106" t="str">
        <f>IF(Sistema!BR106="","",Sistema!BR106)</f>
        <v/>
      </c>
      <c r="BS106" t="str">
        <f>IF(Sistema!BS106="","",Sistema!BS106)</f>
        <v/>
      </c>
      <c r="BT106" t="str">
        <f>IF(Sistema!BT106="","",Sistema!BT106)</f>
        <v/>
      </c>
      <c r="BU106" t="str">
        <f>IF(Sistema!BU106="","",Sistema!BU106)</f>
        <v/>
      </c>
      <c r="BV106" t="str">
        <f>IF(Sistema!BV106="","",Sistema!BV106)</f>
        <v/>
      </c>
      <c r="BW106" t="str">
        <f>IF(Sistema!BW106="","",Sistema!BW106)</f>
        <v/>
      </c>
      <c r="BX106" t="str">
        <f>IF(Sistema!BX106="","",Sistema!BX106)</f>
        <v/>
      </c>
      <c r="BY106" t="str">
        <f>IF(Sistema!BY106="","",Sistema!BY106)</f>
        <v/>
      </c>
      <c r="BZ106" t="str">
        <f>IF(Sistema!BZ106="","",Sistema!BZ106)</f>
        <v/>
      </c>
      <c r="CA106" t="str">
        <f>IF(Sistema!CA106="","",Sistema!CA106)</f>
        <v/>
      </c>
      <c r="CB106" t="str">
        <f>IF(Sistema!CB106="","",Sistema!CB106)</f>
        <v/>
      </c>
      <c r="CC106" t="str">
        <f>IF(Sistema!CC106="","",Sistema!CC106)</f>
        <v/>
      </c>
      <c r="CD106" t="str">
        <f>IF(Sistema!CD106="","",Sistema!CD106)</f>
        <v/>
      </c>
    </row>
    <row r="107" spans="1:82" x14ac:dyDescent="0.25">
      <c r="A107" t="str">
        <f>IF(Sistema!A107="","",Sistema!A107)</f>
        <v/>
      </c>
      <c r="B107" t="str">
        <f>IF(Sistema!B107="","",Sistema!B107)</f>
        <v/>
      </c>
      <c r="C107" t="str">
        <f>IF(Sistema!C107="","",Sistema!C107)</f>
        <v/>
      </c>
      <c r="D107" t="str">
        <f>IF(Sistema!D107="","",Sistema!D107)</f>
        <v/>
      </c>
      <c r="E107" t="str">
        <f>IF(Sistema!E107="","",Sistema!E107)</f>
        <v/>
      </c>
      <c r="F107">
        <f>IF(P107&gt;0,1,IF(Sistema!F107=0,-1,1))</f>
        <v>-1</v>
      </c>
      <c r="G107">
        <f>Sistema!G107</f>
        <v>0</v>
      </c>
      <c r="H107" t="str">
        <f>IF(OR(R107="notify",R107=1),"visible",IF(OR(Sistema!F107=-1,Sistema!F107=0,ISNUMBER(SEARCH("PCK",E107))),"hidden",IF(P107&gt;0,"visible","hidden")))</f>
        <v>hidden</v>
      </c>
      <c r="I107" t="str">
        <f>IF(B107="simple",IF(P107&gt;0,"",IF(R107="notify",Info!C$2,"")),IF(B107="variable",IF(P107&gt;0,"",IF(R107="notify",Info!C$4,"")),""))</f>
        <v/>
      </c>
      <c r="J107" t="str">
        <f>IF(Sistema!J107="","",Sistema!J107)</f>
        <v/>
      </c>
      <c r="M107" t="str">
        <f>IF(Sistema!M107="","",Sistema!M107)</f>
        <v/>
      </c>
      <c r="N107" s="6" t="s">
        <v>1557</v>
      </c>
      <c r="O107" s="6">
        <v>1</v>
      </c>
      <c r="P107">
        <f>Sistema!P107</f>
        <v>0</v>
      </c>
      <c r="Q107">
        <f>Sistema!Q107</f>
        <v>0</v>
      </c>
      <c r="R107">
        <f>IF(Sistema!R107=1,"notify",Sistema!R107)</f>
        <v>0</v>
      </c>
      <c r="T107" t="str">
        <f>IF(Sistema!T107="","",Sistema!T107)</f>
        <v/>
      </c>
      <c r="U107" t="str">
        <f>IF(Sistema!U107="","",Sistema!U107)</f>
        <v/>
      </c>
      <c r="V107" t="str">
        <f>IF(Sistema!V107="","",Sistema!V107)</f>
        <v/>
      </c>
      <c r="W107" t="str">
        <f>IF(Sistema!W107="","",Sistema!W107)</f>
        <v/>
      </c>
      <c r="X107" s="6">
        <v>1</v>
      </c>
      <c r="Z107" t="str">
        <f>IF(Sistema!Z107="","",Sistema!Z107)</f>
        <v/>
      </c>
      <c r="AA107" t="str">
        <f>IF(Sistema!AA107="","",Sistema!AA107)</f>
        <v/>
      </c>
      <c r="AB107" t="str">
        <f>IF(Sistema!AB107="","",IF(OR(ISNUMBER(SEARCH("MKP",E107)),ISNUMBER(SEARCH("MKP",C107))),"Marketplace &gt; "&amp;Sistema!AB107,Sistema!AB107))</f>
        <v/>
      </c>
      <c r="AC107" t="str">
        <f>IF(Sistema!AC107="","",Sistema!AC107)</f>
        <v/>
      </c>
      <c r="AE107" t="str">
        <f>IF(Sistema!AE107="","",Sistema!AE107)</f>
        <v/>
      </c>
      <c r="AH107" t="str">
        <f>IF(Sistema!AH107="","",Sistema!AH107)</f>
        <v/>
      </c>
      <c r="AQ107" t="str">
        <f>IF(Sistema!AQ107="","",Sistema!AQ107)</f>
        <v/>
      </c>
      <c r="AR107" t="str">
        <f>IF(Sistema!AR107="","",Sistema!AR107)</f>
        <v/>
      </c>
      <c r="AS107" t="str">
        <f>IF(Sistema!AS107="","",Sistema!AS107)</f>
        <v/>
      </c>
      <c r="AT107" t="str">
        <f>IF(Sistema!AT107="","",Sistema!AT107)</f>
        <v/>
      </c>
      <c r="AU107" t="str">
        <f>IF(Sistema!AU107="","",Sistema!AU107)</f>
        <v/>
      </c>
      <c r="AV107" t="str">
        <f>IF(Sistema!AV107="","",Sistema!AV107)</f>
        <v/>
      </c>
      <c r="AW107" t="str">
        <f>IF(Sistema!AW107="","",Sistema!AW107)</f>
        <v/>
      </c>
      <c r="AX107" t="str">
        <f>IF(Sistema!AX107="","",Sistema!AX107)</f>
        <v/>
      </c>
      <c r="AY107" t="str">
        <f>IF(Sistema!AY107="","",Sistema!AY107)</f>
        <v/>
      </c>
      <c r="AZ107" t="str">
        <f>IF(Sistema!AZ107="","",Sistema!AZ107)</f>
        <v/>
      </c>
      <c r="BA107" t="str">
        <f>IF(Sistema!BA107="","",Sistema!BA107)</f>
        <v/>
      </c>
      <c r="BB107" t="str">
        <f>IF(Sistema!BB107="","",Sistema!BB107)</f>
        <v/>
      </c>
      <c r="BC107" t="str">
        <f>IF(Sistema!BC107="","",Sistema!BC107)</f>
        <v/>
      </c>
      <c r="BD107" t="str">
        <f>IF(Sistema!BD107="","",Sistema!BD107)</f>
        <v/>
      </c>
      <c r="BE107" t="str">
        <f>IF(Sistema!BE107="","",Sistema!BE107)</f>
        <v/>
      </c>
      <c r="BF107" t="str">
        <f>IF(Sistema!BF107="","",Sistema!BF107)</f>
        <v/>
      </c>
      <c r="BG107" t="str">
        <f>IF(Sistema!BG107="","",Sistema!BG107)</f>
        <v/>
      </c>
      <c r="BH107" t="str">
        <f>IF(Sistema!BH107="","",Sistema!BH107)</f>
        <v/>
      </c>
      <c r="BI107" t="str">
        <f>IF(Sistema!BI107="","",Sistema!BI107)</f>
        <v/>
      </c>
      <c r="BJ107" t="str">
        <f>IF(Sistema!BJ107="","",Sistema!BJ107)</f>
        <v/>
      </c>
      <c r="BK107" t="str">
        <f>IF(Sistema!BK107="","",Sistema!BK107)</f>
        <v/>
      </c>
      <c r="BL107" t="str">
        <f>IF(Sistema!BL107="","",Sistema!BL107)</f>
        <v/>
      </c>
      <c r="BM107" t="str">
        <f>IF(Sistema!BM107="","",Sistema!BM107)</f>
        <v/>
      </c>
      <c r="BN107" t="str">
        <f>IF(Sistema!BN107="","",Sistema!BN107)</f>
        <v/>
      </c>
      <c r="BO107" t="str">
        <f>IF(Sistema!BO107="","",Sistema!BO107)</f>
        <v/>
      </c>
      <c r="BP107" t="str">
        <f>IF(Sistema!BP107="","",Sistema!BP107)</f>
        <v/>
      </c>
      <c r="BQ107" t="str">
        <f>IF(Sistema!BQ107="","",Sistema!BQ107)</f>
        <v/>
      </c>
      <c r="BR107" t="str">
        <f>IF(Sistema!BR107="","",Sistema!BR107)</f>
        <v/>
      </c>
      <c r="BS107" t="str">
        <f>IF(Sistema!BS107="","",Sistema!BS107)</f>
        <v/>
      </c>
      <c r="BT107" t="str">
        <f>IF(Sistema!BT107="","",Sistema!BT107)</f>
        <v/>
      </c>
      <c r="BU107" t="str">
        <f>IF(Sistema!BU107="","",Sistema!BU107)</f>
        <v/>
      </c>
      <c r="BV107" t="str">
        <f>IF(Sistema!BV107="","",Sistema!BV107)</f>
        <v/>
      </c>
      <c r="BW107" t="str">
        <f>IF(Sistema!BW107="","",Sistema!BW107)</f>
        <v/>
      </c>
      <c r="BX107" t="str">
        <f>IF(Sistema!BX107="","",Sistema!BX107)</f>
        <v/>
      </c>
      <c r="BY107" t="str">
        <f>IF(Sistema!BY107="","",Sistema!BY107)</f>
        <v/>
      </c>
      <c r="BZ107" t="str">
        <f>IF(Sistema!BZ107="","",Sistema!BZ107)</f>
        <v/>
      </c>
      <c r="CA107" t="str">
        <f>IF(Sistema!CA107="","",Sistema!CA107)</f>
        <v/>
      </c>
      <c r="CB107" t="str">
        <f>IF(Sistema!CB107="","",Sistema!CB107)</f>
        <v/>
      </c>
      <c r="CC107" t="str">
        <f>IF(Sistema!CC107="","",Sistema!CC107)</f>
        <v/>
      </c>
      <c r="CD107" t="str">
        <f>IF(Sistema!CD107="","",Sistema!CD107)</f>
        <v/>
      </c>
    </row>
    <row r="108" spans="1:82" x14ac:dyDescent="0.25">
      <c r="A108" t="str">
        <f>IF(Sistema!A108="","",Sistema!A108)</f>
        <v/>
      </c>
      <c r="B108" t="str">
        <f>IF(Sistema!B108="","",Sistema!B108)</f>
        <v/>
      </c>
      <c r="C108" t="str">
        <f>IF(Sistema!C108="","",Sistema!C108)</f>
        <v/>
      </c>
      <c r="D108" t="str">
        <f>IF(Sistema!D108="","",Sistema!D108)</f>
        <v/>
      </c>
      <c r="E108" t="str">
        <f>IF(Sistema!E108="","",Sistema!E108)</f>
        <v/>
      </c>
      <c r="F108">
        <f>IF(P108&gt;0,1,IF(Sistema!F108=0,-1,1))</f>
        <v>-1</v>
      </c>
      <c r="G108">
        <f>Sistema!G108</f>
        <v>0</v>
      </c>
      <c r="H108" t="str">
        <f>IF(OR(R108="notify",R108=1),"visible",IF(OR(Sistema!F108=-1,Sistema!F108=0,ISNUMBER(SEARCH("PCK",E108))),"hidden",IF(P108&gt;0,"visible","hidden")))</f>
        <v>hidden</v>
      </c>
      <c r="I108" t="str">
        <f>IF(B108="simple",IF(P108&gt;0,"",IF(R108="notify",Info!C$2,"")),IF(B108="variable",IF(P108&gt;0,"",IF(R108="notify",Info!C$4,"")),""))</f>
        <v/>
      </c>
      <c r="J108" t="str">
        <f>IF(Sistema!J108="","",Sistema!J108)</f>
        <v/>
      </c>
      <c r="M108" t="str">
        <f>IF(Sistema!M108="","",Sistema!M108)</f>
        <v/>
      </c>
      <c r="N108" s="6" t="s">
        <v>1557</v>
      </c>
      <c r="O108" s="6">
        <v>1</v>
      </c>
      <c r="P108">
        <f>Sistema!P108</f>
        <v>0</v>
      </c>
      <c r="Q108">
        <f>Sistema!Q108</f>
        <v>0</v>
      </c>
      <c r="R108">
        <f>IF(Sistema!R108=1,"notify",Sistema!R108)</f>
        <v>0</v>
      </c>
      <c r="T108" t="str">
        <f>IF(Sistema!T108="","",Sistema!T108)</f>
        <v/>
      </c>
      <c r="U108" t="str">
        <f>IF(Sistema!U108="","",Sistema!U108)</f>
        <v/>
      </c>
      <c r="V108" t="str">
        <f>IF(Sistema!V108="","",Sistema!V108)</f>
        <v/>
      </c>
      <c r="W108" t="str">
        <f>IF(Sistema!W108="","",Sistema!W108)</f>
        <v/>
      </c>
      <c r="X108" s="6">
        <v>1</v>
      </c>
      <c r="Z108" t="str">
        <f>IF(Sistema!Z108="","",Sistema!Z108)</f>
        <v/>
      </c>
      <c r="AA108" t="str">
        <f>IF(Sistema!AA108="","",Sistema!AA108)</f>
        <v/>
      </c>
      <c r="AB108" t="str">
        <f>IF(Sistema!AB108="","",IF(OR(ISNUMBER(SEARCH("MKP",E108)),ISNUMBER(SEARCH("MKP",C108))),"Marketplace &gt; "&amp;Sistema!AB108,Sistema!AB108))</f>
        <v/>
      </c>
      <c r="AC108" t="str">
        <f>IF(Sistema!AC108="","",Sistema!AC108)</f>
        <v/>
      </c>
      <c r="AE108" t="str">
        <f>IF(Sistema!AE108="","",Sistema!AE108)</f>
        <v/>
      </c>
      <c r="AH108" t="str">
        <f>IF(Sistema!AH108="","",Sistema!AH108)</f>
        <v/>
      </c>
      <c r="AQ108" t="str">
        <f>IF(Sistema!AQ108="","",Sistema!AQ108)</f>
        <v/>
      </c>
      <c r="AR108" t="str">
        <f>IF(Sistema!AR108="","",Sistema!AR108)</f>
        <v/>
      </c>
      <c r="AS108" t="str">
        <f>IF(Sistema!AS108="","",Sistema!AS108)</f>
        <v/>
      </c>
      <c r="AT108" t="str">
        <f>IF(Sistema!AT108="","",Sistema!AT108)</f>
        <v/>
      </c>
      <c r="AU108" t="str">
        <f>IF(Sistema!AU108="","",Sistema!AU108)</f>
        <v/>
      </c>
      <c r="AV108" t="str">
        <f>IF(Sistema!AV108="","",Sistema!AV108)</f>
        <v/>
      </c>
      <c r="AW108" t="str">
        <f>IF(Sistema!AW108="","",Sistema!AW108)</f>
        <v/>
      </c>
      <c r="AX108" t="str">
        <f>IF(Sistema!AX108="","",Sistema!AX108)</f>
        <v/>
      </c>
      <c r="AY108" t="str">
        <f>IF(Sistema!AY108="","",Sistema!AY108)</f>
        <v/>
      </c>
      <c r="AZ108" t="str">
        <f>IF(Sistema!AZ108="","",Sistema!AZ108)</f>
        <v/>
      </c>
      <c r="BA108" t="str">
        <f>IF(Sistema!BA108="","",Sistema!BA108)</f>
        <v/>
      </c>
      <c r="BB108" t="str">
        <f>IF(Sistema!BB108="","",Sistema!BB108)</f>
        <v/>
      </c>
      <c r="BC108" t="str">
        <f>IF(Sistema!BC108="","",Sistema!BC108)</f>
        <v/>
      </c>
      <c r="BD108" t="str">
        <f>IF(Sistema!BD108="","",Sistema!BD108)</f>
        <v/>
      </c>
      <c r="BE108" t="str">
        <f>IF(Sistema!BE108="","",Sistema!BE108)</f>
        <v/>
      </c>
      <c r="BF108" t="str">
        <f>IF(Sistema!BF108="","",Sistema!BF108)</f>
        <v/>
      </c>
      <c r="BG108" t="str">
        <f>IF(Sistema!BG108="","",Sistema!BG108)</f>
        <v/>
      </c>
      <c r="BH108" t="str">
        <f>IF(Sistema!BH108="","",Sistema!BH108)</f>
        <v/>
      </c>
      <c r="BI108" t="str">
        <f>IF(Sistema!BI108="","",Sistema!BI108)</f>
        <v/>
      </c>
      <c r="BJ108" t="str">
        <f>IF(Sistema!BJ108="","",Sistema!BJ108)</f>
        <v/>
      </c>
      <c r="BK108" t="str">
        <f>IF(Sistema!BK108="","",Sistema!BK108)</f>
        <v/>
      </c>
      <c r="BL108" t="str">
        <f>IF(Sistema!BL108="","",Sistema!BL108)</f>
        <v/>
      </c>
      <c r="BM108" t="str">
        <f>IF(Sistema!BM108="","",Sistema!BM108)</f>
        <v/>
      </c>
      <c r="BN108" t="str">
        <f>IF(Sistema!BN108="","",Sistema!BN108)</f>
        <v/>
      </c>
      <c r="BO108" t="str">
        <f>IF(Sistema!BO108="","",Sistema!BO108)</f>
        <v/>
      </c>
      <c r="BP108" t="str">
        <f>IF(Sistema!BP108="","",Sistema!BP108)</f>
        <v/>
      </c>
      <c r="BQ108" t="str">
        <f>IF(Sistema!BQ108="","",Sistema!BQ108)</f>
        <v/>
      </c>
      <c r="BR108" t="str">
        <f>IF(Sistema!BR108="","",Sistema!BR108)</f>
        <v/>
      </c>
      <c r="BS108" t="str">
        <f>IF(Sistema!BS108="","",Sistema!BS108)</f>
        <v/>
      </c>
      <c r="BT108" t="str">
        <f>IF(Sistema!BT108="","",Sistema!BT108)</f>
        <v/>
      </c>
      <c r="BU108" t="str">
        <f>IF(Sistema!BU108="","",Sistema!BU108)</f>
        <v/>
      </c>
      <c r="BV108" t="str">
        <f>IF(Sistema!BV108="","",Sistema!BV108)</f>
        <v/>
      </c>
      <c r="BW108" t="str">
        <f>IF(Sistema!BW108="","",Sistema!BW108)</f>
        <v/>
      </c>
      <c r="BX108" t="str">
        <f>IF(Sistema!BX108="","",Sistema!BX108)</f>
        <v/>
      </c>
      <c r="BY108" t="str">
        <f>IF(Sistema!BY108="","",Sistema!BY108)</f>
        <v/>
      </c>
      <c r="BZ108" t="str">
        <f>IF(Sistema!BZ108="","",Sistema!BZ108)</f>
        <v/>
      </c>
      <c r="CA108" t="str">
        <f>IF(Sistema!CA108="","",Sistema!CA108)</f>
        <v/>
      </c>
      <c r="CB108" t="str">
        <f>IF(Sistema!CB108="","",Sistema!CB108)</f>
        <v/>
      </c>
      <c r="CC108" t="str">
        <f>IF(Sistema!CC108="","",Sistema!CC108)</f>
        <v/>
      </c>
      <c r="CD108" t="str">
        <f>IF(Sistema!CD108="","",Sistema!CD108)</f>
        <v/>
      </c>
    </row>
    <row r="109" spans="1:82" x14ac:dyDescent="0.25">
      <c r="A109" t="str">
        <f>IF(Sistema!A109="","",Sistema!A109)</f>
        <v/>
      </c>
      <c r="B109" t="str">
        <f>IF(Sistema!B109="","",Sistema!B109)</f>
        <v/>
      </c>
      <c r="C109" t="str">
        <f>IF(Sistema!C109="","",Sistema!C109)</f>
        <v/>
      </c>
      <c r="D109" t="str">
        <f>IF(Sistema!D109="","",Sistema!D109)</f>
        <v/>
      </c>
      <c r="E109" t="str">
        <f>IF(Sistema!E109="","",Sistema!E109)</f>
        <v/>
      </c>
      <c r="F109">
        <f>IF(P109&gt;0,1,IF(Sistema!F109=0,-1,1))</f>
        <v>-1</v>
      </c>
      <c r="G109">
        <f>Sistema!G109</f>
        <v>0</v>
      </c>
      <c r="H109" t="str">
        <f>IF(OR(R109="notify",R109=1),"visible",IF(OR(Sistema!F109=-1,Sistema!F109=0,ISNUMBER(SEARCH("PCK",E109))),"hidden",IF(P109&gt;0,"visible","hidden")))</f>
        <v>hidden</v>
      </c>
      <c r="I109" t="str">
        <f>IF(B109="simple",IF(P109&gt;0,"",IF(R109="notify",Info!C$2,"")),IF(B109="variable",IF(P109&gt;0,"",IF(R109="notify",Info!C$4,"")),""))</f>
        <v/>
      </c>
      <c r="J109" t="str">
        <f>IF(Sistema!J109="","",Sistema!J109)</f>
        <v/>
      </c>
      <c r="M109" t="str">
        <f>IF(Sistema!M109="","",Sistema!M109)</f>
        <v/>
      </c>
      <c r="N109" s="6" t="s">
        <v>1557</v>
      </c>
      <c r="O109" s="6">
        <v>1</v>
      </c>
      <c r="P109">
        <f>Sistema!P109</f>
        <v>0</v>
      </c>
      <c r="Q109">
        <f>Sistema!Q109</f>
        <v>0</v>
      </c>
      <c r="R109">
        <f>IF(Sistema!R109=1,"notify",Sistema!R109)</f>
        <v>0</v>
      </c>
      <c r="T109" t="str">
        <f>IF(Sistema!T109="","",Sistema!T109)</f>
        <v/>
      </c>
      <c r="U109" t="str">
        <f>IF(Sistema!U109="","",Sistema!U109)</f>
        <v/>
      </c>
      <c r="V109" t="str">
        <f>IF(Sistema!V109="","",Sistema!V109)</f>
        <v/>
      </c>
      <c r="W109" t="str">
        <f>IF(Sistema!W109="","",Sistema!W109)</f>
        <v/>
      </c>
      <c r="X109" s="6">
        <v>1</v>
      </c>
      <c r="Z109" t="str">
        <f>IF(Sistema!Z109="","",Sistema!Z109)</f>
        <v/>
      </c>
      <c r="AA109" t="str">
        <f>IF(Sistema!AA109="","",Sistema!AA109)</f>
        <v/>
      </c>
      <c r="AB109" t="str">
        <f>IF(Sistema!AB109="","",IF(OR(ISNUMBER(SEARCH("MKP",E109)),ISNUMBER(SEARCH("MKP",C109))),"Marketplace &gt; "&amp;Sistema!AB109,Sistema!AB109))</f>
        <v/>
      </c>
      <c r="AC109" t="str">
        <f>IF(Sistema!AC109="","",Sistema!AC109)</f>
        <v/>
      </c>
      <c r="AE109" t="str">
        <f>IF(Sistema!AE109="","",Sistema!AE109)</f>
        <v/>
      </c>
      <c r="AH109" t="str">
        <f>IF(Sistema!AH109="","",Sistema!AH109)</f>
        <v/>
      </c>
      <c r="AQ109" t="str">
        <f>IF(Sistema!AQ109="","",Sistema!AQ109)</f>
        <v/>
      </c>
      <c r="AR109" t="str">
        <f>IF(Sistema!AR109="","",Sistema!AR109)</f>
        <v/>
      </c>
      <c r="AS109" t="str">
        <f>IF(Sistema!AS109="","",Sistema!AS109)</f>
        <v/>
      </c>
      <c r="AT109" t="str">
        <f>IF(Sistema!AT109="","",Sistema!AT109)</f>
        <v/>
      </c>
      <c r="AU109" t="str">
        <f>IF(Sistema!AU109="","",Sistema!AU109)</f>
        <v/>
      </c>
      <c r="AV109" t="str">
        <f>IF(Sistema!AV109="","",Sistema!AV109)</f>
        <v/>
      </c>
      <c r="AW109" t="str">
        <f>IF(Sistema!AW109="","",Sistema!AW109)</f>
        <v/>
      </c>
      <c r="AX109" t="str">
        <f>IF(Sistema!AX109="","",Sistema!AX109)</f>
        <v/>
      </c>
      <c r="AY109" t="str">
        <f>IF(Sistema!AY109="","",Sistema!AY109)</f>
        <v/>
      </c>
      <c r="AZ109" t="str">
        <f>IF(Sistema!AZ109="","",Sistema!AZ109)</f>
        <v/>
      </c>
      <c r="BA109" t="str">
        <f>IF(Sistema!BA109="","",Sistema!BA109)</f>
        <v/>
      </c>
      <c r="BB109" t="str">
        <f>IF(Sistema!BB109="","",Sistema!BB109)</f>
        <v/>
      </c>
      <c r="BC109" t="str">
        <f>IF(Sistema!BC109="","",Sistema!BC109)</f>
        <v/>
      </c>
      <c r="BD109" t="str">
        <f>IF(Sistema!BD109="","",Sistema!BD109)</f>
        <v/>
      </c>
      <c r="BE109" t="str">
        <f>IF(Sistema!BE109="","",Sistema!BE109)</f>
        <v/>
      </c>
      <c r="BF109" t="str">
        <f>IF(Sistema!BF109="","",Sistema!BF109)</f>
        <v/>
      </c>
      <c r="BG109" t="str">
        <f>IF(Sistema!BG109="","",Sistema!BG109)</f>
        <v/>
      </c>
      <c r="BH109" t="str">
        <f>IF(Sistema!BH109="","",Sistema!BH109)</f>
        <v/>
      </c>
      <c r="BI109" t="str">
        <f>IF(Sistema!BI109="","",Sistema!BI109)</f>
        <v/>
      </c>
      <c r="BJ109" t="str">
        <f>IF(Sistema!BJ109="","",Sistema!BJ109)</f>
        <v/>
      </c>
      <c r="BK109" t="str">
        <f>IF(Sistema!BK109="","",Sistema!BK109)</f>
        <v/>
      </c>
      <c r="BL109" t="str">
        <f>IF(Sistema!BL109="","",Sistema!BL109)</f>
        <v/>
      </c>
      <c r="BM109" t="str">
        <f>IF(Sistema!BM109="","",Sistema!BM109)</f>
        <v/>
      </c>
      <c r="BN109" t="str">
        <f>IF(Sistema!BN109="","",Sistema!BN109)</f>
        <v/>
      </c>
      <c r="BO109" t="str">
        <f>IF(Sistema!BO109="","",Sistema!BO109)</f>
        <v/>
      </c>
      <c r="BP109" t="str">
        <f>IF(Sistema!BP109="","",Sistema!BP109)</f>
        <v/>
      </c>
      <c r="BQ109" t="str">
        <f>IF(Sistema!BQ109="","",Sistema!BQ109)</f>
        <v/>
      </c>
      <c r="BR109" t="str">
        <f>IF(Sistema!BR109="","",Sistema!BR109)</f>
        <v/>
      </c>
      <c r="BS109" t="str">
        <f>IF(Sistema!BS109="","",Sistema!BS109)</f>
        <v/>
      </c>
      <c r="BT109" t="str">
        <f>IF(Sistema!BT109="","",Sistema!BT109)</f>
        <v/>
      </c>
      <c r="BU109" t="str">
        <f>IF(Sistema!BU109="","",Sistema!BU109)</f>
        <v/>
      </c>
      <c r="BV109" t="str">
        <f>IF(Sistema!BV109="","",Sistema!BV109)</f>
        <v/>
      </c>
      <c r="BW109" t="str">
        <f>IF(Sistema!BW109="","",Sistema!BW109)</f>
        <v/>
      </c>
      <c r="BX109" t="str">
        <f>IF(Sistema!BX109="","",Sistema!BX109)</f>
        <v/>
      </c>
      <c r="BY109" t="str">
        <f>IF(Sistema!BY109="","",Sistema!BY109)</f>
        <v/>
      </c>
      <c r="BZ109" t="str">
        <f>IF(Sistema!BZ109="","",Sistema!BZ109)</f>
        <v/>
      </c>
      <c r="CA109" t="str">
        <f>IF(Sistema!CA109="","",Sistema!CA109)</f>
        <v/>
      </c>
      <c r="CB109" t="str">
        <f>IF(Sistema!CB109="","",Sistema!CB109)</f>
        <v/>
      </c>
      <c r="CC109" t="str">
        <f>IF(Sistema!CC109="","",Sistema!CC109)</f>
        <v/>
      </c>
      <c r="CD109" t="str">
        <f>IF(Sistema!CD109="","",Sistema!CD109)</f>
        <v/>
      </c>
    </row>
    <row r="110" spans="1:82" x14ac:dyDescent="0.25">
      <c r="A110" t="str">
        <f>IF(Sistema!A110="","",Sistema!A110)</f>
        <v/>
      </c>
      <c r="B110" t="str">
        <f>IF(Sistema!B110="","",Sistema!B110)</f>
        <v/>
      </c>
      <c r="C110" t="str">
        <f>IF(Sistema!C110="","",Sistema!C110)</f>
        <v/>
      </c>
      <c r="D110" t="str">
        <f>IF(Sistema!D110="","",Sistema!D110)</f>
        <v/>
      </c>
      <c r="E110" t="str">
        <f>IF(Sistema!E110="","",Sistema!E110)</f>
        <v/>
      </c>
      <c r="F110">
        <f>IF(P110&gt;0,1,IF(Sistema!F110=0,-1,1))</f>
        <v>-1</v>
      </c>
      <c r="G110">
        <f>Sistema!G110</f>
        <v>0</v>
      </c>
      <c r="H110" t="str">
        <f>IF(OR(R110="notify",R110=1),"visible",IF(OR(Sistema!F110=-1,Sistema!F110=0,ISNUMBER(SEARCH("PCK",E110))),"hidden",IF(P110&gt;0,"visible","hidden")))</f>
        <v>hidden</v>
      </c>
      <c r="I110" t="str">
        <f>IF(B110="simple",IF(P110&gt;0,"",IF(R110="notify",Info!C$2,"")),IF(B110="variable",IF(P110&gt;0,"",IF(R110="notify",Info!C$4,"")),""))</f>
        <v/>
      </c>
      <c r="J110" t="str">
        <f>IF(Sistema!J110="","",Sistema!J110)</f>
        <v/>
      </c>
      <c r="M110" t="str">
        <f>IF(Sistema!M110="","",Sistema!M110)</f>
        <v/>
      </c>
      <c r="N110" s="6" t="s">
        <v>1557</v>
      </c>
      <c r="O110" s="6">
        <v>1</v>
      </c>
      <c r="P110">
        <f>Sistema!P110</f>
        <v>0</v>
      </c>
      <c r="Q110">
        <f>Sistema!Q110</f>
        <v>0</v>
      </c>
      <c r="R110">
        <f>IF(Sistema!R110=1,"notify",Sistema!R110)</f>
        <v>0</v>
      </c>
      <c r="T110" t="str">
        <f>IF(Sistema!T110="","",Sistema!T110)</f>
        <v/>
      </c>
      <c r="U110" t="str">
        <f>IF(Sistema!U110="","",Sistema!U110)</f>
        <v/>
      </c>
      <c r="V110" t="str">
        <f>IF(Sistema!V110="","",Sistema!V110)</f>
        <v/>
      </c>
      <c r="W110" t="str">
        <f>IF(Sistema!W110="","",Sistema!W110)</f>
        <v/>
      </c>
      <c r="X110" s="6">
        <v>1</v>
      </c>
      <c r="Z110" t="str">
        <f>IF(Sistema!Z110="","",Sistema!Z110)</f>
        <v/>
      </c>
      <c r="AA110" t="str">
        <f>IF(Sistema!AA110="","",Sistema!AA110)</f>
        <v/>
      </c>
      <c r="AB110" t="str">
        <f>IF(Sistema!AB110="","",IF(OR(ISNUMBER(SEARCH("MKP",E110)),ISNUMBER(SEARCH("MKP",C110))),"Marketplace &gt; "&amp;Sistema!AB110,Sistema!AB110))</f>
        <v/>
      </c>
      <c r="AC110" t="str">
        <f>IF(Sistema!AC110="","",Sistema!AC110)</f>
        <v/>
      </c>
      <c r="AE110" t="str">
        <f>IF(Sistema!AE110="","",Sistema!AE110)</f>
        <v/>
      </c>
      <c r="AH110" t="str">
        <f>IF(Sistema!AH110="","",Sistema!AH110)</f>
        <v/>
      </c>
      <c r="AQ110" t="str">
        <f>IF(Sistema!AQ110="","",Sistema!AQ110)</f>
        <v/>
      </c>
      <c r="AR110" t="str">
        <f>IF(Sistema!AR110="","",Sistema!AR110)</f>
        <v/>
      </c>
      <c r="AS110" t="str">
        <f>IF(Sistema!AS110="","",Sistema!AS110)</f>
        <v/>
      </c>
      <c r="AT110" t="str">
        <f>IF(Sistema!AT110="","",Sistema!AT110)</f>
        <v/>
      </c>
      <c r="AU110" t="str">
        <f>IF(Sistema!AU110="","",Sistema!AU110)</f>
        <v/>
      </c>
      <c r="AV110" t="str">
        <f>IF(Sistema!AV110="","",Sistema!AV110)</f>
        <v/>
      </c>
      <c r="AW110" t="str">
        <f>IF(Sistema!AW110="","",Sistema!AW110)</f>
        <v/>
      </c>
      <c r="AX110" t="str">
        <f>IF(Sistema!AX110="","",Sistema!AX110)</f>
        <v/>
      </c>
      <c r="AY110" t="str">
        <f>IF(Sistema!AY110="","",Sistema!AY110)</f>
        <v/>
      </c>
      <c r="AZ110" t="str">
        <f>IF(Sistema!AZ110="","",Sistema!AZ110)</f>
        <v/>
      </c>
      <c r="BA110" t="str">
        <f>IF(Sistema!BA110="","",Sistema!BA110)</f>
        <v/>
      </c>
      <c r="BB110" t="str">
        <f>IF(Sistema!BB110="","",Sistema!BB110)</f>
        <v/>
      </c>
      <c r="BC110" t="str">
        <f>IF(Sistema!BC110="","",Sistema!BC110)</f>
        <v/>
      </c>
      <c r="BD110" t="str">
        <f>IF(Sistema!BD110="","",Sistema!BD110)</f>
        <v/>
      </c>
      <c r="BE110" t="str">
        <f>IF(Sistema!BE110="","",Sistema!BE110)</f>
        <v/>
      </c>
      <c r="BF110" t="str">
        <f>IF(Sistema!BF110="","",Sistema!BF110)</f>
        <v/>
      </c>
      <c r="BG110" t="str">
        <f>IF(Sistema!BG110="","",Sistema!BG110)</f>
        <v/>
      </c>
      <c r="BH110" t="str">
        <f>IF(Sistema!BH110="","",Sistema!BH110)</f>
        <v/>
      </c>
      <c r="BI110" t="str">
        <f>IF(Sistema!BI110="","",Sistema!BI110)</f>
        <v/>
      </c>
      <c r="BJ110" t="str">
        <f>IF(Sistema!BJ110="","",Sistema!BJ110)</f>
        <v/>
      </c>
      <c r="BK110" t="str">
        <f>IF(Sistema!BK110="","",Sistema!BK110)</f>
        <v/>
      </c>
      <c r="BL110" t="str">
        <f>IF(Sistema!BL110="","",Sistema!BL110)</f>
        <v/>
      </c>
      <c r="BM110" t="str">
        <f>IF(Sistema!BM110="","",Sistema!BM110)</f>
        <v/>
      </c>
      <c r="BN110" t="str">
        <f>IF(Sistema!BN110="","",Sistema!BN110)</f>
        <v/>
      </c>
      <c r="BO110" t="str">
        <f>IF(Sistema!BO110="","",Sistema!BO110)</f>
        <v/>
      </c>
      <c r="BP110" t="str">
        <f>IF(Sistema!BP110="","",Sistema!BP110)</f>
        <v/>
      </c>
      <c r="BQ110" t="str">
        <f>IF(Sistema!BQ110="","",Sistema!BQ110)</f>
        <v/>
      </c>
      <c r="BR110" t="str">
        <f>IF(Sistema!BR110="","",Sistema!BR110)</f>
        <v/>
      </c>
      <c r="BS110" t="str">
        <f>IF(Sistema!BS110="","",Sistema!BS110)</f>
        <v/>
      </c>
      <c r="BT110" t="str">
        <f>IF(Sistema!BT110="","",Sistema!BT110)</f>
        <v/>
      </c>
      <c r="BU110" t="str">
        <f>IF(Sistema!BU110="","",Sistema!BU110)</f>
        <v/>
      </c>
      <c r="BV110" t="str">
        <f>IF(Sistema!BV110="","",Sistema!BV110)</f>
        <v/>
      </c>
      <c r="BW110" t="str">
        <f>IF(Sistema!BW110="","",Sistema!BW110)</f>
        <v/>
      </c>
      <c r="BX110" t="str">
        <f>IF(Sistema!BX110="","",Sistema!BX110)</f>
        <v/>
      </c>
      <c r="BY110" t="str">
        <f>IF(Sistema!BY110="","",Sistema!BY110)</f>
        <v/>
      </c>
      <c r="BZ110" t="str">
        <f>IF(Sistema!BZ110="","",Sistema!BZ110)</f>
        <v/>
      </c>
      <c r="CA110" t="str">
        <f>IF(Sistema!CA110="","",Sistema!CA110)</f>
        <v/>
      </c>
      <c r="CB110" t="str">
        <f>IF(Sistema!CB110="","",Sistema!CB110)</f>
        <v/>
      </c>
      <c r="CC110" t="str">
        <f>IF(Sistema!CC110="","",Sistema!CC110)</f>
        <v/>
      </c>
      <c r="CD110" t="str">
        <f>IF(Sistema!CD110="","",Sistema!CD110)</f>
        <v/>
      </c>
    </row>
    <row r="111" spans="1:82" x14ac:dyDescent="0.25">
      <c r="A111" t="str">
        <f>IF(Sistema!A111="","",Sistema!A111)</f>
        <v/>
      </c>
      <c r="B111" t="str">
        <f>IF(Sistema!B111="","",Sistema!B111)</f>
        <v/>
      </c>
      <c r="C111" t="str">
        <f>IF(Sistema!C111="","",Sistema!C111)</f>
        <v/>
      </c>
      <c r="D111" t="str">
        <f>IF(Sistema!D111="","",Sistema!D111)</f>
        <v/>
      </c>
      <c r="E111" t="str">
        <f>IF(Sistema!E111="","",Sistema!E111)</f>
        <v/>
      </c>
      <c r="F111">
        <f>IF(P111&gt;0,1,IF(Sistema!F111=0,-1,1))</f>
        <v>-1</v>
      </c>
      <c r="G111">
        <f>Sistema!G111</f>
        <v>0</v>
      </c>
      <c r="H111" t="str">
        <f>IF(OR(R111="notify",R111=1),"visible",IF(OR(Sistema!F111=-1,Sistema!F111=0,ISNUMBER(SEARCH("PCK",E111))),"hidden",IF(P111&gt;0,"visible","hidden")))</f>
        <v>hidden</v>
      </c>
      <c r="I111" t="str">
        <f>IF(B111="simple",IF(P111&gt;0,"",IF(R111="notify",Info!C$2,"")),IF(B111="variable",IF(P111&gt;0,"",IF(R111="notify",Info!C$4,"")),""))</f>
        <v/>
      </c>
      <c r="J111" t="str">
        <f>IF(Sistema!J111="","",Sistema!J111)</f>
        <v/>
      </c>
      <c r="M111" t="str">
        <f>IF(Sistema!M111="","",Sistema!M111)</f>
        <v/>
      </c>
      <c r="N111" s="6" t="s">
        <v>1557</v>
      </c>
      <c r="O111" s="6">
        <v>1</v>
      </c>
      <c r="P111">
        <f>Sistema!P111</f>
        <v>0</v>
      </c>
      <c r="Q111">
        <f>Sistema!Q111</f>
        <v>0</v>
      </c>
      <c r="R111">
        <f>IF(Sistema!R111=1,"notify",Sistema!R111)</f>
        <v>0</v>
      </c>
      <c r="T111" t="str">
        <f>IF(Sistema!T111="","",Sistema!T111)</f>
        <v/>
      </c>
      <c r="U111" t="str">
        <f>IF(Sistema!U111="","",Sistema!U111)</f>
        <v/>
      </c>
      <c r="V111" t="str">
        <f>IF(Sistema!V111="","",Sistema!V111)</f>
        <v/>
      </c>
      <c r="W111" t="str">
        <f>IF(Sistema!W111="","",Sistema!W111)</f>
        <v/>
      </c>
      <c r="X111" s="6">
        <v>1</v>
      </c>
      <c r="Z111" t="str">
        <f>IF(Sistema!Z111="","",Sistema!Z111)</f>
        <v/>
      </c>
      <c r="AA111" t="str">
        <f>IF(Sistema!AA111="","",Sistema!AA111)</f>
        <v/>
      </c>
      <c r="AB111" t="str">
        <f>IF(Sistema!AB111="","",IF(OR(ISNUMBER(SEARCH("MKP",E111)),ISNUMBER(SEARCH("MKP",C111))),"Marketplace &gt; "&amp;Sistema!AB111,Sistema!AB111))</f>
        <v/>
      </c>
      <c r="AC111" t="str">
        <f>IF(Sistema!AC111="","",Sistema!AC111)</f>
        <v/>
      </c>
      <c r="AE111" t="str">
        <f>IF(Sistema!AE111="","",Sistema!AE111)</f>
        <v/>
      </c>
      <c r="AH111" t="str">
        <f>IF(Sistema!AH111="","",Sistema!AH111)</f>
        <v/>
      </c>
      <c r="AQ111" t="str">
        <f>IF(Sistema!AQ111="","",Sistema!AQ111)</f>
        <v/>
      </c>
      <c r="AR111" t="str">
        <f>IF(Sistema!AR111="","",Sistema!AR111)</f>
        <v/>
      </c>
      <c r="AS111" t="str">
        <f>IF(Sistema!AS111="","",Sistema!AS111)</f>
        <v/>
      </c>
      <c r="AT111" t="str">
        <f>IF(Sistema!AT111="","",Sistema!AT111)</f>
        <v/>
      </c>
      <c r="AU111" t="str">
        <f>IF(Sistema!AU111="","",Sistema!AU111)</f>
        <v/>
      </c>
      <c r="AV111" t="str">
        <f>IF(Sistema!AV111="","",Sistema!AV111)</f>
        <v/>
      </c>
      <c r="AW111" t="str">
        <f>IF(Sistema!AW111="","",Sistema!AW111)</f>
        <v/>
      </c>
      <c r="AX111" t="str">
        <f>IF(Sistema!AX111="","",Sistema!AX111)</f>
        <v/>
      </c>
      <c r="AY111" t="str">
        <f>IF(Sistema!AY111="","",Sistema!AY111)</f>
        <v/>
      </c>
      <c r="AZ111" t="str">
        <f>IF(Sistema!AZ111="","",Sistema!AZ111)</f>
        <v/>
      </c>
      <c r="BA111" t="str">
        <f>IF(Sistema!BA111="","",Sistema!BA111)</f>
        <v/>
      </c>
      <c r="BB111" t="str">
        <f>IF(Sistema!BB111="","",Sistema!BB111)</f>
        <v/>
      </c>
      <c r="BC111" t="str">
        <f>IF(Sistema!BC111="","",Sistema!BC111)</f>
        <v/>
      </c>
      <c r="BD111" t="str">
        <f>IF(Sistema!BD111="","",Sistema!BD111)</f>
        <v/>
      </c>
      <c r="BE111" t="str">
        <f>IF(Sistema!BE111="","",Sistema!BE111)</f>
        <v/>
      </c>
      <c r="BF111" t="str">
        <f>IF(Sistema!BF111="","",Sistema!BF111)</f>
        <v/>
      </c>
      <c r="BG111" t="str">
        <f>IF(Sistema!BG111="","",Sistema!BG111)</f>
        <v/>
      </c>
      <c r="BH111" t="str">
        <f>IF(Sistema!BH111="","",Sistema!BH111)</f>
        <v/>
      </c>
      <c r="BI111" t="str">
        <f>IF(Sistema!BI111="","",Sistema!BI111)</f>
        <v/>
      </c>
      <c r="BJ111" t="str">
        <f>IF(Sistema!BJ111="","",Sistema!BJ111)</f>
        <v/>
      </c>
      <c r="BK111" t="str">
        <f>IF(Sistema!BK111="","",Sistema!BK111)</f>
        <v/>
      </c>
      <c r="BL111" t="str">
        <f>IF(Sistema!BL111="","",Sistema!BL111)</f>
        <v/>
      </c>
      <c r="BM111" t="str">
        <f>IF(Sistema!BM111="","",Sistema!BM111)</f>
        <v/>
      </c>
      <c r="BN111" t="str">
        <f>IF(Sistema!BN111="","",Sistema!BN111)</f>
        <v/>
      </c>
      <c r="BO111" t="str">
        <f>IF(Sistema!BO111="","",Sistema!BO111)</f>
        <v/>
      </c>
      <c r="BP111" t="str">
        <f>IF(Sistema!BP111="","",Sistema!BP111)</f>
        <v/>
      </c>
      <c r="BQ111" t="str">
        <f>IF(Sistema!BQ111="","",Sistema!BQ111)</f>
        <v/>
      </c>
      <c r="BR111" t="str">
        <f>IF(Sistema!BR111="","",Sistema!BR111)</f>
        <v/>
      </c>
      <c r="BS111" t="str">
        <f>IF(Sistema!BS111="","",Sistema!BS111)</f>
        <v/>
      </c>
      <c r="BT111" t="str">
        <f>IF(Sistema!BT111="","",Sistema!BT111)</f>
        <v/>
      </c>
      <c r="BU111" t="str">
        <f>IF(Sistema!BU111="","",Sistema!BU111)</f>
        <v/>
      </c>
      <c r="BV111" t="str">
        <f>IF(Sistema!BV111="","",Sistema!BV111)</f>
        <v/>
      </c>
      <c r="BW111" t="str">
        <f>IF(Sistema!BW111="","",Sistema!BW111)</f>
        <v/>
      </c>
      <c r="BX111" t="str">
        <f>IF(Sistema!BX111="","",Sistema!BX111)</f>
        <v/>
      </c>
      <c r="BY111" t="str">
        <f>IF(Sistema!BY111="","",Sistema!BY111)</f>
        <v/>
      </c>
      <c r="BZ111" t="str">
        <f>IF(Sistema!BZ111="","",Sistema!BZ111)</f>
        <v/>
      </c>
      <c r="CA111" t="str">
        <f>IF(Sistema!CA111="","",Sistema!CA111)</f>
        <v/>
      </c>
      <c r="CB111" t="str">
        <f>IF(Sistema!CB111="","",Sistema!CB111)</f>
        <v/>
      </c>
      <c r="CC111" t="str">
        <f>IF(Sistema!CC111="","",Sistema!CC111)</f>
        <v/>
      </c>
      <c r="CD111" t="str">
        <f>IF(Sistema!CD111="","",Sistema!CD111)</f>
        <v/>
      </c>
    </row>
    <row r="112" spans="1:82" x14ac:dyDescent="0.25">
      <c r="A112" t="str">
        <f>IF(Sistema!A112="","",Sistema!A112)</f>
        <v/>
      </c>
      <c r="B112" t="str">
        <f>IF(Sistema!B112="","",Sistema!B112)</f>
        <v/>
      </c>
      <c r="C112" t="str">
        <f>IF(Sistema!C112="","",Sistema!C112)</f>
        <v/>
      </c>
      <c r="D112" t="str">
        <f>IF(Sistema!D112="","",Sistema!D112)</f>
        <v/>
      </c>
      <c r="E112" t="str">
        <f>IF(Sistema!E112="","",Sistema!E112)</f>
        <v/>
      </c>
      <c r="F112">
        <f>IF(P112&gt;0,1,IF(Sistema!F112=0,-1,1))</f>
        <v>-1</v>
      </c>
      <c r="G112">
        <f>Sistema!G112</f>
        <v>0</v>
      </c>
      <c r="H112" t="str">
        <f>IF(OR(R112="notify",R112=1),"visible",IF(OR(Sistema!F112=-1,Sistema!F112=0,ISNUMBER(SEARCH("PCK",E112))),"hidden",IF(P112&gt;0,"visible","hidden")))</f>
        <v>hidden</v>
      </c>
      <c r="I112" t="str">
        <f>IF(B112="simple",IF(P112&gt;0,"",IF(R112="notify",Info!C$2,"")),IF(B112="variable",IF(P112&gt;0,"",IF(R112="notify",Info!C$4,"")),""))</f>
        <v/>
      </c>
      <c r="J112" t="str">
        <f>IF(Sistema!J112="","",Sistema!J112)</f>
        <v/>
      </c>
      <c r="M112" t="str">
        <f>IF(Sistema!M112="","",Sistema!M112)</f>
        <v/>
      </c>
      <c r="N112" s="6" t="s">
        <v>1557</v>
      </c>
      <c r="O112" s="6">
        <v>1</v>
      </c>
      <c r="P112">
        <f>Sistema!P112</f>
        <v>0</v>
      </c>
      <c r="Q112">
        <f>Sistema!Q112</f>
        <v>0</v>
      </c>
      <c r="R112">
        <f>IF(Sistema!R112=1,"notify",Sistema!R112)</f>
        <v>0</v>
      </c>
      <c r="T112" t="str">
        <f>IF(Sistema!T112="","",Sistema!T112)</f>
        <v/>
      </c>
      <c r="U112" t="str">
        <f>IF(Sistema!U112="","",Sistema!U112)</f>
        <v/>
      </c>
      <c r="V112" t="str">
        <f>IF(Sistema!V112="","",Sistema!V112)</f>
        <v/>
      </c>
      <c r="W112" t="str">
        <f>IF(Sistema!W112="","",Sistema!W112)</f>
        <v/>
      </c>
      <c r="X112" s="6">
        <v>1</v>
      </c>
      <c r="Z112" t="str">
        <f>IF(Sistema!Z112="","",Sistema!Z112)</f>
        <v/>
      </c>
      <c r="AA112" t="str">
        <f>IF(Sistema!AA112="","",Sistema!AA112)</f>
        <v/>
      </c>
      <c r="AB112" t="str">
        <f>IF(Sistema!AB112="","",IF(OR(ISNUMBER(SEARCH("MKP",E112)),ISNUMBER(SEARCH("MKP",C112))),"Marketplace &gt; "&amp;Sistema!AB112,Sistema!AB112))</f>
        <v/>
      </c>
      <c r="AC112" t="str">
        <f>IF(Sistema!AC112="","",Sistema!AC112)</f>
        <v/>
      </c>
      <c r="AE112" t="str">
        <f>IF(Sistema!AE112="","",Sistema!AE112)</f>
        <v/>
      </c>
      <c r="AH112" t="str">
        <f>IF(Sistema!AH112="","",Sistema!AH112)</f>
        <v/>
      </c>
      <c r="AQ112" t="str">
        <f>IF(Sistema!AQ112="","",Sistema!AQ112)</f>
        <v/>
      </c>
      <c r="AR112" t="str">
        <f>IF(Sistema!AR112="","",Sistema!AR112)</f>
        <v/>
      </c>
      <c r="AS112" t="str">
        <f>IF(Sistema!AS112="","",Sistema!AS112)</f>
        <v/>
      </c>
      <c r="AT112" t="str">
        <f>IF(Sistema!AT112="","",Sistema!AT112)</f>
        <v/>
      </c>
      <c r="AU112" t="str">
        <f>IF(Sistema!AU112="","",Sistema!AU112)</f>
        <v/>
      </c>
      <c r="AV112" t="str">
        <f>IF(Sistema!AV112="","",Sistema!AV112)</f>
        <v/>
      </c>
      <c r="AW112" t="str">
        <f>IF(Sistema!AW112="","",Sistema!AW112)</f>
        <v/>
      </c>
      <c r="AX112" t="str">
        <f>IF(Sistema!AX112="","",Sistema!AX112)</f>
        <v/>
      </c>
      <c r="AY112" t="str">
        <f>IF(Sistema!AY112="","",Sistema!AY112)</f>
        <v/>
      </c>
      <c r="AZ112" t="str">
        <f>IF(Sistema!AZ112="","",Sistema!AZ112)</f>
        <v/>
      </c>
      <c r="BA112" t="str">
        <f>IF(Sistema!BA112="","",Sistema!BA112)</f>
        <v/>
      </c>
      <c r="BB112" t="str">
        <f>IF(Sistema!BB112="","",Sistema!BB112)</f>
        <v/>
      </c>
      <c r="BC112" t="str">
        <f>IF(Sistema!BC112="","",Sistema!BC112)</f>
        <v/>
      </c>
      <c r="BD112" t="str">
        <f>IF(Sistema!BD112="","",Sistema!BD112)</f>
        <v/>
      </c>
      <c r="BE112" t="str">
        <f>IF(Sistema!BE112="","",Sistema!BE112)</f>
        <v/>
      </c>
      <c r="BF112" t="str">
        <f>IF(Sistema!BF112="","",Sistema!BF112)</f>
        <v/>
      </c>
      <c r="BG112" t="str">
        <f>IF(Sistema!BG112="","",Sistema!BG112)</f>
        <v/>
      </c>
      <c r="BH112" t="str">
        <f>IF(Sistema!BH112="","",Sistema!BH112)</f>
        <v/>
      </c>
      <c r="BI112" t="str">
        <f>IF(Sistema!BI112="","",Sistema!BI112)</f>
        <v/>
      </c>
      <c r="BJ112" t="str">
        <f>IF(Sistema!BJ112="","",Sistema!BJ112)</f>
        <v/>
      </c>
      <c r="BK112" t="str">
        <f>IF(Sistema!BK112="","",Sistema!BK112)</f>
        <v/>
      </c>
      <c r="BL112" t="str">
        <f>IF(Sistema!BL112="","",Sistema!BL112)</f>
        <v/>
      </c>
      <c r="BM112" t="str">
        <f>IF(Sistema!BM112="","",Sistema!BM112)</f>
        <v/>
      </c>
      <c r="BN112" t="str">
        <f>IF(Sistema!BN112="","",Sistema!BN112)</f>
        <v/>
      </c>
      <c r="BO112" t="str">
        <f>IF(Sistema!BO112="","",Sistema!BO112)</f>
        <v/>
      </c>
      <c r="BP112" t="str">
        <f>IF(Sistema!BP112="","",Sistema!BP112)</f>
        <v/>
      </c>
      <c r="BQ112" t="str">
        <f>IF(Sistema!BQ112="","",Sistema!BQ112)</f>
        <v/>
      </c>
      <c r="BR112" t="str">
        <f>IF(Sistema!BR112="","",Sistema!BR112)</f>
        <v/>
      </c>
      <c r="BS112" t="str">
        <f>IF(Sistema!BS112="","",Sistema!BS112)</f>
        <v/>
      </c>
      <c r="BT112" t="str">
        <f>IF(Sistema!BT112="","",Sistema!BT112)</f>
        <v/>
      </c>
      <c r="BU112" t="str">
        <f>IF(Sistema!BU112="","",Sistema!BU112)</f>
        <v/>
      </c>
      <c r="BV112" t="str">
        <f>IF(Sistema!BV112="","",Sistema!BV112)</f>
        <v/>
      </c>
      <c r="BW112" t="str">
        <f>IF(Sistema!BW112="","",Sistema!BW112)</f>
        <v/>
      </c>
      <c r="BX112" t="str">
        <f>IF(Sistema!BX112="","",Sistema!BX112)</f>
        <v/>
      </c>
      <c r="BY112" t="str">
        <f>IF(Sistema!BY112="","",Sistema!BY112)</f>
        <v/>
      </c>
      <c r="BZ112" t="str">
        <f>IF(Sistema!BZ112="","",Sistema!BZ112)</f>
        <v/>
      </c>
      <c r="CA112" t="str">
        <f>IF(Sistema!CA112="","",Sistema!CA112)</f>
        <v/>
      </c>
      <c r="CB112" t="str">
        <f>IF(Sistema!CB112="","",Sistema!CB112)</f>
        <v/>
      </c>
      <c r="CC112" t="str">
        <f>IF(Sistema!CC112="","",Sistema!CC112)</f>
        <v/>
      </c>
      <c r="CD112" t="str">
        <f>IF(Sistema!CD112="","",Sistema!CD112)</f>
        <v/>
      </c>
    </row>
    <row r="113" spans="1:82" x14ac:dyDescent="0.25">
      <c r="A113" t="str">
        <f>IF(Sistema!A113="","",Sistema!A113)</f>
        <v/>
      </c>
      <c r="B113" t="str">
        <f>IF(Sistema!B113="","",Sistema!B113)</f>
        <v/>
      </c>
      <c r="C113" t="str">
        <f>IF(Sistema!C113="","",Sistema!C113)</f>
        <v/>
      </c>
      <c r="D113" t="str">
        <f>IF(Sistema!D113="","",Sistema!D113)</f>
        <v/>
      </c>
      <c r="E113" t="str">
        <f>IF(Sistema!E113="","",Sistema!E113)</f>
        <v/>
      </c>
      <c r="F113">
        <f>IF(P113&gt;0,1,IF(Sistema!F113=0,-1,1))</f>
        <v>-1</v>
      </c>
      <c r="G113">
        <f>Sistema!G113</f>
        <v>0</v>
      </c>
      <c r="H113" t="str">
        <f>IF(OR(R113="notify",R113=1),"visible",IF(OR(Sistema!F113=-1,Sistema!F113=0,ISNUMBER(SEARCH("PCK",E113))),"hidden",IF(P113&gt;0,"visible","hidden")))</f>
        <v>hidden</v>
      </c>
      <c r="I113" t="str">
        <f>IF(B113="simple",IF(P113&gt;0,"",IF(R113="notify",Info!C$2,"")),IF(B113="variable",IF(P113&gt;0,"",IF(R113="notify",Info!C$4,"")),""))</f>
        <v/>
      </c>
      <c r="J113" t="str">
        <f>IF(Sistema!J113="","",Sistema!J113)</f>
        <v/>
      </c>
      <c r="M113" t="str">
        <f>IF(Sistema!M113="","",Sistema!M113)</f>
        <v/>
      </c>
      <c r="N113" s="6" t="s">
        <v>1557</v>
      </c>
      <c r="O113" s="6">
        <v>1</v>
      </c>
      <c r="P113">
        <f>Sistema!P113</f>
        <v>0</v>
      </c>
      <c r="Q113">
        <f>Sistema!Q113</f>
        <v>0</v>
      </c>
      <c r="R113">
        <f>IF(Sistema!R113=1,"notify",Sistema!R113)</f>
        <v>0</v>
      </c>
      <c r="T113" t="str">
        <f>IF(Sistema!T113="","",Sistema!T113)</f>
        <v/>
      </c>
      <c r="U113" t="str">
        <f>IF(Sistema!U113="","",Sistema!U113)</f>
        <v/>
      </c>
      <c r="V113" t="str">
        <f>IF(Sistema!V113="","",Sistema!V113)</f>
        <v/>
      </c>
      <c r="W113" t="str">
        <f>IF(Sistema!W113="","",Sistema!W113)</f>
        <v/>
      </c>
      <c r="X113" s="6">
        <v>1</v>
      </c>
      <c r="Z113" t="str">
        <f>IF(Sistema!Z113="","",Sistema!Z113)</f>
        <v/>
      </c>
      <c r="AA113" t="str">
        <f>IF(Sistema!AA113="","",Sistema!AA113)</f>
        <v/>
      </c>
      <c r="AB113" t="str">
        <f>IF(Sistema!AB113="","",IF(OR(ISNUMBER(SEARCH("MKP",E113)),ISNUMBER(SEARCH("MKP",C113))),"Marketplace &gt; "&amp;Sistema!AB113,Sistema!AB113))</f>
        <v/>
      </c>
      <c r="AC113" t="str">
        <f>IF(Sistema!AC113="","",Sistema!AC113)</f>
        <v/>
      </c>
      <c r="AE113" t="str">
        <f>IF(Sistema!AE113="","",Sistema!AE113)</f>
        <v/>
      </c>
      <c r="AH113" t="str">
        <f>IF(Sistema!AH113="","",Sistema!AH113)</f>
        <v/>
      </c>
      <c r="AQ113" t="str">
        <f>IF(Sistema!AQ113="","",Sistema!AQ113)</f>
        <v/>
      </c>
      <c r="AR113" t="str">
        <f>IF(Sistema!AR113="","",Sistema!AR113)</f>
        <v/>
      </c>
      <c r="AS113" t="str">
        <f>IF(Sistema!AS113="","",Sistema!AS113)</f>
        <v/>
      </c>
      <c r="AT113" t="str">
        <f>IF(Sistema!AT113="","",Sistema!AT113)</f>
        <v/>
      </c>
      <c r="AU113" t="str">
        <f>IF(Sistema!AU113="","",Sistema!AU113)</f>
        <v/>
      </c>
      <c r="AV113" t="str">
        <f>IF(Sistema!AV113="","",Sistema!AV113)</f>
        <v/>
      </c>
      <c r="AW113" t="str">
        <f>IF(Sistema!AW113="","",Sistema!AW113)</f>
        <v/>
      </c>
      <c r="AX113" t="str">
        <f>IF(Sistema!AX113="","",Sistema!AX113)</f>
        <v/>
      </c>
      <c r="AY113" t="str">
        <f>IF(Sistema!AY113="","",Sistema!AY113)</f>
        <v/>
      </c>
      <c r="AZ113" t="str">
        <f>IF(Sistema!AZ113="","",Sistema!AZ113)</f>
        <v/>
      </c>
      <c r="BA113" t="str">
        <f>IF(Sistema!BA113="","",Sistema!BA113)</f>
        <v/>
      </c>
      <c r="BB113" t="str">
        <f>IF(Sistema!BB113="","",Sistema!BB113)</f>
        <v/>
      </c>
      <c r="BC113" t="str">
        <f>IF(Sistema!BC113="","",Sistema!BC113)</f>
        <v/>
      </c>
      <c r="BD113" t="str">
        <f>IF(Sistema!BD113="","",Sistema!BD113)</f>
        <v/>
      </c>
      <c r="BE113" t="str">
        <f>IF(Sistema!BE113="","",Sistema!BE113)</f>
        <v/>
      </c>
      <c r="BF113" t="str">
        <f>IF(Sistema!BF113="","",Sistema!BF113)</f>
        <v/>
      </c>
      <c r="BG113" t="str">
        <f>IF(Sistema!BG113="","",Sistema!BG113)</f>
        <v/>
      </c>
      <c r="BH113" t="str">
        <f>IF(Sistema!BH113="","",Sistema!BH113)</f>
        <v/>
      </c>
      <c r="BI113" t="str">
        <f>IF(Sistema!BI113="","",Sistema!BI113)</f>
        <v/>
      </c>
      <c r="BJ113" t="str">
        <f>IF(Sistema!BJ113="","",Sistema!BJ113)</f>
        <v/>
      </c>
      <c r="BK113" t="str">
        <f>IF(Sistema!BK113="","",Sistema!BK113)</f>
        <v/>
      </c>
      <c r="BL113" t="str">
        <f>IF(Sistema!BL113="","",Sistema!BL113)</f>
        <v/>
      </c>
      <c r="BM113" t="str">
        <f>IF(Sistema!BM113="","",Sistema!BM113)</f>
        <v/>
      </c>
      <c r="BN113" t="str">
        <f>IF(Sistema!BN113="","",Sistema!BN113)</f>
        <v/>
      </c>
      <c r="BO113" t="str">
        <f>IF(Sistema!BO113="","",Sistema!BO113)</f>
        <v/>
      </c>
      <c r="BP113" t="str">
        <f>IF(Sistema!BP113="","",Sistema!BP113)</f>
        <v/>
      </c>
      <c r="BQ113" t="str">
        <f>IF(Sistema!BQ113="","",Sistema!BQ113)</f>
        <v/>
      </c>
      <c r="BR113" t="str">
        <f>IF(Sistema!BR113="","",Sistema!BR113)</f>
        <v/>
      </c>
      <c r="BS113" t="str">
        <f>IF(Sistema!BS113="","",Sistema!BS113)</f>
        <v/>
      </c>
      <c r="BT113" t="str">
        <f>IF(Sistema!BT113="","",Sistema!BT113)</f>
        <v/>
      </c>
      <c r="BU113" t="str">
        <f>IF(Sistema!BU113="","",Sistema!BU113)</f>
        <v/>
      </c>
      <c r="BV113" t="str">
        <f>IF(Sistema!BV113="","",Sistema!BV113)</f>
        <v/>
      </c>
      <c r="BW113" t="str">
        <f>IF(Sistema!BW113="","",Sistema!BW113)</f>
        <v/>
      </c>
      <c r="BX113" t="str">
        <f>IF(Sistema!BX113="","",Sistema!BX113)</f>
        <v/>
      </c>
      <c r="BY113" t="str">
        <f>IF(Sistema!BY113="","",Sistema!BY113)</f>
        <v/>
      </c>
      <c r="BZ113" t="str">
        <f>IF(Sistema!BZ113="","",Sistema!BZ113)</f>
        <v/>
      </c>
      <c r="CA113" t="str">
        <f>IF(Sistema!CA113="","",Sistema!CA113)</f>
        <v/>
      </c>
      <c r="CB113" t="str">
        <f>IF(Sistema!CB113="","",Sistema!CB113)</f>
        <v/>
      </c>
      <c r="CC113" t="str">
        <f>IF(Sistema!CC113="","",Sistema!CC113)</f>
        <v/>
      </c>
      <c r="CD113" t="str">
        <f>IF(Sistema!CD113="","",Sistema!CD113)</f>
        <v/>
      </c>
    </row>
    <row r="114" spans="1:82" x14ac:dyDescent="0.25">
      <c r="A114" t="str">
        <f>IF(Sistema!A114="","",Sistema!A114)</f>
        <v/>
      </c>
      <c r="B114" t="str">
        <f>IF(Sistema!B114="","",Sistema!B114)</f>
        <v/>
      </c>
      <c r="C114" t="str">
        <f>IF(Sistema!C114="","",Sistema!C114)</f>
        <v/>
      </c>
      <c r="D114" t="str">
        <f>IF(Sistema!D114="","",Sistema!D114)</f>
        <v/>
      </c>
      <c r="E114" t="str">
        <f>IF(Sistema!E114="","",Sistema!E114)</f>
        <v/>
      </c>
      <c r="F114">
        <f>IF(P114&gt;0,1,IF(Sistema!F114=0,-1,1))</f>
        <v>-1</v>
      </c>
      <c r="G114">
        <f>Sistema!G114</f>
        <v>0</v>
      </c>
      <c r="H114" t="str">
        <f>IF(OR(R114="notify",R114=1),"visible",IF(OR(Sistema!F114=-1,Sistema!F114=0,ISNUMBER(SEARCH("PCK",E114))),"hidden",IF(P114&gt;0,"visible","hidden")))</f>
        <v>hidden</v>
      </c>
      <c r="I114" t="str">
        <f>IF(B114="simple",IF(P114&gt;0,"",IF(R114="notify",Info!C$2,"")),IF(B114="variable",IF(P114&gt;0,"",IF(R114="notify",Info!C$4,"")),""))</f>
        <v/>
      </c>
      <c r="J114" t="str">
        <f>IF(Sistema!J114="","",Sistema!J114)</f>
        <v/>
      </c>
      <c r="M114" t="str">
        <f>IF(Sistema!M114="","",Sistema!M114)</f>
        <v/>
      </c>
      <c r="N114" s="6" t="s">
        <v>1557</v>
      </c>
      <c r="O114" s="6">
        <v>1</v>
      </c>
      <c r="P114">
        <f>Sistema!P114</f>
        <v>0</v>
      </c>
      <c r="Q114">
        <f>Sistema!Q114</f>
        <v>0</v>
      </c>
      <c r="R114">
        <f>IF(Sistema!R114=1,"notify",Sistema!R114)</f>
        <v>0</v>
      </c>
      <c r="T114" t="str">
        <f>IF(Sistema!T114="","",Sistema!T114)</f>
        <v/>
      </c>
      <c r="U114" t="str">
        <f>IF(Sistema!U114="","",Sistema!U114)</f>
        <v/>
      </c>
      <c r="V114" t="str">
        <f>IF(Sistema!V114="","",Sistema!V114)</f>
        <v/>
      </c>
      <c r="W114" t="str">
        <f>IF(Sistema!W114="","",Sistema!W114)</f>
        <v/>
      </c>
      <c r="X114" s="6">
        <v>1</v>
      </c>
      <c r="Z114" t="str">
        <f>IF(Sistema!Z114="","",Sistema!Z114)</f>
        <v/>
      </c>
      <c r="AA114" t="str">
        <f>IF(Sistema!AA114="","",Sistema!AA114)</f>
        <v/>
      </c>
      <c r="AB114" t="str">
        <f>IF(Sistema!AB114="","",IF(OR(ISNUMBER(SEARCH("MKP",E114)),ISNUMBER(SEARCH("MKP",C114))),"Marketplace &gt; "&amp;Sistema!AB114,Sistema!AB114))</f>
        <v/>
      </c>
      <c r="AC114" t="str">
        <f>IF(Sistema!AC114="","",Sistema!AC114)</f>
        <v/>
      </c>
      <c r="AE114" t="str">
        <f>IF(Sistema!AE114="","",Sistema!AE114)</f>
        <v/>
      </c>
      <c r="AH114" t="str">
        <f>IF(Sistema!AH114="","",Sistema!AH114)</f>
        <v/>
      </c>
      <c r="AQ114" t="str">
        <f>IF(Sistema!AQ114="","",Sistema!AQ114)</f>
        <v/>
      </c>
      <c r="AR114" t="str">
        <f>IF(Sistema!AR114="","",Sistema!AR114)</f>
        <v/>
      </c>
      <c r="AS114" t="str">
        <f>IF(Sistema!AS114="","",Sistema!AS114)</f>
        <v/>
      </c>
      <c r="AT114" t="str">
        <f>IF(Sistema!AT114="","",Sistema!AT114)</f>
        <v/>
      </c>
      <c r="AU114" t="str">
        <f>IF(Sistema!AU114="","",Sistema!AU114)</f>
        <v/>
      </c>
      <c r="AV114" t="str">
        <f>IF(Sistema!AV114="","",Sistema!AV114)</f>
        <v/>
      </c>
      <c r="AW114" t="str">
        <f>IF(Sistema!AW114="","",Sistema!AW114)</f>
        <v/>
      </c>
      <c r="AX114" t="str">
        <f>IF(Sistema!AX114="","",Sistema!AX114)</f>
        <v/>
      </c>
      <c r="AY114" t="str">
        <f>IF(Sistema!AY114="","",Sistema!AY114)</f>
        <v/>
      </c>
      <c r="AZ114" t="str">
        <f>IF(Sistema!AZ114="","",Sistema!AZ114)</f>
        <v/>
      </c>
      <c r="BA114" t="str">
        <f>IF(Sistema!BA114="","",Sistema!BA114)</f>
        <v/>
      </c>
      <c r="BB114" t="str">
        <f>IF(Sistema!BB114="","",Sistema!BB114)</f>
        <v/>
      </c>
      <c r="BC114" t="str">
        <f>IF(Sistema!BC114="","",Sistema!BC114)</f>
        <v/>
      </c>
      <c r="BD114" t="str">
        <f>IF(Sistema!BD114="","",Sistema!BD114)</f>
        <v/>
      </c>
      <c r="BE114" t="str">
        <f>IF(Sistema!BE114="","",Sistema!BE114)</f>
        <v/>
      </c>
      <c r="BF114" t="str">
        <f>IF(Sistema!BF114="","",Sistema!BF114)</f>
        <v/>
      </c>
      <c r="BG114" t="str">
        <f>IF(Sistema!BG114="","",Sistema!BG114)</f>
        <v/>
      </c>
      <c r="BH114" t="str">
        <f>IF(Sistema!BH114="","",Sistema!BH114)</f>
        <v/>
      </c>
      <c r="BI114" t="str">
        <f>IF(Sistema!BI114="","",Sistema!BI114)</f>
        <v/>
      </c>
      <c r="BJ114" t="str">
        <f>IF(Sistema!BJ114="","",Sistema!BJ114)</f>
        <v/>
      </c>
      <c r="BK114" t="str">
        <f>IF(Sistema!BK114="","",Sistema!BK114)</f>
        <v/>
      </c>
      <c r="BL114" t="str">
        <f>IF(Sistema!BL114="","",Sistema!BL114)</f>
        <v/>
      </c>
      <c r="BM114" t="str">
        <f>IF(Sistema!BM114="","",Sistema!BM114)</f>
        <v/>
      </c>
      <c r="BN114" t="str">
        <f>IF(Sistema!BN114="","",Sistema!BN114)</f>
        <v/>
      </c>
      <c r="BO114" t="str">
        <f>IF(Sistema!BO114="","",Sistema!BO114)</f>
        <v/>
      </c>
      <c r="BP114" t="str">
        <f>IF(Sistema!BP114="","",Sistema!BP114)</f>
        <v/>
      </c>
      <c r="BQ114" t="str">
        <f>IF(Sistema!BQ114="","",Sistema!BQ114)</f>
        <v/>
      </c>
      <c r="BR114" t="str">
        <f>IF(Sistema!BR114="","",Sistema!BR114)</f>
        <v/>
      </c>
      <c r="BS114" t="str">
        <f>IF(Sistema!BS114="","",Sistema!BS114)</f>
        <v/>
      </c>
      <c r="BT114" t="str">
        <f>IF(Sistema!BT114="","",Sistema!BT114)</f>
        <v/>
      </c>
      <c r="BU114" t="str">
        <f>IF(Sistema!BU114="","",Sistema!BU114)</f>
        <v/>
      </c>
      <c r="BV114" t="str">
        <f>IF(Sistema!BV114="","",Sistema!BV114)</f>
        <v/>
      </c>
      <c r="BW114" t="str">
        <f>IF(Sistema!BW114="","",Sistema!BW114)</f>
        <v/>
      </c>
      <c r="BX114" t="str">
        <f>IF(Sistema!BX114="","",Sistema!BX114)</f>
        <v/>
      </c>
      <c r="BY114" t="str">
        <f>IF(Sistema!BY114="","",Sistema!BY114)</f>
        <v/>
      </c>
      <c r="BZ114" t="str">
        <f>IF(Sistema!BZ114="","",Sistema!BZ114)</f>
        <v/>
      </c>
      <c r="CA114" t="str">
        <f>IF(Sistema!CA114="","",Sistema!CA114)</f>
        <v/>
      </c>
      <c r="CB114" t="str">
        <f>IF(Sistema!CB114="","",Sistema!CB114)</f>
        <v/>
      </c>
      <c r="CC114" t="str">
        <f>IF(Sistema!CC114="","",Sistema!CC114)</f>
        <v/>
      </c>
      <c r="CD114" t="str">
        <f>IF(Sistema!CD114="","",Sistema!CD114)</f>
        <v/>
      </c>
    </row>
    <row r="115" spans="1:82" x14ac:dyDescent="0.25">
      <c r="A115" t="str">
        <f>IF(Sistema!A115="","",Sistema!A115)</f>
        <v/>
      </c>
      <c r="B115" t="str">
        <f>IF(Sistema!B115="","",Sistema!B115)</f>
        <v/>
      </c>
      <c r="C115" t="str">
        <f>IF(Sistema!C115="","",Sistema!C115)</f>
        <v/>
      </c>
      <c r="D115" t="str">
        <f>IF(Sistema!D115="","",Sistema!D115)</f>
        <v/>
      </c>
      <c r="E115" t="str">
        <f>IF(Sistema!E115="","",Sistema!E115)</f>
        <v/>
      </c>
      <c r="F115">
        <f>IF(P115&gt;0,1,IF(Sistema!F115=0,-1,1))</f>
        <v>-1</v>
      </c>
      <c r="G115">
        <f>Sistema!G115</f>
        <v>0</v>
      </c>
      <c r="H115" t="str">
        <f>IF(OR(R115="notify",R115=1),"visible",IF(OR(Sistema!F115=-1,Sistema!F115=0,ISNUMBER(SEARCH("PCK",E115))),"hidden",IF(P115&gt;0,"visible","hidden")))</f>
        <v>hidden</v>
      </c>
      <c r="I115" t="str">
        <f>IF(B115="simple",IF(P115&gt;0,"",IF(R115="notify",Info!C$2,"")),IF(B115="variable",IF(P115&gt;0,"",IF(R115="notify",Info!C$4,"")),""))</f>
        <v/>
      </c>
      <c r="J115" t="str">
        <f>IF(Sistema!J115="","",Sistema!J115)</f>
        <v/>
      </c>
      <c r="M115" t="str">
        <f>IF(Sistema!M115="","",Sistema!M115)</f>
        <v/>
      </c>
      <c r="N115" s="6" t="s">
        <v>1557</v>
      </c>
      <c r="O115" s="6">
        <v>1</v>
      </c>
      <c r="P115">
        <f>Sistema!P115</f>
        <v>0</v>
      </c>
      <c r="Q115">
        <f>Sistema!Q115</f>
        <v>0</v>
      </c>
      <c r="R115">
        <f>IF(Sistema!R115=1,"notify",Sistema!R115)</f>
        <v>0</v>
      </c>
      <c r="T115" t="str">
        <f>IF(Sistema!T115="","",Sistema!T115)</f>
        <v/>
      </c>
      <c r="U115" t="str">
        <f>IF(Sistema!U115="","",Sistema!U115)</f>
        <v/>
      </c>
      <c r="V115" t="str">
        <f>IF(Sistema!V115="","",Sistema!V115)</f>
        <v/>
      </c>
      <c r="W115" t="str">
        <f>IF(Sistema!W115="","",Sistema!W115)</f>
        <v/>
      </c>
      <c r="X115" s="6">
        <v>1</v>
      </c>
      <c r="Z115" t="str">
        <f>IF(Sistema!Z115="","",Sistema!Z115)</f>
        <v/>
      </c>
      <c r="AA115" t="str">
        <f>IF(Sistema!AA115="","",Sistema!AA115)</f>
        <v/>
      </c>
      <c r="AB115" t="str">
        <f>IF(Sistema!AB115="","",IF(OR(ISNUMBER(SEARCH("MKP",E115)),ISNUMBER(SEARCH("MKP",C115))),"Marketplace &gt; "&amp;Sistema!AB115,Sistema!AB115))</f>
        <v/>
      </c>
      <c r="AC115" t="str">
        <f>IF(Sistema!AC115="","",Sistema!AC115)</f>
        <v/>
      </c>
      <c r="AE115" t="str">
        <f>IF(Sistema!AE115="","",Sistema!AE115)</f>
        <v/>
      </c>
      <c r="AH115" t="str">
        <f>IF(Sistema!AH115="","",Sistema!AH115)</f>
        <v/>
      </c>
      <c r="AQ115" t="str">
        <f>IF(Sistema!AQ115="","",Sistema!AQ115)</f>
        <v/>
      </c>
      <c r="AR115" t="str">
        <f>IF(Sistema!AR115="","",Sistema!AR115)</f>
        <v/>
      </c>
      <c r="AS115" t="str">
        <f>IF(Sistema!AS115="","",Sistema!AS115)</f>
        <v/>
      </c>
      <c r="AT115" t="str">
        <f>IF(Sistema!AT115="","",Sistema!AT115)</f>
        <v/>
      </c>
      <c r="AU115" t="str">
        <f>IF(Sistema!AU115="","",Sistema!AU115)</f>
        <v/>
      </c>
      <c r="AV115" t="str">
        <f>IF(Sistema!AV115="","",Sistema!AV115)</f>
        <v/>
      </c>
      <c r="AW115" t="str">
        <f>IF(Sistema!AW115="","",Sistema!AW115)</f>
        <v/>
      </c>
      <c r="AX115" t="str">
        <f>IF(Sistema!AX115="","",Sistema!AX115)</f>
        <v/>
      </c>
      <c r="AY115" t="str">
        <f>IF(Sistema!AY115="","",Sistema!AY115)</f>
        <v/>
      </c>
      <c r="AZ115" t="str">
        <f>IF(Sistema!AZ115="","",Sistema!AZ115)</f>
        <v/>
      </c>
      <c r="BA115" t="str">
        <f>IF(Sistema!BA115="","",Sistema!BA115)</f>
        <v/>
      </c>
      <c r="BB115" t="str">
        <f>IF(Sistema!BB115="","",Sistema!BB115)</f>
        <v/>
      </c>
      <c r="BC115" t="str">
        <f>IF(Sistema!BC115="","",Sistema!BC115)</f>
        <v/>
      </c>
      <c r="BD115" t="str">
        <f>IF(Sistema!BD115="","",Sistema!BD115)</f>
        <v/>
      </c>
      <c r="BE115" t="str">
        <f>IF(Sistema!BE115="","",Sistema!BE115)</f>
        <v/>
      </c>
      <c r="BF115" t="str">
        <f>IF(Sistema!BF115="","",Sistema!BF115)</f>
        <v/>
      </c>
      <c r="BG115" t="str">
        <f>IF(Sistema!BG115="","",Sistema!BG115)</f>
        <v/>
      </c>
      <c r="BH115" t="str">
        <f>IF(Sistema!BH115="","",Sistema!BH115)</f>
        <v/>
      </c>
      <c r="BI115" t="str">
        <f>IF(Sistema!BI115="","",Sistema!BI115)</f>
        <v/>
      </c>
      <c r="BJ115" t="str">
        <f>IF(Sistema!BJ115="","",Sistema!BJ115)</f>
        <v/>
      </c>
      <c r="BK115" t="str">
        <f>IF(Sistema!BK115="","",Sistema!BK115)</f>
        <v/>
      </c>
      <c r="BL115" t="str">
        <f>IF(Sistema!BL115="","",Sistema!BL115)</f>
        <v/>
      </c>
      <c r="BM115" t="str">
        <f>IF(Sistema!BM115="","",Sistema!BM115)</f>
        <v/>
      </c>
      <c r="BN115" t="str">
        <f>IF(Sistema!BN115="","",Sistema!BN115)</f>
        <v/>
      </c>
      <c r="BO115" t="str">
        <f>IF(Sistema!BO115="","",Sistema!BO115)</f>
        <v/>
      </c>
      <c r="BP115" t="str">
        <f>IF(Sistema!BP115="","",Sistema!BP115)</f>
        <v/>
      </c>
      <c r="BQ115" t="str">
        <f>IF(Sistema!BQ115="","",Sistema!BQ115)</f>
        <v/>
      </c>
      <c r="BR115" t="str">
        <f>IF(Sistema!BR115="","",Sistema!BR115)</f>
        <v/>
      </c>
      <c r="BS115" t="str">
        <f>IF(Sistema!BS115="","",Sistema!BS115)</f>
        <v/>
      </c>
      <c r="BT115" t="str">
        <f>IF(Sistema!BT115="","",Sistema!BT115)</f>
        <v/>
      </c>
      <c r="BU115" t="str">
        <f>IF(Sistema!BU115="","",Sistema!BU115)</f>
        <v/>
      </c>
      <c r="BV115" t="str">
        <f>IF(Sistema!BV115="","",Sistema!BV115)</f>
        <v/>
      </c>
      <c r="BW115" t="str">
        <f>IF(Sistema!BW115="","",Sistema!BW115)</f>
        <v/>
      </c>
      <c r="BX115" t="str">
        <f>IF(Sistema!BX115="","",Sistema!BX115)</f>
        <v/>
      </c>
      <c r="BY115" t="str">
        <f>IF(Sistema!BY115="","",Sistema!BY115)</f>
        <v/>
      </c>
      <c r="BZ115" t="str">
        <f>IF(Sistema!BZ115="","",Sistema!BZ115)</f>
        <v/>
      </c>
      <c r="CA115" t="str">
        <f>IF(Sistema!CA115="","",Sistema!CA115)</f>
        <v/>
      </c>
      <c r="CB115" t="str">
        <f>IF(Sistema!CB115="","",Sistema!CB115)</f>
        <v/>
      </c>
      <c r="CC115" t="str">
        <f>IF(Sistema!CC115="","",Sistema!CC115)</f>
        <v/>
      </c>
      <c r="CD115" t="str">
        <f>IF(Sistema!CD115="","",Sistema!CD115)</f>
        <v/>
      </c>
    </row>
    <row r="116" spans="1:82" x14ac:dyDescent="0.25">
      <c r="A116" t="str">
        <f>IF(Sistema!A116="","",Sistema!A116)</f>
        <v/>
      </c>
      <c r="B116" t="str">
        <f>IF(Sistema!B116="","",Sistema!B116)</f>
        <v/>
      </c>
      <c r="C116" t="str">
        <f>IF(Sistema!C116="","",Sistema!C116)</f>
        <v/>
      </c>
      <c r="D116" t="str">
        <f>IF(Sistema!D116="","",Sistema!D116)</f>
        <v/>
      </c>
      <c r="E116" t="str">
        <f>IF(Sistema!E116="","",Sistema!E116)</f>
        <v/>
      </c>
      <c r="F116">
        <f>IF(P116&gt;0,1,IF(Sistema!F116=0,-1,1))</f>
        <v>-1</v>
      </c>
      <c r="G116">
        <f>Sistema!G116</f>
        <v>0</v>
      </c>
      <c r="H116" t="str">
        <f>IF(OR(R116="notify",R116=1),"visible",IF(OR(Sistema!F116=-1,Sistema!F116=0,ISNUMBER(SEARCH("PCK",E116))),"hidden",IF(P116&gt;0,"visible","hidden")))</f>
        <v>hidden</v>
      </c>
      <c r="I116" t="str">
        <f>IF(B116="simple",IF(P116&gt;0,"",IF(R116="notify",Info!C$2,"")),IF(B116="variable",IF(P116&gt;0,"",IF(R116="notify",Info!C$4,"")),""))</f>
        <v/>
      </c>
      <c r="J116" t="str">
        <f>IF(Sistema!J116="","",Sistema!J116)</f>
        <v/>
      </c>
      <c r="M116" t="str">
        <f>IF(Sistema!M116="","",Sistema!M116)</f>
        <v/>
      </c>
      <c r="N116" s="6" t="s">
        <v>1557</v>
      </c>
      <c r="O116" s="6">
        <v>1</v>
      </c>
      <c r="P116">
        <f>Sistema!P116</f>
        <v>0</v>
      </c>
      <c r="Q116">
        <f>Sistema!Q116</f>
        <v>0</v>
      </c>
      <c r="R116">
        <f>IF(Sistema!R116=1,"notify",Sistema!R116)</f>
        <v>0</v>
      </c>
      <c r="T116" t="str">
        <f>IF(Sistema!T116="","",Sistema!T116)</f>
        <v/>
      </c>
      <c r="U116" t="str">
        <f>IF(Sistema!U116="","",Sistema!U116)</f>
        <v/>
      </c>
      <c r="V116" t="str">
        <f>IF(Sistema!V116="","",Sistema!V116)</f>
        <v/>
      </c>
      <c r="W116" t="str">
        <f>IF(Sistema!W116="","",Sistema!W116)</f>
        <v/>
      </c>
      <c r="X116" s="6">
        <v>1</v>
      </c>
      <c r="Z116" t="str">
        <f>IF(Sistema!Z116="","",Sistema!Z116)</f>
        <v/>
      </c>
      <c r="AA116" t="str">
        <f>IF(Sistema!AA116="","",Sistema!AA116)</f>
        <v/>
      </c>
      <c r="AB116" t="str">
        <f>IF(Sistema!AB116="","",IF(OR(ISNUMBER(SEARCH("MKP",E116)),ISNUMBER(SEARCH("MKP",C116))),"Marketplace &gt; "&amp;Sistema!AB116,Sistema!AB116))</f>
        <v/>
      </c>
      <c r="AC116" t="str">
        <f>IF(Sistema!AC116="","",Sistema!AC116)</f>
        <v/>
      </c>
      <c r="AE116" t="str">
        <f>IF(Sistema!AE116="","",Sistema!AE116)</f>
        <v/>
      </c>
      <c r="AH116" t="str">
        <f>IF(Sistema!AH116="","",Sistema!AH116)</f>
        <v/>
      </c>
      <c r="AQ116" t="str">
        <f>IF(Sistema!AQ116="","",Sistema!AQ116)</f>
        <v/>
      </c>
      <c r="AR116" t="str">
        <f>IF(Sistema!AR116="","",Sistema!AR116)</f>
        <v/>
      </c>
      <c r="AS116" t="str">
        <f>IF(Sistema!AS116="","",Sistema!AS116)</f>
        <v/>
      </c>
      <c r="AT116" t="str">
        <f>IF(Sistema!AT116="","",Sistema!AT116)</f>
        <v/>
      </c>
      <c r="AU116" t="str">
        <f>IF(Sistema!AU116="","",Sistema!AU116)</f>
        <v/>
      </c>
      <c r="AV116" t="str">
        <f>IF(Sistema!AV116="","",Sistema!AV116)</f>
        <v/>
      </c>
      <c r="AW116" t="str">
        <f>IF(Sistema!AW116="","",Sistema!AW116)</f>
        <v/>
      </c>
      <c r="AX116" t="str">
        <f>IF(Sistema!AX116="","",Sistema!AX116)</f>
        <v/>
      </c>
      <c r="AY116" t="str">
        <f>IF(Sistema!AY116="","",Sistema!AY116)</f>
        <v/>
      </c>
      <c r="AZ116" t="str">
        <f>IF(Sistema!AZ116="","",Sistema!AZ116)</f>
        <v/>
      </c>
      <c r="BA116" t="str">
        <f>IF(Sistema!BA116="","",Sistema!BA116)</f>
        <v/>
      </c>
      <c r="BB116" t="str">
        <f>IF(Sistema!BB116="","",Sistema!BB116)</f>
        <v/>
      </c>
      <c r="BC116" t="str">
        <f>IF(Sistema!BC116="","",Sistema!BC116)</f>
        <v/>
      </c>
      <c r="BD116" t="str">
        <f>IF(Sistema!BD116="","",Sistema!BD116)</f>
        <v/>
      </c>
      <c r="BE116" t="str">
        <f>IF(Sistema!BE116="","",Sistema!BE116)</f>
        <v/>
      </c>
      <c r="BF116" t="str">
        <f>IF(Sistema!BF116="","",Sistema!BF116)</f>
        <v/>
      </c>
      <c r="BG116" t="str">
        <f>IF(Sistema!BG116="","",Sistema!BG116)</f>
        <v/>
      </c>
      <c r="BH116" t="str">
        <f>IF(Sistema!BH116="","",Sistema!BH116)</f>
        <v/>
      </c>
      <c r="BI116" t="str">
        <f>IF(Sistema!BI116="","",Sistema!BI116)</f>
        <v/>
      </c>
      <c r="BJ116" t="str">
        <f>IF(Sistema!BJ116="","",Sistema!BJ116)</f>
        <v/>
      </c>
      <c r="BK116" t="str">
        <f>IF(Sistema!BK116="","",Sistema!BK116)</f>
        <v/>
      </c>
      <c r="BL116" t="str">
        <f>IF(Sistema!BL116="","",Sistema!BL116)</f>
        <v/>
      </c>
      <c r="BM116" t="str">
        <f>IF(Sistema!BM116="","",Sistema!BM116)</f>
        <v/>
      </c>
      <c r="BN116" t="str">
        <f>IF(Sistema!BN116="","",Sistema!BN116)</f>
        <v/>
      </c>
      <c r="BO116" t="str">
        <f>IF(Sistema!BO116="","",Sistema!BO116)</f>
        <v/>
      </c>
      <c r="BP116" t="str">
        <f>IF(Sistema!BP116="","",Sistema!BP116)</f>
        <v/>
      </c>
      <c r="BQ116" t="str">
        <f>IF(Sistema!BQ116="","",Sistema!BQ116)</f>
        <v/>
      </c>
      <c r="BR116" t="str">
        <f>IF(Sistema!BR116="","",Sistema!BR116)</f>
        <v/>
      </c>
      <c r="BS116" t="str">
        <f>IF(Sistema!BS116="","",Sistema!BS116)</f>
        <v/>
      </c>
      <c r="BT116" t="str">
        <f>IF(Sistema!BT116="","",Sistema!BT116)</f>
        <v/>
      </c>
      <c r="BU116" t="str">
        <f>IF(Sistema!BU116="","",Sistema!BU116)</f>
        <v/>
      </c>
      <c r="BV116" t="str">
        <f>IF(Sistema!BV116="","",Sistema!BV116)</f>
        <v/>
      </c>
      <c r="BW116" t="str">
        <f>IF(Sistema!BW116="","",Sistema!BW116)</f>
        <v/>
      </c>
      <c r="BX116" t="str">
        <f>IF(Sistema!BX116="","",Sistema!BX116)</f>
        <v/>
      </c>
      <c r="BY116" t="str">
        <f>IF(Sistema!BY116="","",Sistema!BY116)</f>
        <v/>
      </c>
      <c r="BZ116" t="str">
        <f>IF(Sistema!BZ116="","",Sistema!BZ116)</f>
        <v/>
      </c>
      <c r="CA116" t="str">
        <f>IF(Sistema!CA116="","",Sistema!CA116)</f>
        <v/>
      </c>
      <c r="CB116" t="str">
        <f>IF(Sistema!CB116="","",Sistema!CB116)</f>
        <v/>
      </c>
      <c r="CC116" t="str">
        <f>IF(Sistema!CC116="","",Sistema!CC116)</f>
        <v/>
      </c>
      <c r="CD116" t="str">
        <f>IF(Sistema!CD116="","",Sistema!CD116)</f>
        <v/>
      </c>
    </row>
    <row r="117" spans="1:82" x14ac:dyDescent="0.25">
      <c r="A117" t="str">
        <f>IF(Sistema!A117="","",Sistema!A117)</f>
        <v/>
      </c>
      <c r="B117" t="str">
        <f>IF(Sistema!B117="","",Sistema!B117)</f>
        <v/>
      </c>
      <c r="C117" t="str">
        <f>IF(Sistema!C117="","",Sistema!C117)</f>
        <v/>
      </c>
      <c r="D117" t="str">
        <f>IF(Sistema!D117="","",Sistema!D117)</f>
        <v/>
      </c>
      <c r="E117" t="str">
        <f>IF(Sistema!E117="","",Sistema!E117)</f>
        <v/>
      </c>
      <c r="F117">
        <f>IF(P117&gt;0,1,IF(Sistema!F117=0,-1,1))</f>
        <v>-1</v>
      </c>
      <c r="G117">
        <f>Sistema!G117</f>
        <v>0</v>
      </c>
      <c r="H117" t="str">
        <f>IF(OR(R117="notify",R117=1),"visible",IF(OR(Sistema!F117=-1,Sistema!F117=0,ISNUMBER(SEARCH("PCK",E117))),"hidden",IF(P117&gt;0,"visible","hidden")))</f>
        <v>hidden</v>
      </c>
      <c r="I117" t="str">
        <f>IF(B117="simple",IF(P117&gt;0,"",IF(R117="notify",Info!C$2,"")),IF(B117="variable",IF(P117&gt;0,"",IF(R117="notify",Info!C$4,"")),""))</f>
        <v/>
      </c>
      <c r="J117" t="str">
        <f>IF(Sistema!J117="","",Sistema!J117)</f>
        <v/>
      </c>
      <c r="M117" t="str">
        <f>IF(Sistema!M117="","",Sistema!M117)</f>
        <v/>
      </c>
      <c r="N117" s="6" t="s">
        <v>1557</v>
      </c>
      <c r="O117" s="6">
        <v>1</v>
      </c>
      <c r="P117">
        <f>Sistema!P117</f>
        <v>0</v>
      </c>
      <c r="Q117">
        <f>Sistema!Q117</f>
        <v>0</v>
      </c>
      <c r="R117">
        <f>IF(Sistema!R117=1,"notify",Sistema!R117)</f>
        <v>0</v>
      </c>
      <c r="T117" t="str">
        <f>IF(Sistema!T117="","",Sistema!T117)</f>
        <v/>
      </c>
      <c r="U117" t="str">
        <f>IF(Sistema!U117="","",Sistema!U117)</f>
        <v/>
      </c>
      <c r="V117" t="str">
        <f>IF(Sistema!V117="","",Sistema!V117)</f>
        <v/>
      </c>
      <c r="W117" t="str">
        <f>IF(Sistema!W117="","",Sistema!W117)</f>
        <v/>
      </c>
      <c r="X117" s="6">
        <v>1</v>
      </c>
      <c r="Z117" t="str">
        <f>IF(Sistema!Z117="","",Sistema!Z117)</f>
        <v/>
      </c>
      <c r="AA117" t="str">
        <f>IF(Sistema!AA117="","",Sistema!AA117)</f>
        <v/>
      </c>
      <c r="AB117" t="str">
        <f>IF(Sistema!AB117="","",IF(OR(ISNUMBER(SEARCH("MKP",E117)),ISNUMBER(SEARCH("MKP",C117))),"Marketplace &gt; "&amp;Sistema!AB117,Sistema!AB117))</f>
        <v/>
      </c>
      <c r="AC117" t="str">
        <f>IF(Sistema!AC117="","",Sistema!AC117)</f>
        <v/>
      </c>
      <c r="AE117" t="str">
        <f>IF(Sistema!AE117="","",Sistema!AE117)</f>
        <v/>
      </c>
      <c r="AH117" t="str">
        <f>IF(Sistema!AH117="","",Sistema!AH117)</f>
        <v/>
      </c>
      <c r="AQ117" t="str">
        <f>IF(Sistema!AQ117="","",Sistema!AQ117)</f>
        <v/>
      </c>
      <c r="AR117" t="str">
        <f>IF(Sistema!AR117="","",Sistema!AR117)</f>
        <v/>
      </c>
      <c r="AS117" t="str">
        <f>IF(Sistema!AS117="","",Sistema!AS117)</f>
        <v/>
      </c>
      <c r="AT117" t="str">
        <f>IF(Sistema!AT117="","",Sistema!AT117)</f>
        <v/>
      </c>
      <c r="AU117" t="str">
        <f>IF(Sistema!AU117="","",Sistema!AU117)</f>
        <v/>
      </c>
      <c r="AV117" t="str">
        <f>IF(Sistema!AV117="","",Sistema!AV117)</f>
        <v/>
      </c>
      <c r="AW117" t="str">
        <f>IF(Sistema!AW117="","",Sistema!AW117)</f>
        <v/>
      </c>
      <c r="AX117" t="str">
        <f>IF(Sistema!AX117="","",Sistema!AX117)</f>
        <v/>
      </c>
      <c r="AY117" t="str">
        <f>IF(Sistema!AY117="","",Sistema!AY117)</f>
        <v/>
      </c>
      <c r="AZ117" t="str">
        <f>IF(Sistema!AZ117="","",Sistema!AZ117)</f>
        <v/>
      </c>
      <c r="BA117" t="str">
        <f>IF(Sistema!BA117="","",Sistema!BA117)</f>
        <v/>
      </c>
      <c r="BB117" t="str">
        <f>IF(Sistema!BB117="","",Sistema!BB117)</f>
        <v/>
      </c>
      <c r="BC117" t="str">
        <f>IF(Sistema!BC117="","",Sistema!BC117)</f>
        <v/>
      </c>
      <c r="BD117" t="str">
        <f>IF(Sistema!BD117="","",Sistema!BD117)</f>
        <v/>
      </c>
      <c r="BE117" t="str">
        <f>IF(Sistema!BE117="","",Sistema!BE117)</f>
        <v/>
      </c>
      <c r="BF117" t="str">
        <f>IF(Sistema!BF117="","",Sistema!BF117)</f>
        <v/>
      </c>
      <c r="BG117" t="str">
        <f>IF(Sistema!BG117="","",Sistema!BG117)</f>
        <v/>
      </c>
      <c r="BH117" t="str">
        <f>IF(Sistema!BH117="","",Sistema!BH117)</f>
        <v/>
      </c>
      <c r="BI117" t="str">
        <f>IF(Sistema!BI117="","",Sistema!BI117)</f>
        <v/>
      </c>
      <c r="BJ117" t="str">
        <f>IF(Sistema!BJ117="","",Sistema!BJ117)</f>
        <v/>
      </c>
      <c r="BK117" t="str">
        <f>IF(Sistema!BK117="","",Sistema!BK117)</f>
        <v/>
      </c>
      <c r="BL117" t="str">
        <f>IF(Sistema!BL117="","",Sistema!BL117)</f>
        <v/>
      </c>
      <c r="BM117" t="str">
        <f>IF(Sistema!BM117="","",Sistema!BM117)</f>
        <v/>
      </c>
      <c r="BN117" t="str">
        <f>IF(Sistema!BN117="","",Sistema!BN117)</f>
        <v/>
      </c>
      <c r="BO117" t="str">
        <f>IF(Sistema!BO117="","",Sistema!BO117)</f>
        <v/>
      </c>
      <c r="BP117" t="str">
        <f>IF(Sistema!BP117="","",Sistema!BP117)</f>
        <v/>
      </c>
      <c r="BQ117" t="str">
        <f>IF(Sistema!BQ117="","",Sistema!BQ117)</f>
        <v/>
      </c>
      <c r="BR117" t="str">
        <f>IF(Sistema!BR117="","",Sistema!BR117)</f>
        <v/>
      </c>
      <c r="BS117" t="str">
        <f>IF(Sistema!BS117="","",Sistema!BS117)</f>
        <v/>
      </c>
      <c r="BT117" t="str">
        <f>IF(Sistema!BT117="","",Sistema!BT117)</f>
        <v/>
      </c>
      <c r="BU117" t="str">
        <f>IF(Sistema!BU117="","",Sistema!BU117)</f>
        <v/>
      </c>
      <c r="BV117" t="str">
        <f>IF(Sistema!BV117="","",Sistema!BV117)</f>
        <v/>
      </c>
      <c r="BW117" t="str">
        <f>IF(Sistema!BW117="","",Sistema!BW117)</f>
        <v/>
      </c>
      <c r="BX117" t="str">
        <f>IF(Sistema!BX117="","",Sistema!BX117)</f>
        <v/>
      </c>
      <c r="BY117" t="str">
        <f>IF(Sistema!BY117="","",Sistema!BY117)</f>
        <v/>
      </c>
      <c r="BZ117" t="str">
        <f>IF(Sistema!BZ117="","",Sistema!BZ117)</f>
        <v/>
      </c>
      <c r="CA117" t="str">
        <f>IF(Sistema!CA117="","",Sistema!CA117)</f>
        <v/>
      </c>
      <c r="CB117" t="str">
        <f>IF(Sistema!CB117="","",Sistema!CB117)</f>
        <v/>
      </c>
      <c r="CC117" t="str">
        <f>IF(Sistema!CC117="","",Sistema!CC117)</f>
        <v/>
      </c>
      <c r="CD117" t="str">
        <f>IF(Sistema!CD117="","",Sistema!CD117)</f>
        <v/>
      </c>
    </row>
    <row r="118" spans="1:82" x14ac:dyDescent="0.25">
      <c r="A118" t="str">
        <f>IF(Sistema!A118="","",Sistema!A118)</f>
        <v/>
      </c>
      <c r="B118" t="str">
        <f>IF(Sistema!B118="","",Sistema!B118)</f>
        <v/>
      </c>
      <c r="C118" t="str">
        <f>IF(Sistema!C118="","",Sistema!C118)</f>
        <v/>
      </c>
      <c r="D118" t="str">
        <f>IF(Sistema!D118="","",Sistema!D118)</f>
        <v/>
      </c>
      <c r="E118" t="str">
        <f>IF(Sistema!E118="","",Sistema!E118)</f>
        <v/>
      </c>
      <c r="F118">
        <f>IF(P118&gt;0,1,IF(Sistema!F118=0,-1,1))</f>
        <v>-1</v>
      </c>
      <c r="G118">
        <f>Sistema!G118</f>
        <v>0</v>
      </c>
      <c r="H118" t="str">
        <f>IF(OR(R118="notify",R118=1),"visible",IF(OR(Sistema!F118=-1,Sistema!F118=0,ISNUMBER(SEARCH("PCK",E118))),"hidden",IF(P118&gt;0,"visible","hidden")))</f>
        <v>hidden</v>
      </c>
      <c r="I118" t="str">
        <f>IF(B118="simple",IF(P118&gt;0,"",IF(R118="notify",Info!C$2,"")),IF(B118="variable",IF(P118&gt;0,"",IF(R118="notify",Info!C$4,"")),""))</f>
        <v/>
      </c>
      <c r="J118" t="str">
        <f>IF(Sistema!J118="","",Sistema!J118)</f>
        <v/>
      </c>
      <c r="M118" t="str">
        <f>IF(Sistema!M118="","",Sistema!M118)</f>
        <v/>
      </c>
      <c r="N118" s="6" t="s">
        <v>1557</v>
      </c>
      <c r="O118" s="6">
        <v>1</v>
      </c>
      <c r="P118">
        <f>Sistema!P118</f>
        <v>0</v>
      </c>
      <c r="Q118">
        <f>Sistema!Q118</f>
        <v>0</v>
      </c>
      <c r="R118">
        <f>IF(Sistema!R118=1,"notify",Sistema!R118)</f>
        <v>0</v>
      </c>
      <c r="T118" t="str">
        <f>IF(Sistema!T118="","",Sistema!T118)</f>
        <v/>
      </c>
      <c r="U118" t="str">
        <f>IF(Sistema!U118="","",Sistema!U118)</f>
        <v/>
      </c>
      <c r="V118" t="str">
        <f>IF(Sistema!V118="","",Sistema!V118)</f>
        <v/>
      </c>
      <c r="W118" t="str">
        <f>IF(Sistema!W118="","",Sistema!W118)</f>
        <v/>
      </c>
      <c r="X118" s="6">
        <v>1</v>
      </c>
      <c r="Z118" t="str">
        <f>IF(Sistema!Z118="","",Sistema!Z118)</f>
        <v/>
      </c>
      <c r="AA118" t="str">
        <f>IF(Sistema!AA118="","",Sistema!AA118)</f>
        <v/>
      </c>
      <c r="AB118" t="str">
        <f>IF(Sistema!AB118="","",IF(OR(ISNUMBER(SEARCH("MKP",E118)),ISNUMBER(SEARCH("MKP",C118))),"Marketplace &gt; "&amp;Sistema!AB118,Sistema!AB118))</f>
        <v/>
      </c>
      <c r="AC118" t="str">
        <f>IF(Sistema!AC118="","",Sistema!AC118)</f>
        <v/>
      </c>
      <c r="AE118" t="str">
        <f>IF(Sistema!AE118="","",Sistema!AE118)</f>
        <v/>
      </c>
      <c r="AH118" t="str">
        <f>IF(Sistema!AH118="","",Sistema!AH118)</f>
        <v/>
      </c>
      <c r="AQ118" t="str">
        <f>IF(Sistema!AQ118="","",Sistema!AQ118)</f>
        <v/>
      </c>
      <c r="AR118" t="str">
        <f>IF(Sistema!AR118="","",Sistema!AR118)</f>
        <v/>
      </c>
      <c r="AS118" t="str">
        <f>IF(Sistema!AS118="","",Sistema!AS118)</f>
        <v/>
      </c>
      <c r="AT118" t="str">
        <f>IF(Sistema!AT118="","",Sistema!AT118)</f>
        <v/>
      </c>
      <c r="AU118" t="str">
        <f>IF(Sistema!AU118="","",Sistema!AU118)</f>
        <v/>
      </c>
      <c r="AV118" t="str">
        <f>IF(Sistema!AV118="","",Sistema!AV118)</f>
        <v/>
      </c>
      <c r="AW118" t="str">
        <f>IF(Sistema!AW118="","",Sistema!AW118)</f>
        <v/>
      </c>
      <c r="AX118" t="str">
        <f>IF(Sistema!AX118="","",Sistema!AX118)</f>
        <v/>
      </c>
      <c r="AY118" t="str">
        <f>IF(Sistema!AY118="","",Sistema!AY118)</f>
        <v/>
      </c>
      <c r="AZ118" t="str">
        <f>IF(Sistema!AZ118="","",Sistema!AZ118)</f>
        <v/>
      </c>
      <c r="BA118" t="str">
        <f>IF(Sistema!BA118="","",Sistema!BA118)</f>
        <v/>
      </c>
      <c r="BB118" t="str">
        <f>IF(Sistema!BB118="","",Sistema!BB118)</f>
        <v/>
      </c>
      <c r="BC118" t="str">
        <f>IF(Sistema!BC118="","",Sistema!BC118)</f>
        <v/>
      </c>
      <c r="BD118" t="str">
        <f>IF(Sistema!BD118="","",Sistema!BD118)</f>
        <v/>
      </c>
      <c r="BE118" t="str">
        <f>IF(Sistema!BE118="","",Sistema!BE118)</f>
        <v/>
      </c>
      <c r="BF118" t="str">
        <f>IF(Sistema!BF118="","",Sistema!BF118)</f>
        <v/>
      </c>
      <c r="BG118" t="str">
        <f>IF(Sistema!BG118="","",Sistema!BG118)</f>
        <v/>
      </c>
      <c r="BH118" t="str">
        <f>IF(Sistema!BH118="","",Sistema!BH118)</f>
        <v/>
      </c>
      <c r="BI118" t="str">
        <f>IF(Sistema!BI118="","",Sistema!BI118)</f>
        <v/>
      </c>
      <c r="BJ118" t="str">
        <f>IF(Sistema!BJ118="","",Sistema!BJ118)</f>
        <v/>
      </c>
      <c r="BK118" t="str">
        <f>IF(Sistema!BK118="","",Sistema!BK118)</f>
        <v/>
      </c>
      <c r="BL118" t="str">
        <f>IF(Sistema!BL118="","",Sistema!BL118)</f>
        <v/>
      </c>
      <c r="BM118" t="str">
        <f>IF(Sistema!BM118="","",Sistema!BM118)</f>
        <v/>
      </c>
      <c r="BN118" t="str">
        <f>IF(Sistema!BN118="","",Sistema!BN118)</f>
        <v/>
      </c>
      <c r="BO118" t="str">
        <f>IF(Sistema!BO118="","",Sistema!BO118)</f>
        <v/>
      </c>
      <c r="BP118" t="str">
        <f>IF(Sistema!BP118="","",Sistema!BP118)</f>
        <v/>
      </c>
      <c r="BQ118" t="str">
        <f>IF(Sistema!BQ118="","",Sistema!BQ118)</f>
        <v/>
      </c>
      <c r="BR118" t="str">
        <f>IF(Sistema!BR118="","",Sistema!BR118)</f>
        <v/>
      </c>
      <c r="BS118" t="str">
        <f>IF(Sistema!BS118="","",Sistema!BS118)</f>
        <v/>
      </c>
      <c r="BT118" t="str">
        <f>IF(Sistema!BT118="","",Sistema!BT118)</f>
        <v/>
      </c>
      <c r="BU118" t="str">
        <f>IF(Sistema!BU118="","",Sistema!BU118)</f>
        <v/>
      </c>
      <c r="BV118" t="str">
        <f>IF(Sistema!BV118="","",Sistema!BV118)</f>
        <v/>
      </c>
      <c r="BW118" t="str">
        <f>IF(Sistema!BW118="","",Sistema!BW118)</f>
        <v/>
      </c>
      <c r="BX118" t="str">
        <f>IF(Sistema!BX118="","",Sistema!BX118)</f>
        <v/>
      </c>
      <c r="BY118" t="str">
        <f>IF(Sistema!BY118="","",Sistema!BY118)</f>
        <v/>
      </c>
      <c r="BZ118" t="str">
        <f>IF(Sistema!BZ118="","",Sistema!BZ118)</f>
        <v/>
      </c>
      <c r="CA118" t="str">
        <f>IF(Sistema!CA118="","",Sistema!CA118)</f>
        <v/>
      </c>
      <c r="CB118" t="str">
        <f>IF(Sistema!CB118="","",Sistema!CB118)</f>
        <v/>
      </c>
      <c r="CC118" t="str">
        <f>IF(Sistema!CC118="","",Sistema!CC118)</f>
        <v/>
      </c>
      <c r="CD118" t="str">
        <f>IF(Sistema!CD118="","",Sistema!CD118)</f>
        <v/>
      </c>
    </row>
    <row r="119" spans="1:82" x14ac:dyDescent="0.25">
      <c r="A119" t="str">
        <f>IF(Sistema!A119="","",Sistema!A119)</f>
        <v/>
      </c>
      <c r="B119" t="str">
        <f>IF(Sistema!B119="","",Sistema!B119)</f>
        <v/>
      </c>
      <c r="C119" t="str">
        <f>IF(Sistema!C119="","",Sistema!C119)</f>
        <v/>
      </c>
      <c r="D119" t="str">
        <f>IF(Sistema!D119="","",Sistema!D119)</f>
        <v/>
      </c>
      <c r="E119" t="str">
        <f>IF(Sistema!E119="","",Sistema!E119)</f>
        <v/>
      </c>
      <c r="F119">
        <f>IF(P119&gt;0,1,IF(Sistema!F119=0,-1,1))</f>
        <v>-1</v>
      </c>
      <c r="G119">
        <f>Sistema!G119</f>
        <v>0</v>
      </c>
      <c r="H119" t="str">
        <f>IF(OR(R119="notify",R119=1),"visible",IF(OR(Sistema!F119=-1,Sistema!F119=0,ISNUMBER(SEARCH("PCK",E119))),"hidden",IF(P119&gt;0,"visible","hidden")))</f>
        <v>hidden</v>
      </c>
      <c r="I119" t="str">
        <f>IF(B119="simple",IF(P119&gt;0,"",IF(R119="notify",Info!C$2,"")),IF(B119="variable",IF(P119&gt;0,"",IF(R119="notify",Info!C$4,"")),""))</f>
        <v/>
      </c>
      <c r="J119" t="str">
        <f>IF(Sistema!J119="","",Sistema!J119)</f>
        <v/>
      </c>
      <c r="M119" t="str">
        <f>IF(Sistema!M119="","",Sistema!M119)</f>
        <v/>
      </c>
      <c r="N119" s="6" t="s">
        <v>1557</v>
      </c>
      <c r="O119" s="6">
        <v>1</v>
      </c>
      <c r="P119">
        <f>Sistema!P119</f>
        <v>0</v>
      </c>
      <c r="Q119">
        <f>Sistema!Q119</f>
        <v>0</v>
      </c>
      <c r="R119">
        <f>IF(Sistema!R119=1,"notify",Sistema!R119)</f>
        <v>0</v>
      </c>
      <c r="T119" t="str">
        <f>IF(Sistema!T119="","",Sistema!T119)</f>
        <v/>
      </c>
      <c r="U119" t="str">
        <f>IF(Sistema!U119="","",Sistema!U119)</f>
        <v/>
      </c>
      <c r="V119" t="str">
        <f>IF(Sistema!V119="","",Sistema!V119)</f>
        <v/>
      </c>
      <c r="W119" t="str">
        <f>IF(Sistema!W119="","",Sistema!W119)</f>
        <v/>
      </c>
      <c r="X119" s="6">
        <v>1</v>
      </c>
      <c r="Z119" t="str">
        <f>IF(Sistema!Z119="","",Sistema!Z119)</f>
        <v/>
      </c>
      <c r="AA119" t="str">
        <f>IF(Sistema!AA119="","",Sistema!AA119)</f>
        <v/>
      </c>
      <c r="AB119" t="str">
        <f>IF(Sistema!AB119="","",IF(OR(ISNUMBER(SEARCH("MKP",E119)),ISNUMBER(SEARCH("MKP",C119))),"Marketplace &gt; "&amp;Sistema!AB119,Sistema!AB119))</f>
        <v/>
      </c>
      <c r="AC119" t="str">
        <f>IF(Sistema!AC119="","",Sistema!AC119)</f>
        <v/>
      </c>
      <c r="AE119" t="str">
        <f>IF(Sistema!AE119="","",Sistema!AE119)</f>
        <v/>
      </c>
      <c r="AH119" t="str">
        <f>IF(Sistema!AH119="","",Sistema!AH119)</f>
        <v/>
      </c>
      <c r="AQ119" t="str">
        <f>IF(Sistema!AQ119="","",Sistema!AQ119)</f>
        <v/>
      </c>
      <c r="AR119" t="str">
        <f>IF(Sistema!AR119="","",Sistema!AR119)</f>
        <v/>
      </c>
      <c r="AS119" t="str">
        <f>IF(Sistema!AS119="","",Sistema!AS119)</f>
        <v/>
      </c>
      <c r="AT119" t="str">
        <f>IF(Sistema!AT119="","",Sistema!AT119)</f>
        <v/>
      </c>
      <c r="AU119" t="str">
        <f>IF(Sistema!AU119="","",Sistema!AU119)</f>
        <v/>
      </c>
      <c r="AV119" t="str">
        <f>IF(Sistema!AV119="","",Sistema!AV119)</f>
        <v/>
      </c>
      <c r="AW119" t="str">
        <f>IF(Sistema!AW119="","",Sistema!AW119)</f>
        <v/>
      </c>
      <c r="AX119" t="str">
        <f>IF(Sistema!AX119="","",Sistema!AX119)</f>
        <v/>
      </c>
      <c r="AY119" t="str">
        <f>IF(Sistema!AY119="","",Sistema!AY119)</f>
        <v/>
      </c>
      <c r="AZ119" t="str">
        <f>IF(Sistema!AZ119="","",Sistema!AZ119)</f>
        <v/>
      </c>
      <c r="BA119" t="str">
        <f>IF(Sistema!BA119="","",Sistema!BA119)</f>
        <v/>
      </c>
      <c r="BB119" t="str">
        <f>IF(Sistema!BB119="","",Sistema!BB119)</f>
        <v/>
      </c>
      <c r="BC119" t="str">
        <f>IF(Sistema!BC119="","",Sistema!BC119)</f>
        <v/>
      </c>
      <c r="BD119" t="str">
        <f>IF(Sistema!BD119="","",Sistema!BD119)</f>
        <v/>
      </c>
      <c r="BE119" t="str">
        <f>IF(Sistema!BE119="","",Sistema!BE119)</f>
        <v/>
      </c>
      <c r="BF119" t="str">
        <f>IF(Sistema!BF119="","",Sistema!BF119)</f>
        <v/>
      </c>
      <c r="BG119" t="str">
        <f>IF(Sistema!BG119="","",Sistema!BG119)</f>
        <v/>
      </c>
      <c r="BH119" t="str">
        <f>IF(Sistema!BH119="","",Sistema!BH119)</f>
        <v/>
      </c>
      <c r="BI119" t="str">
        <f>IF(Sistema!BI119="","",Sistema!BI119)</f>
        <v/>
      </c>
      <c r="BJ119" t="str">
        <f>IF(Sistema!BJ119="","",Sistema!BJ119)</f>
        <v/>
      </c>
      <c r="BK119" t="str">
        <f>IF(Sistema!BK119="","",Sistema!BK119)</f>
        <v/>
      </c>
      <c r="BL119" t="str">
        <f>IF(Sistema!BL119="","",Sistema!BL119)</f>
        <v/>
      </c>
      <c r="BM119" t="str">
        <f>IF(Sistema!BM119="","",Sistema!BM119)</f>
        <v/>
      </c>
      <c r="BN119" t="str">
        <f>IF(Sistema!BN119="","",Sistema!BN119)</f>
        <v/>
      </c>
      <c r="BO119" t="str">
        <f>IF(Sistema!BO119="","",Sistema!BO119)</f>
        <v/>
      </c>
      <c r="BP119" t="str">
        <f>IF(Sistema!BP119="","",Sistema!BP119)</f>
        <v/>
      </c>
      <c r="BQ119" t="str">
        <f>IF(Sistema!BQ119="","",Sistema!BQ119)</f>
        <v/>
      </c>
      <c r="BR119" t="str">
        <f>IF(Sistema!BR119="","",Sistema!BR119)</f>
        <v/>
      </c>
      <c r="BS119" t="str">
        <f>IF(Sistema!BS119="","",Sistema!BS119)</f>
        <v/>
      </c>
      <c r="BT119" t="str">
        <f>IF(Sistema!BT119="","",Sistema!BT119)</f>
        <v/>
      </c>
      <c r="BU119" t="str">
        <f>IF(Sistema!BU119="","",Sistema!BU119)</f>
        <v/>
      </c>
      <c r="BV119" t="str">
        <f>IF(Sistema!BV119="","",Sistema!BV119)</f>
        <v/>
      </c>
      <c r="BW119" t="str">
        <f>IF(Sistema!BW119="","",Sistema!BW119)</f>
        <v/>
      </c>
      <c r="BX119" t="str">
        <f>IF(Sistema!BX119="","",Sistema!BX119)</f>
        <v/>
      </c>
      <c r="BY119" t="str">
        <f>IF(Sistema!BY119="","",Sistema!BY119)</f>
        <v/>
      </c>
      <c r="BZ119" t="str">
        <f>IF(Sistema!BZ119="","",Sistema!BZ119)</f>
        <v/>
      </c>
      <c r="CA119" t="str">
        <f>IF(Sistema!CA119="","",Sistema!CA119)</f>
        <v/>
      </c>
      <c r="CB119" t="str">
        <f>IF(Sistema!CB119="","",Sistema!CB119)</f>
        <v/>
      </c>
      <c r="CC119" t="str">
        <f>IF(Sistema!CC119="","",Sistema!CC119)</f>
        <v/>
      </c>
      <c r="CD119" t="str">
        <f>IF(Sistema!CD119="","",Sistema!CD119)</f>
        <v/>
      </c>
    </row>
    <row r="120" spans="1:82" x14ac:dyDescent="0.25">
      <c r="A120" t="str">
        <f>IF(Sistema!A120="","",Sistema!A120)</f>
        <v/>
      </c>
      <c r="B120" t="str">
        <f>IF(Sistema!B120="","",Sistema!B120)</f>
        <v/>
      </c>
      <c r="C120" t="str">
        <f>IF(Sistema!C120="","",Sistema!C120)</f>
        <v/>
      </c>
      <c r="D120" t="str">
        <f>IF(Sistema!D120="","",Sistema!D120)</f>
        <v/>
      </c>
      <c r="E120" t="str">
        <f>IF(Sistema!E120="","",Sistema!E120)</f>
        <v/>
      </c>
      <c r="F120">
        <f>IF(P120&gt;0,1,IF(Sistema!F120=0,-1,1))</f>
        <v>-1</v>
      </c>
      <c r="G120">
        <f>Sistema!G120</f>
        <v>0</v>
      </c>
      <c r="H120" t="str">
        <f>IF(OR(R120="notify",R120=1),"visible",IF(OR(Sistema!F120=-1,Sistema!F120=0,ISNUMBER(SEARCH("PCK",E120))),"hidden",IF(P120&gt;0,"visible","hidden")))</f>
        <v>hidden</v>
      </c>
      <c r="I120" t="str">
        <f>IF(B120="simple",IF(P120&gt;0,"",IF(R120="notify",Info!C$2,"")),IF(B120="variable",IF(P120&gt;0,"",IF(R120="notify",Info!C$4,"")),""))</f>
        <v/>
      </c>
      <c r="J120" t="str">
        <f>IF(Sistema!J120="","",Sistema!J120)</f>
        <v/>
      </c>
      <c r="M120" t="str">
        <f>IF(Sistema!M120="","",Sistema!M120)</f>
        <v/>
      </c>
      <c r="N120" s="6" t="s">
        <v>1557</v>
      </c>
      <c r="O120" s="6">
        <v>1</v>
      </c>
      <c r="P120">
        <f>Sistema!P120</f>
        <v>0</v>
      </c>
      <c r="Q120">
        <f>Sistema!Q120</f>
        <v>0</v>
      </c>
      <c r="R120">
        <f>IF(Sistema!R120=1,"notify",Sistema!R120)</f>
        <v>0</v>
      </c>
      <c r="T120" t="str">
        <f>IF(Sistema!T120="","",Sistema!T120)</f>
        <v/>
      </c>
      <c r="U120" t="str">
        <f>IF(Sistema!U120="","",Sistema!U120)</f>
        <v/>
      </c>
      <c r="V120" t="str">
        <f>IF(Sistema!V120="","",Sistema!V120)</f>
        <v/>
      </c>
      <c r="W120" t="str">
        <f>IF(Sistema!W120="","",Sistema!W120)</f>
        <v/>
      </c>
      <c r="X120" s="6">
        <v>1</v>
      </c>
      <c r="Z120" t="str">
        <f>IF(Sistema!Z120="","",Sistema!Z120)</f>
        <v/>
      </c>
      <c r="AA120" t="str">
        <f>IF(Sistema!AA120="","",Sistema!AA120)</f>
        <v/>
      </c>
      <c r="AB120" t="str">
        <f>IF(Sistema!AB120="","",IF(OR(ISNUMBER(SEARCH("MKP",E120)),ISNUMBER(SEARCH("MKP",C120))),"Marketplace &gt; "&amp;Sistema!AB120,Sistema!AB120))</f>
        <v/>
      </c>
      <c r="AC120" t="str">
        <f>IF(Sistema!AC120="","",Sistema!AC120)</f>
        <v/>
      </c>
      <c r="AE120" t="str">
        <f>IF(Sistema!AE120="","",Sistema!AE120)</f>
        <v/>
      </c>
      <c r="AH120" t="str">
        <f>IF(Sistema!AH120="","",Sistema!AH120)</f>
        <v/>
      </c>
      <c r="AQ120" t="str">
        <f>IF(Sistema!AQ120="","",Sistema!AQ120)</f>
        <v/>
      </c>
      <c r="AR120" t="str">
        <f>IF(Sistema!AR120="","",Sistema!AR120)</f>
        <v/>
      </c>
      <c r="AS120" t="str">
        <f>IF(Sistema!AS120="","",Sistema!AS120)</f>
        <v/>
      </c>
      <c r="AT120" t="str">
        <f>IF(Sistema!AT120="","",Sistema!AT120)</f>
        <v/>
      </c>
      <c r="AU120" t="str">
        <f>IF(Sistema!AU120="","",Sistema!AU120)</f>
        <v/>
      </c>
      <c r="AV120" t="str">
        <f>IF(Sistema!AV120="","",Sistema!AV120)</f>
        <v/>
      </c>
      <c r="AW120" t="str">
        <f>IF(Sistema!AW120="","",Sistema!AW120)</f>
        <v/>
      </c>
      <c r="AX120" t="str">
        <f>IF(Sistema!AX120="","",Sistema!AX120)</f>
        <v/>
      </c>
      <c r="AY120" t="str">
        <f>IF(Sistema!AY120="","",Sistema!AY120)</f>
        <v/>
      </c>
      <c r="AZ120" t="str">
        <f>IF(Sistema!AZ120="","",Sistema!AZ120)</f>
        <v/>
      </c>
      <c r="BA120" t="str">
        <f>IF(Sistema!BA120="","",Sistema!BA120)</f>
        <v/>
      </c>
      <c r="BB120" t="str">
        <f>IF(Sistema!BB120="","",Sistema!BB120)</f>
        <v/>
      </c>
      <c r="BC120" t="str">
        <f>IF(Sistema!BC120="","",Sistema!BC120)</f>
        <v/>
      </c>
      <c r="BD120" t="str">
        <f>IF(Sistema!BD120="","",Sistema!BD120)</f>
        <v/>
      </c>
      <c r="BE120" t="str">
        <f>IF(Sistema!BE120="","",Sistema!BE120)</f>
        <v/>
      </c>
      <c r="BF120" t="str">
        <f>IF(Sistema!BF120="","",Sistema!BF120)</f>
        <v/>
      </c>
      <c r="BG120" t="str">
        <f>IF(Sistema!BG120="","",Sistema!BG120)</f>
        <v/>
      </c>
      <c r="BH120" t="str">
        <f>IF(Sistema!BH120="","",Sistema!BH120)</f>
        <v/>
      </c>
      <c r="BI120" t="str">
        <f>IF(Sistema!BI120="","",Sistema!BI120)</f>
        <v/>
      </c>
      <c r="BJ120" t="str">
        <f>IF(Sistema!BJ120="","",Sistema!BJ120)</f>
        <v/>
      </c>
      <c r="BK120" t="str">
        <f>IF(Sistema!BK120="","",Sistema!BK120)</f>
        <v/>
      </c>
      <c r="BL120" t="str">
        <f>IF(Sistema!BL120="","",Sistema!BL120)</f>
        <v/>
      </c>
      <c r="BM120" t="str">
        <f>IF(Sistema!BM120="","",Sistema!BM120)</f>
        <v/>
      </c>
      <c r="BN120" t="str">
        <f>IF(Sistema!BN120="","",Sistema!BN120)</f>
        <v/>
      </c>
      <c r="BO120" t="str">
        <f>IF(Sistema!BO120="","",Sistema!BO120)</f>
        <v/>
      </c>
      <c r="BP120" t="str">
        <f>IF(Sistema!BP120="","",Sistema!BP120)</f>
        <v/>
      </c>
      <c r="BQ120" t="str">
        <f>IF(Sistema!BQ120="","",Sistema!BQ120)</f>
        <v/>
      </c>
      <c r="BR120" t="str">
        <f>IF(Sistema!BR120="","",Sistema!BR120)</f>
        <v/>
      </c>
      <c r="BS120" t="str">
        <f>IF(Sistema!BS120="","",Sistema!BS120)</f>
        <v/>
      </c>
      <c r="BT120" t="str">
        <f>IF(Sistema!BT120="","",Sistema!BT120)</f>
        <v/>
      </c>
      <c r="BU120" t="str">
        <f>IF(Sistema!BU120="","",Sistema!BU120)</f>
        <v/>
      </c>
      <c r="BV120" t="str">
        <f>IF(Sistema!BV120="","",Sistema!BV120)</f>
        <v/>
      </c>
      <c r="BW120" t="str">
        <f>IF(Sistema!BW120="","",Sistema!BW120)</f>
        <v/>
      </c>
      <c r="BX120" t="str">
        <f>IF(Sistema!BX120="","",Sistema!BX120)</f>
        <v/>
      </c>
      <c r="BY120" t="str">
        <f>IF(Sistema!BY120="","",Sistema!BY120)</f>
        <v/>
      </c>
      <c r="BZ120" t="str">
        <f>IF(Sistema!BZ120="","",Sistema!BZ120)</f>
        <v/>
      </c>
      <c r="CA120" t="str">
        <f>IF(Sistema!CA120="","",Sistema!CA120)</f>
        <v/>
      </c>
      <c r="CB120" t="str">
        <f>IF(Sistema!CB120="","",Sistema!CB120)</f>
        <v/>
      </c>
      <c r="CC120" t="str">
        <f>IF(Sistema!CC120="","",Sistema!CC120)</f>
        <v/>
      </c>
      <c r="CD120" t="str">
        <f>IF(Sistema!CD120="","",Sistema!CD120)</f>
        <v/>
      </c>
    </row>
    <row r="121" spans="1:82" x14ac:dyDescent="0.25">
      <c r="A121" t="str">
        <f>IF(Sistema!A121="","",Sistema!A121)</f>
        <v/>
      </c>
      <c r="B121" t="str">
        <f>IF(Sistema!B121="","",Sistema!B121)</f>
        <v/>
      </c>
      <c r="C121" t="str">
        <f>IF(Sistema!C121="","",Sistema!C121)</f>
        <v/>
      </c>
      <c r="D121" t="str">
        <f>IF(Sistema!D121="","",Sistema!D121)</f>
        <v/>
      </c>
      <c r="E121" t="str">
        <f>IF(Sistema!E121="","",Sistema!E121)</f>
        <v/>
      </c>
      <c r="F121">
        <f>IF(P121&gt;0,1,IF(Sistema!F121=0,-1,1))</f>
        <v>-1</v>
      </c>
      <c r="G121">
        <f>Sistema!G121</f>
        <v>0</v>
      </c>
      <c r="H121" t="str">
        <f>IF(OR(R121="notify",R121=1),"visible",IF(OR(Sistema!F121=-1,Sistema!F121=0,ISNUMBER(SEARCH("PCK",E121))),"hidden",IF(P121&gt;0,"visible","hidden")))</f>
        <v>hidden</v>
      </c>
      <c r="I121" t="str">
        <f>IF(B121="simple",IF(P121&gt;0,"",IF(R121="notify",Info!C$2,"")),IF(B121="variable",IF(P121&gt;0,"",IF(R121="notify",Info!C$4,"")),""))</f>
        <v/>
      </c>
      <c r="J121" t="str">
        <f>IF(Sistema!J121="","",Sistema!J121)</f>
        <v/>
      </c>
      <c r="M121" t="str">
        <f>IF(Sistema!M121="","",Sistema!M121)</f>
        <v/>
      </c>
      <c r="N121" s="6" t="s">
        <v>1557</v>
      </c>
      <c r="O121" s="6">
        <v>1</v>
      </c>
      <c r="P121">
        <f>Sistema!P121</f>
        <v>0</v>
      </c>
      <c r="Q121">
        <f>Sistema!Q121</f>
        <v>0</v>
      </c>
      <c r="R121">
        <f>IF(Sistema!R121=1,"notify",Sistema!R121)</f>
        <v>0</v>
      </c>
      <c r="T121" t="str">
        <f>IF(Sistema!T121="","",Sistema!T121)</f>
        <v/>
      </c>
      <c r="U121" t="str">
        <f>IF(Sistema!U121="","",Sistema!U121)</f>
        <v/>
      </c>
      <c r="V121" t="str">
        <f>IF(Sistema!V121="","",Sistema!V121)</f>
        <v/>
      </c>
      <c r="W121" t="str">
        <f>IF(Sistema!W121="","",Sistema!W121)</f>
        <v/>
      </c>
      <c r="X121" s="6">
        <v>1</v>
      </c>
      <c r="Z121" t="str">
        <f>IF(Sistema!Z121="","",Sistema!Z121)</f>
        <v/>
      </c>
      <c r="AA121" t="str">
        <f>IF(Sistema!AA121="","",Sistema!AA121)</f>
        <v/>
      </c>
      <c r="AB121" t="str">
        <f>IF(Sistema!AB121="","",IF(OR(ISNUMBER(SEARCH("MKP",E121)),ISNUMBER(SEARCH("MKP",C121))),"Marketplace &gt; "&amp;Sistema!AB121,Sistema!AB121))</f>
        <v/>
      </c>
      <c r="AC121" t="str">
        <f>IF(Sistema!AC121="","",Sistema!AC121)</f>
        <v/>
      </c>
      <c r="AE121" t="str">
        <f>IF(Sistema!AE121="","",Sistema!AE121)</f>
        <v/>
      </c>
      <c r="AH121" t="str">
        <f>IF(Sistema!AH121="","",Sistema!AH121)</f>
        <v/>
      </c>
      <c r="AQ121" t="str">
        <f>IF(Sistema!AQ121="","",Sistema!AQ121)</f>
        <v/>
      </c>
      <c r="AR121" t="str">
        <f>IF(Sistema!AR121="","",Sistema!AR121)</f>
        <v/>
      </c>
      <c r="AS121" t="str">
        <f>IF(Sistema!AS121="","",Sistema!AS121)</f>
        <v/>
      </c>
      <c r="AT121" t="str">
        <f>IF(Sistema!AT121="","",Sistema!AT121)</f>
        <v/>
      </c>
      <c r="AU121" t="str">
        <f>IF(Sistema!AU121="","",Sistema!AU121)</f>
        <v/>
      </c>
      <c r="AV121" t="str">
        <f>IF(Sistema!AV121="","",Sistema!AV121)</f>
        <v/>
      </c>
      <c r="AW121" t="str">
        <f>IF(Sistema!AW121="","",Sistema!AW121)</f>
        <v/>
      </c>
      <c r="AX121" t="str">
        <f>IF(Sistema!AX121="","",Sistema!AX121)</f>
        <v/>
      </c>
      <c r="AY121" t="str">
        <f>IF(Sistema!AY121="","",Sistema!AY121)</f>
        <v/>
      </c>
      <c r="AZ121" t="str">
        <f>IF(Sistema!AZ121="","",Sistema!AZ121)</f>
        <v/>
      </c>
      <c r="BA121" t="str">
        <f>IF(Sistema!BA121="","",Sistema!BA121)</f>
        <v/>
      </c>
      <c r="BB121" t="str">
        <f>IF(Sistema!BB121="","",Sistema!BB121)</f>
        <v/>
      </c>
      <c r="BC121" t="str">
        <f>IF(Sistema!BC121="","",Sistema!BC121)</f>
        <v/>
      </c>
      <c r="BD121" t="str">
        <f>IF(Sistema!BD121="","",Sistema!BD121)</f>
        <v/>
      </c>
      <c r="BE121" t="str">
        <f>IF(Sistema!BE121="","",Sistema!BE121)</f>
        <v/>
      </c>
      <c r="BF121" t="str">
        <f>IF(Sistema!BF121="","",Sistema!BF121)</f>
        <v/>
      </c>
      <c r="BG121" t="str">
        <f>IF(Sistema!BG121="","",Sistema!BG121)</f>
        <v/>
      </c>
      <c r="BH121" t="str">
        <f>IF(Sistema!BH121="","",Sistema!BH121)</f>
        <v/>
      </c>
      <c r="BI121" t="str">
        <f>IF(Sistema!BI121="","",Sistema!BI121)</f>
        <v/>
      </c>
      <c r="BJ121" t="str">
        <f>IF(Sistema!BJ121="","",Sistema!BJ121)</f>
        <v/>
      </c>
      <c r="BK121" t="str">
        <f>IF(Sistema!BK121="","",Sistema!BK121)</f>
        <v/>
      </c>
      <c r="BL121" t="str">
        <f>IF(Sistema!BL121="","",Sistema!BL121)</f>
        <v/>
      </c>
      <c r="BM121" t="str">
        <f>IF(Sistema!BM121="","",Sistema!BM121)</f>
        <v/>
      </c>
      <c r="BN121" t="str">
        <f>IF(Sistema!BN121="","",Sistema!BN121)</f>
        <v/>
      </c>
      <c r="BO121" t="str">
        <f>IF(Sistema!BO121="","",Sistema!BO121)</f>
        <v/>
      </c>
      <c r="BP121" t="str">
        <f>IF(Sistema!BP121="","",Sistema!BP121)</f>
        <v/>
      </c>
      <c r="BQ121" t="str">
        <f>IF(Sistema!BQ121="","",Sistema!BQ121)</f>
        <v/>
      </c>
      <c r="BR121" t="str">
        <f>IF(Sistema!BR121="","",Sistema!BR121)</f>
        <v/>
      </c>
      <c r="BS121" t="str">
        <f>IF(Sistema!BS121="","",Sistema!BS121)</f>
        <v/>
      </c>
      <c r="BT121" t="str">
        <f>IF(Sistema!BT121="","",Sistema!BT121)</f>
        <v/>
      </c>
      <c r="BU121" t="str">
        <f>IF(Sistema!BU121="","",Sistema!BU121)</f>
        <v/>
      </c>
      <c r="BV121" t="str">
        <f>IF(Sistema!BV121="","",Sistema!BV121)</f>
        <v/>
      </c>
      <c r="BW121" t="str">
        <f>IF(Sistema!BW121="","",Sistema!BW121)</f>
        <v/>
      </c>
      <c r="BX121" t="str">
        <f>IF(Sistema!BX121="","",Sistema!BX121)</f>
        <v/>
      </c>
      <c r="BY121" t="str">
        <f>IF(Sistema!BY121="","",Sistema!BY121)</f>
        <v/>
      </c>
      <c r="BZ121" t="str">
        <f>IF(Sistema!BZ121="","",Sistema!BZ121)</f>
        <v/>
      </c>
      <c r="CA121" t="str">
        <f>IF(Sistema!CA121="","",Sistema!CA121)</f>
        <v/>
      </c>
      <c r="CB121" t="str">
        <f>IF(Sistema!CB121="","",Sistema!CB121)</f>
        <v/>
      </c>
      <c r="CC121" t="str">
        <f>IF(Sistema!CC121="","",Sistema!CC121)</f>
        <v/>
      </c>
      <c r="CD121" t="str">
        <f>IF(Sistema!CD121="","",Sistema!CD121)</f>
        <v/>
      </c>
    </row>
    <row r="122" spans="1:82" x14ac:dyDescent="0.25">
      <c r="A122" t="str">
        <f>IF(Sistema!A122="","",Sistema!A122)</f>
        <v/>
      </c>
      <c r="B122" t="str">
        <f>IF(Sistema!B122="","",Sistema!B122)</f>
        <v/>
      </c>
      <c r="C122" t="str">
        <f>IF(Sistema!C122="","",Sistema!C122)</f>
        <v/>
      </c>
      <c r="D122" t="str">
        <f>IF(Sistema!D122="","",Sistema!D122)</f>
        <v/>
      </c>
      <c r="E122" t="str">
        <f>IF(Sistema!E122="","",Sistema!E122)</f>
        <v/>
      </c>
      <c r="F122">
        <f>IF(P122&gt;0,1,IF(Sistema!F122=0,-1,1))</f>
        <v>-1</v>
      </c>
      <c r="G122">
        <f>Sistema!G122</f>
        <v>0</v>
      </c>
      <c r="H122" t="str">
        <f>IF(OR(R122="notify",R122=1),"visible",IF(OR(Sistema!F122=-1,Sistema!F122=0,ISNUMBER(SEARCH("PCK",E122))),"hidden",IF(P122&gt;0,"visible","hidden")))</f>
        <v>hidden</v>
      </c>
      <c r="I122" t="str">
        <f>IF(B122="simple",IF(P122&gt;0,"",IF(R122="notify",Info!C$2,"")),IF(B122="variable",IF(P122&gt;0,"",IF(R122="notify",Info!C$4,"")),""))</f>
        <v/>
      </c>
      <c r="J122" t="str">
        <f>IF(Sistema!J122="","",Sistema!J122)</f>
        <v/>
      </c>
      <c r="M122" t="str">
        <f>IF(Sistema!M122="","",Sistema!M122)</f>
        <v/>
      </c>
      <c r="N122" s="6" t="s">
        <v>1557</v>
      </c>
      <c r="O122" s="6">
        <v>1</v>
      </c>
      <c r="P122">
        <f>Sistema!P122</f>
        <v>0</v>
      </c>
      <c r="Q122">
        <f>Sistema!Q122</f>
        <v>0</v>
      </c>
      <c r="R122">
        <f>IF(Sistema!R122=1,"notify",Sistema!R122)</f>
        <v>0</v>
      </c>
      <c r="T122" t="str">
        <f>IF(Sistema!T122="","",Sistema!T122)</f>
        <v/>
      </c>
      <c r="U122" t="str">
        <f>IF(Sistema!U122="","",Sistema!U122)</f>
        <v/>
      </c>
      <c r="V122" t="str">
        <f>IF(Sistema!V122="","",Sistema!V122)</f>
        <v/>
      </c>
      <c r="W122" t="str">
        <f>IF(Sistema!W122="","",Sistema!W122)</f>
        <v/>
      </c>
      <c r="X122" s="6">
        <v>1</v>
      </c>
      <c r="Z122" t="str">
        <f>IF(Sistema!Z122="","",Sistema!Z122)</f>
        <v/>
      </c>
      <c r="AA122" t="str">
        <f>IF(Sistema!AA122="","",Sistema!AA122)</f>
        <v/>
      </c>
      <c r="AB122" t="str">
        <f>IF(Sistema!AB122="","",IF(OR(ISNUMBER(SEARCH("MKP",E122)),ISNUMBER(SEARCH("MKP",C122))),"Marketplace &gt; "&amp;Sistema!AB122,Sistema!AB122))</f>
        <v/>
      </c>
      <c r="AC122" t="str">
        <f>IF(Sistema!AC122="","",Sistema!AC122)</f>
        <v/>
      </c>
      <c r="AE122" t="str">
        <f>IF(Sistema!AE122="","",Sistema!AE122)</f>
        <v/>
      </c>
      <c r="AH122" t="str">
        <f>IF(Sistema!AH122="","",Sistema!AH122)</f>
        <v/>
      </c>
      <c r="AQ122" t="str">
        <f>IF(Sistema!AQ122="","",Sistema!AQ122)</f>
        <v/>
      </c>
      <c r="AR122" t="str">
        <f>IF(Sistema!AR122="","",Sistema!AR122)</f>
        <v/>
      </c>
      <c r="AS122" t="str">
        <f>IF(Sistema!AS122="","",Sistema!AS122)</f>
        <v/>
      </c>
      <c r="AT122" t="str">
        <f>IF(Sistema!AT122="","",Sistema!AT122)</f>
        <v/>
      </c>
      <c r="AU122" t="str">
        <f>IF(Sistema!AU122="","",Sistema!AU122)</f>
        <v/>
      </c>
      <c r="AV122" t="str">
        <f>IF(Sistema!AV122="","",Sistema!AV122)</f>
        <v/>
      </c>
      <c r="AW122" t="str">
        <f>IF(Sistema!AW122="","",Sistema!AW122)</f>
        <v/>
      </c>
      <c r="AX122" t="str">
        <f>IF(Sistema!AX122="","",Sistema!AX122)</f>
        <v/>
      </c>
      <c r="AY122" t="str">
        <f>IF(Sistema!AY122="","",Sistema!AY122)</f>
        <v/>
      </c>
      <c r="AZ122" t="str">
        <f>IF(Sistema!AZ122="","",Sistema!AZ122)</f>
        <v/>
      </c>
      <c r="BA122" t="str">
        <f>IF(Sistema!BA122="","",Sistema!BA122)</f>
        <v/>
      </c>
      <c r="BB122" t="str">
        <f>IF(Sistema!BB122="","",Sistema!BB122)</f>
        <v/>
      </c>
      <c r="BC122" t="str">
        <f>IF(Sistema!BC122="","",Sistema!BC122)</f>
        <v/>
      </c>
      <c r="BD122" t="str">
        <f>IF(Sistema!BD122="","",Sistema!BD122)</f>
        <v/>
      </c>
      <c r="BE122" t="str">
        <f>IF(Sistema!BE122="","",Sistema!BE122)</f>
        <v/>
      </c>
      <c r="BF122" t="str">
        <f>IF(Sistema!BF122="","",Sistema!BF122)</f>
        <v/>
      </c>
      <c r="BG122" t="str">
        <f>IF(Sistema!BG122="","",Sistema!BG122)</f>
        <v/>
      </c>
      <c r="BH122" t="str">
        <f>IF(Sistema!BH122="","",Sistema!BH122)</f>
        <v/>
      </c>
      <c r="BI122" t="str">
        <f>IF(Sistema!BI122="","",Sistema!BI122)</f>
        <v/>
      </c>
      <c r="BJ122" t="str">
        <f>IF(Sistema!BJ122="","",Sistema!BJ122)</f>
        <v/>
      </c>
      <c r="BK122" t="str">
        <f>IF(Sistema!BK122="","",Sistema!BK122)</f>
        <v/>
      </c>
      <c r="BL122" t="str">
        <f>IF(Sistema!BL122="","",Sistema!BL122)</f>
        <v/>
      </c>
      <c r="BM122" t="str">
        <f>IF(Sistema!BM122="","",Sistema!BM122)</f>
        <v/>
      </c>
      <c r="BN122" t="str">
        <f>IF(Sistema!BN122="","",Sistema!BN122)</f>
        <v/>
      </c>
      <c r="BO122" t="str">
        <f>IF(Sistema!BO122="","",Sistema!BO122)</f>
        <v/>
      </c>
      <c r="BP122" t="str">
        <f>IF(Sistema!BP122="","",Sistema!BP122)</f>
        <v/>
      </c>
      <c r="BQ122" t="str">
        <f>IF(Sistema!BQ122="","",Sistema!BQ122)</f>
        <v/>
      </c>
      <c r="BR122" t="str">
        <f>IF(Sistema!BR122="","",Sistema!BR122)</f>
        <v/>
      </c>
      <c r="BS122" t="str">
        <f>IF(Sistema!BS122="","",Sistema!BS122)</f>
        <v/>
      </c>
      <c r="BT122" t="str">
        <f>IF(Sistema!BT122="","",Sistema!BT122)</f>
        <v/>
      </c>
      <c r="BU122" t="str">
        <f>IF(Sistema!BU122="","",Sistema!BU122)</f>
        <v/>
      </c>
      <c r="BV122" t="str">
        <f>IF(Sistema!BV122="","",Sistema!BV122)</f>
        <v/>
      </c>
      <c r="BW122" t="str">
        <f>IF(Sistema!BW122="","",Sistema!BW122)</f>
        <v/>
      </c>
      <c r="BX122" t="str">
        <f>IF(Sistema!BX122="","",Sistema!BX122)</f>
        <v/>
      </c>
      <c r="BY122" t="str">
        <f>IF(Sistema!BY122="","",Sistema!BY122)</f>
        <v/>
      </c>
      <c r="BZ122" t="str">
        <f>IF(Sistema!BZ122="","",Sistema!BZ122)</f>
        <v/>
      </c>
      <c r="CA122" t="str">
        <f>IF(Sistema!CA122="","",Sistema!CA122)</f>
        <v/>
      </c>
      <c r="CB122" t="str">
        <f>IF(Sistema!CB122="","",Sistema!CB122)</f>
        <v/>
      </c>
      <c r="CC122" t="str">
        <f>IF(Sistema!CC122="","",Sistema!CC122)</f>
        <v/>
      </c>
      <c r="CD122" t="str">
        <f>IF(Sistema!CD122="","",Sistema!CD122)</f>
        <v/>
      </c>
    </row>
    <row r="123" spans="1:82" x14ac:dyDescent="0.25">
      <c r="A123" t="str">
        <f>IF(Sistema!A123="","",Sistema!A123)</f>
        <v/>
      </c>
      <c r="B123" t="str">
        <f>IF(Sistema!B123="","",Sistema!B123)</f>
        <v/>
      </c>
      <c r="C123" t="str">
        <f>IF(Sistema!C123="","",Sistema!C123)</f>
        <v/>
      </c>
      <c r="D123" t="str">
        <f>IF(Sistema!D123="","",Sistema!D123)</f>
        <v/>
      </c>
      <c r="E123" t="str">
        <f>IF(Sistema!E123="","",Sistema!E123)</f>
        <v/>
      </c>
      <c r="F123">
        <f>IF(P123&gt;0,1,IF(Sistema!F123=0,-1,1))</f>
        <v>-1</v>
      </c>
      <c r="G123">
        <f>Sistema!G123</f>
        <v>0</v>
      </c>
      <c r="H123" t="str">
        <f>IF(OR(R123="notify",R123=1),"visible",IF(OR(Sistema!F123=-1,Sistema!F123=0,ISNUMBER(SEARCH("PCK",E123))),"hidden",IF(P123&gt;0,"visible","hidden")))</f>
        <v>hidden</v>
      </c>
      <c r="I123" t="str">
        <f>IF(B123="simple",IF(P123&gt;0,"",IF(R123="notify",Info!C$2,"")),IF(B123="variable",IF(P123&gt;0,"",IF(R123="notify",Info!C$4,"")),""))</f>
        <v/>
      </c>
      <c r="J123" t="str">
        <f>IF(Sistema!J123="","",Sistema!J123)</f>
        <v/>
      </c>
      <c r="M123" t="str">
        <f>IF(Sistema!M123="","",Sistema!M123)</f>
        <v/>
      </c>
      <c r="N123" s="6" t="s">
        <v>1557</v>
      </c>
      <c r="O123" s="6">
        <v>1</v>
      </c>
      <c r="P123">
        <f>Sistema!P123</f>
        <v>0</v>
      </c>
      <c r="Q123">
        <f>Sistema!Q123</f>
        <v>0</v>
      </c>
      <c r="R123">
        <f>IF(Sistema!R123=1,"notify",Sistema!R123)</f>
        <v>0</v>
      </c>
      <c r="T123" t="str">
        <f>IF(Sistema!T123="","",Sistema!T123)</f>
        <v/>
      </c>
      <c r="U123" t="str">
        <f>IF(Sistema!U123="","",Sistema!U123)</f>
        <v/>
      </c>
      <c r="V123" t="str">
        <f>IF(Sistema!V123="","",Sistema!V123)</f>
        <v/>
      </c>
      <c r="W123" t="str">
        <f>IF(Sistema!W123="","",Sistema!W123)</f>
        <v/>
      </c>
      <c r="X123" s="6">
        <v>1</v>
      </c>
      <c r="Z123" t="str">
        <f>IF(Sistema!Z123="","",Sistema!Z123)</f>
        <v/>
      </c>
      <c r="AA123" t="str">
        <f>IF(Sistema!AA123="","",Sistema!AA123)</f>
        <v/>
      </c>
      <c r="AB123" t="str">
        <f>IF(Sistema!AB123="","",IF(OR(ISNUMBER(SEARCH("MKP",E123)),ISNUMBER(SEARCH("MKP",C123))),"Marketplace &gt; "&amp;Sistema!AB123,Sistema!AB123))</f>
        <v/>
      </c>
      <c r="AC123" t="str">
        <f>IF(Sistema!AC123="","",Sistema!AC123)</f>
        <v/>
      </c>
      <c r="AE123" t="str">
        <f>IF(Sistema!AE123="","",Sistema!AE123)</f>
        <v/>
      </c>
      <c r="AH123" t="str">
        <f>IF(Sistema!AH123="","",Sistema!AH123)</f>
        <v/>
      </c>
      <c r="AQ123" t="str">
        <f>IF(Sistema!AQ123="","",Sistema!AQ123)</f>
        <v/>
      </c>
      <c r="AR123" t="str">
        <f>IF(Sistema!AR123="","",Sistema!AR123)</f>
        <v/>
      </c>
      <c r="AS123" t="str">
        <f>IF(Sistema!AS123="","",Sistema!AS123)</f>
        <v/>
      </c>
      <c r="AT123" t="str">
        <f>IF(Sistema!AT123="","",Sistema!AT123)</f>
        <v/>
      </c>
      <c r="AU123" t="str">
        <f>IF(Sistema!AU123="","",Sistema!AU123)</f>
        <v/>
      </c>
      <c r="AV123" t="str">
        <f>IF(Sistema!AV123="","",Sistema!AV123)</f>
        <v/>
      </c>
      <c r="AW123" t="str">
        <f>IF(Sistema!AW123="","",Sistema!AW123)</f>
        <v/>
      </c>
      <c r="AX123" t="str">
        <f>IF(Sistema!AX123="","",Sistema!AX123)</f>
        <v/>
      </c>
      <c r="AY123" t="str">
        <f>IF(Sistema!AY123="","",Sistema!AY123)</f>
        <v/>
      </c>
      <c r="AZ123" t="str">
        <f>IF(Sistema!AZ123="","",Sistema!AZ123)</f>
        <v/>
      </c>
      <c r="BA123" t="str">
        <f>IF(Sistema!BA123="","",Sistema!BA123)</f>
        <v/>
      </c>
      <c r="BB123" t="str">
        <f>IF(Sistema!BB123="","",Sistema!BB123)</f>
        <v/>
      </c>
      <c r="BC123" t="str">
        <f>IF(Sistema!BC123="","",Sistema!BC123)</f>
        <v/>
      </c>
      <c r="BD123" t="str">
        <f>IF(Sistema!BD123="","",Sistema!BD123)</f>
        <v/>
      </c>
      <c r="BE123" t="str">
        <f>IF(Sistema!BE123="","",Sistema!BE123)</f>
        <v/>
      </c>
      <c r="BF123" t="str">
        <f>IF(Sistema!BF123="","",Sistema!BF123)</f>
        <v/>
      </c>
      <c r="BG123" t="str">
        <f>IF(Sistema!BG123="","",Sistema!BG123)</f>
        <v/>
      </c>
      <c r="BH123" t="str">
        <f>IF(Sistema!BH123="","",Sistema!BH123)</f>
        <v/>
      </c>
      <c r="BI123" t="str">
        <f>IF(Sistema!BI123="","",Sistema!BI123)</f>
        <v/>
      </c>
      <c r="BJ123" t="str">
        <f>IF(Sistema!BJ123="","",Sistema!BJ123)</f>
        <v/>
      </c>
      <c r="BK123" t="str">
        <f>IF(Sistema!BK123="","",Sistema!BK123)</f>
        <v/>
      </c>
      <c r="BL123" t="str">
        <f>IF(Sistema!BL123="","",Sistema!BL123)</f>
        <v/>
      </c>
      <c r="BM123" t="str">
        <f>IF(Sistema!BM123="","",Sistema!BM123)</f>
        <v/>
      </c>
      <c r="BN123" t="str">
        <f>IF(Sistema!BN123="","",Sistema!BN123)</f>
        <v/>
      </c>
      <c r="BO123" t="str">
        <f>IF(Sistema!BO123="","",Sistema!BO123)</f>
        <v/>
      </c>
      <c r="BP123" t="str">
        <f>IF(Sistema!BP123="","",Sistema!BP123)</f>
        <v/>
      </c>
      <c r="BQ123" t="str">
        <f>IF(Sistema!BQ123="","",Sistema!BQ123)</f>
        <v/>
      </c>
      <c r="BR123" t="str">
        <f>IF(Sistema!BR123="","",Sistema!BR123)</f>
        <v/>
      </c>
      <c r="BS123" t="str">
        <f>IF(Sistema!BS123="","",Sistema!BS123)</f>
        <v/>
      </c>
      <c r="BT123" t="str">
        <f>IF(Sistema!BT123="","",Sistema!BT123)</f>
        <v/>
      </c>
      <c r="BU123" t="str">
        <f>IF(Sistema!BU123="","",Sistema!BU123)</f>
        <v/>
      </c>
      <c r="BV123" t="str">
        <f>IF(Sistema!BV123="","",Sistema!BV123)</f>
        <v/>
      </c>
      <c r="BW123" t="str">
        <f>IF(Sistema!BW123="","",Sistema!BW123)</f>
        <v/>
      </c>
      <c r="BX123" t="str">
        <f>IF(Sistema!BX123="","",Sistema!BX123)</f>
        <v/>
      </c>
      <c r="BY123" t="str">
        <f>IF(Sistema!BY123="","",Sistema!BY123)</f>
        <v/>
      </c>
      <c r="BZ123" t="str">
        <f>IF(Sistema!BZ123="","",Sistema!BZ123)</f>
        <v/>
      </c>
      <c r="CA123" t="str">
        <f>IF(Sistema!CA123="","",Sistema!CA123)</f>
        <v/>
      </c>
      <c r="CB123" t="str">
        <f>IF(Sistema!CB123="","",Sistema!CB123)</f>
        <v/>
      </c>
      <c r="CC123" t="str">
        <f>IF(Sistema!CC123="","",Sistema!CC123)</f>
        <v/>
      </c>
      <c r="CD123" t="str">
        <f>IF(Sistema!CD123="","",Sistema!CD123)</f>
        <v/>
      </c>
    </row>
    <row r="124" spans="1:82" x14ac:dyDescent="0.25">
      <c r="A124" t="str">
        <f>IF(Sistema!A124="","",Sistema!A124)</f>
        <v/>
      </c>
      <c r="B124" t="str">
        <f>IF(Sistema!B124="","",Sistema!B124)</f>
        <v/>
      </c>
      <c r="C124" t="str">
        <f>IF(Sistema!C124="","",Sistema!C124)</f>
        <v/>
      </c>
      <c r="D124" t="str">
        <f>IF(Sistema!D124="","",Sistema!D124)</f>
        <v/>
      </c>
      <c r="E124" t="str">
        <f>IF(Sistema!E124="","",Sistema!E124)</f>
        <v/>
      </c>
      <c r="F124">
        <f>IF(P124&gt;0,1,IF(Sistema!F124=0,-1,1))</f>
        <v>-1</v>
      </c>
      <c r="G124">
        <f>Sistema!G124</f>
        <v>0</v>
      </c>
      <c r="H124" t="str">
        <f>IF(OR(R124="notify",R124=1),"visible",IF(OR(Sistema!F124=-1,Sistema!F124=0,ISNUMBER(SEARCH("PCK",E124))),"hidden",IF(P124&gt;0,"visible","hidden")))</f>
        <v>hidden</v>
      </c>
      <c r="I124" t="str">
        <f>IF(B124="simple",IF(P124&gt;0,"",IF(R124="notify",Info!C$2,"")),IF(B124="variable",IF(P124&gt;0,"",IF(R124="notify",Info!C$4,"")),""))</f>
        <v/>
      </c>
      <c r="J124" t="str">
        <f>IF(Sistema!J124="","",Sistema!J124)</f>
        <v/>
      </c>
      <c r="M124" t="str">
        <f>IF(Sistema!M124="","",Sistema!M124)</f>
        <v/>
      </c>
      <c r="N124" s="6" t="s">
        <v>1557</v>
      </c>
      <c r="O124" s="6">
        <v>1</v>
      </c>
      <c r="P124">
        <f>Sistema!P124</f>
        <v>0</v>
      </c>
      <c r="Q124">
        <f>Sistema!Q124</f>
        <v>0</v>
      </c>
      <c r="R124">
        <f>IF(Sistema!R124=1,"notify",Sistema!R124)</f>
        <v>0</v>
      </c>
      <c r="T124" t="str">
        <f>IF(Sistema!T124="","",Sistema!T124)</f>
        <v/>
      </c>
      <c r="U124" t="str">
        <f>IF(Sistema!U124="","",Sistema!U124)</f>
        <v/>
      </c>
      <c r="V124" t="str">
        <f>IF(Sistema!V124="","",Sistema!V124)</f>
        <v/>
      </c>
      <c r="W124" t="str">
        <f>IF(Sistema!W124="","",Sistema!W124)</f>
        <v/>
      </c>
      <c r="X124" s="6">
        <v>1</v>
      </c>
      <c r="Z124" t="str">
        <f>IF(Sistema!Z124="","",Sistema!Z124)</f>
        <v/>
      </c>
      <c r="AA124" t="str">
        <f>IF(Sistema!AA124="","",Sistema!AA124)</f>
        <v/>
      </c>
      <c r="AB124" t="str">
        <f>IF(Sistema!AB124="","",IF(OR(ISNUMBER(SEARCH("MKP",E124)),ISNUMBER(SEARCH("MKP",C124))),"Marketplace &gt; "&amp;Sistema!AB124,Sistema!AB124))</f>
        <v/>
      </c>
      <c r="AC124" t="str">
        <f>IF(Sistema!AC124="","",Sistema!AC124)</f>
        <v/>
      </c>
      <c r="AE124" t="str">
        <f>IF(Sistema!AE124="","",Sistema!AE124)</f>
        <v/>
      </c>
      <c r="AH124" t="str">
        <f>IF(Sistema!AH124="","",Sistema!AH124)</f>
        <v/>
      </c>
      <c r="AQ124" t="str">
        <f>IF(Sistema!AQ124="","",Sistema!AQ124)</f>
        <v/>
      </c>
      <c r="AR124" t="str">
        <f>IF(Sistema!AR124="","",Sistema!AR124)</f>
        <v/>
      </c>
      <c r="AS124" t="str">
        <f>IF(Sistema!AS124="","",Sistema!AS124)</f>
        <v/>
      </c>
      <c r="AT124" t="str">
        <f>IF(Sistema!AT124="","",Sistema!AT124)</f>
        <v/>
      </c>
      <c r="AU124" t="str">
        <f>IF(Sistema!AU124="","",Sistema!AU124)</f>
        <v/>
      </c>
      <c r="AV124" t="str">
        <f>IF(Sistema!AV124="","",Sistema!AV124)</f>
        <v/>
      </c>
      <c r="AW124" t="str">
        <f>IF(Sistema!AW124="","",Sistema!AW124)</f>
        <v/>
      </c>
      <c r="AX124" t="str">
        <f>IF(Sistema!AX124="","",Sistema!AX124)</f>
        <v/>
      </c>
      <c r="AY124" t="str">
        <f>IF(Sistema!AY124="","",Sistema!AY124)</f>
        <v/>
      </c>
      <c r="AZ124" t="str">
        <f>IF(Sistema!AZ124="","",Sistema!AZ124)</f>
        <v/>
      </c>
      <c r="BA124" t="str">
        <f>IF(Sistema!BA124="","",Sistema!BA124)</f>
        <v/>
      </c>
      <c r="BB124" t="str">
        <f>IF(Sistema!BB124="","",Sistema!BB124)</f>
        <v/>
      </c>
      <c r="BC124" t="str">
        <f>IF(Sistema!BC124="","",Sistema!BC124)</f>
        <v/>
      </c>
      <c r="BD124" t="str">
        <f>IF(Sistema!BD124="","",Sistema!BD124)</f>
        <v/>
      </c>
      <c r="BE124" t="str">
        <f>IF(Sistema!BE124="","",Sistema!BE124)</f>
        <v/>
      </c>
      <c r="BF124" t="str">
        <f>IF(Sistema!BF124="","",Sistema!BF124)</f>
        <v/>
      </c>
      <c r="BG124" t="str">
        <f>IF(Sistema!BG124="","",Sistema!BG124)</f>
        <v/>
      </c>
      <c r="BH124" t="str">
        <f>IF(Sistema!BH124="","",Sistema!BH124)</f>
        <v/>
      </c>
      <c r="BI124" t="str">
        <f>IF(Sistema!BI124="","",Sistema!BI124)</f>
        <v/>
      </c>
      <c r="BJ124" t="str">
        <f>IF(Sistema!BJ124="","",Sistema!BJ124)</f>
        <v/>
      </c>
      <c r="BK124" t="str">
        <f>IF(Sistema!BK124="","",Sistema!BK124)</f>
        <v/>
      </c>
      <c r="BL124" t="str">
        <f>IF(Sistema!BL124="","",Sistema!BL124)</f>
        <v/>
      </c>
      <c r="BM124" t="str">
        <f>IF(Sistema!BM124="","",Sistema!BM124)</f>
        <v/>
      </c>
      <c r="BN124" t="str">
        <f>IF(Sistema!BN124="","",Sistema!BN124)</f>
        <v/>
      </c>
      <c r="BO124" t="str">
        <f>IF(Sistema!BO124="","",Sistema!BO124)</f>
        <v/>
      </c>
      <c r="BP124" t="str">
        <f>IF(Sistema!BP124="","",Sistema!BP124)</f>
        <v/>
      </c>
      <c r="BQ124" t="str">
        <f>IF(Sistema!BQ124="","",Sistema!BQ124)</f>
        <v/>
      </c>
      <c r="BR124" t="str">
        <f>IF(Sistema!BR124="","",Sistema!BR124)</f>
        <v/>
      </c>
      <c r="BS124" t="str">
        <f>IF(Sistema!BS124="","",Sistema!BS124)</f>
        <v/>
      </c>
      <c r="BT124" t="str">
        <f>IF(Sistema!BT124="","",Sistema!BT124)</f>
        <v/>
      </c>
      <c r="BU124" t="str">
        <f>IF(Sistema!BU124="","",Sistema!BU124)</f>
        <v/>
      </c>
      <c r="BV124" t="str">
        <f>IF(Sistema!BV124="","",Sistema!BV124)</f>
        <v/>
      </c>
      <c r="BW124" t="str">
        <f>IF(Sistema!BW124="","",Sistema!BW124)</f>
        <v/>
      </c>
      <c r="BX124" t="str">
        <f>IF(Sistema!BX124="","",Sistema!BX124)</f>
        <v/>
      </c>
      <c r="BY124" t="str">
        <f>IF(Sistema!BY124="","",Sistema!BY124)</f>
        <v/>
      </c>
      <c r="BZ124" t="str">
        <f>IF(Sistema!BZ124="","",Sistema!BZ124)</f>
        <v/>
      </c>
      <c r="CA124" t="str">
        <f>IF(Sistema!CA124="","",Sistema!CA124)</f>
        <v/>
      </c>
      <c r="CB124" t="str">
        <f>IF(Sistema!CB124="","",Sistema!CB124)</f>
        <v/>
      </c>
      <c r="CC124" t="str">
        <f>IF(Sistema!CC124="","",Sistema!CC124)</f>
        <v/>
      </c>
      <c r="CD124" t="str">
        <f>IF(Sistema!CD124="","",Sistema!CD124)</f>
        <v/>
      </c>
    </row>
    <row r="125" spans="1:82" x14ac:dyDescent="0.25">
      <c r="A125" t="str">
        <f>IF(Sistema!A125="","",Sistema!A125)</f>
        <v/>
      </c>
      <c r="B125" t="str">
        <f>IF(Sistema!B125="","",Sistema!B125)</f>
        <v/>
      </c>
      <c r="C125" t="str">
        <f>IF(Sistema!C125="","",Sistema!C125)</f>
        <v/>
      </c>
      <c r="D125" t="str">
        <f>IF(Sistema!D125="","",Sistema!D125)</f>
        <v/>
      </c>
      <c r="E125" t="str">
        <f>IF(Sistema!E125="","",Sistema!E125)</f>
        <v/>
      </c>
      <c r="F125">
        <f>IF(P125&gt;0,1,IF(Sistema!F125=0,-1,1))</f>
        <v>-1</v>
      </c>
      <c r="G125">
        <f>Sistema!G125</f>
        <v>0</v>
      </c>
      <c r="H125" t="str">
        <f>IF(OR(R125="notify",R125=1),"visible",IF(OR(Sistema!F125=-1,Sistema!F125=0,ISNUMBER(SEARCH("PCK",E125))),"hidden",IF(P125&gt;0,"visible","hidden")))</f>
        <v>hidden</v>
      </c>
      <c r="I125" t="str">
        <f>IF(B125="simple",IF(P125&gt;0,"",IF(R125="notify",Info!C$2,"")),IF(B125="variable",IF(P125&gt;0,"",IF(R125="notify",Info!C$4,"")),""))</f>
        <v/>
      </c>
      <c r="J125" t="str">
        <f>IF(Sistema!J125="","",Sistema!J125)</f>
        <v/>
      </c>
      <c r="M125" t="str">
        <f>IF(Sistema!M125="","",Sistema!M125)</f>
        <v/>
      </c>
      <c r="N125" s="6" t="s">
        <v>1557</v>
      </c>
      <c r="O125" s="6">
        <v>1</v>
      </c>
      <c r="P125">
        <f>Sistema!P125</f>
        <v>0</v>
      </c>
      <c r="Q125">
        <f>Sistema!Q125</f>
        <v>0</v>
      </c>
      <c r="R125">
        <f>IF(Sistema!R125=1,"notify",Sistema!R125)</f>
        <v>0</v>
      </c>
      <c r="T125" t="str">
        <f>IF(Sistema!T125="","",Sistema!T125)</f>
        <v/>
      </c>
      <c r="U125" t="str">
        <f>IF(Sistema!U125="","",Sistema!U125)</f>
        <v/>
      </c>
      <c r="V125" t="str">
        <f>IF(Sistema!V125="","",Sistema!V125)</f>
        <v/>
      </c>
      <c r="W125" t="str">
        <f>IF(Sistema!W125="","",Sistema!W125)</f>
        <v/>
      </c>
      <c r="X125" s="6">
        <v>1</v>
      </c>
      <c r="Z125" t="str">
        <f>IF(Sistema!Z125="","",Sistema!Z125)</f>
        <v/>
      </c>
      <c r="AA125" t="str">
        <f>IF(Sistema!AA125="","",Sistema!AA125)</f>
        <v/>
      </c>
      <c r="AB125" t="str">
        <f>IF(Sistema!AB125="","",IF(OR(ISNUMBER(SEARCH("MKP",E125)),ISNUMBER(SEARCH("MKP",C125))),"Marketplace &gt; "&amp;Sistema!AB125,Sistema!AB125))</f>
        <v/>
      </c>
      <c r="AC125" t="str">
        <f>IF(Sistema!AC125="","",Sistema!AC125)</f>
        <v/>
      </c>
      <c r="AE125" t="str">
        <f>IF(Sistema!AE125="","",Sistema!AE125)</f>
        <v/>
      </c>
      <c r="AH125" t="str">
        <f>IF(Sistema!AH125="","",Sistema!AH125)</f>
        <v/>
      </c>
      <c r="AQ125" t="str">
        <f>IF(Sistema!AQ125="","",Sistema!AQ125)</f>
        <v/>
      </c>
      <c r="AR125" t="str">
        <f>IF(Sistema!AR125="","",Sistema!AR125)</f>
        <v/>
      </c>
      <c r="AS125" t="str">
        <f>IF(Sistema!AS125="","",Sistema!AS125)</f>
        <v/>
      </c>
      <c r="AT125" t="str">
        <f>IF(Sistema!AT125="","",Sistema!AT125)</f>
        <v/>
      </c>
      <c r="AU125" t="str">
        <f>IF(Sistema!AU125="","",Sistema!AU125)</f>
        <v/>
      </c>
      <c r="AV125" t="str">
        <f>IF(Sistema!AV125="","",Sistema!AV125)</f>
        <v/>
      </c>
      <c r="AW125" t="str">
        <f>IF(Sistema!AW125="","",Sistema!AW125)</f>
        <v/>
      </c>
      <c r="AX125" t="str">
        <f>IF(Sistema!AX125="","",Sistema!AX125)</f>
        <v/>
      </c>
      <c r="AY125" t="str">
        <f>IF(Sistema!AY125="","",Sistema!AY125)</f>
        <v/>
      </c>
      <c r="AZ125" t="str">
        <f>IF(Sistema!AZ125="","",Sistema!AZ125)</f>
        <v/>
      </c>
      <c r="BA125" t="str">
        <f>IF(Sistema!BA125="","",Sistema!BA125)</f>
        <v/>
      </c>
      <c r="BB125" t="str">
        <f>IF(Sistema!BB125="","",Sistema!BB125)</f>
        <v/>
      </c>
      <c r="BC125" t="str">
        <f>IF(Sistema!BC125="","",Sistema!BC125)</f>
        <v/>
      </c>
      <c r="BD125" t="str">
        <f>IF(Sistema!BD125="","",Sistema!BD125)</f>
        <v/>
      </c>
      <c r="BE125" t="str">
        <f>IF(Sistema!BE125="","",Sistema!BE125)</f>
        <v/>
      </c>
      <c r="BF125" t="str">
        <f>IF(Sistema!BF125="","",Sistema!BF125)</f>
        <v/>
      </c>
      <c r="BG125" t="str">
        <f>IF(Sistema!BG125="","",Sistema!BG125)</f>
        <v/>
      </c>
      <c r="BH125" t="str">
        <f>IF(Sistema!BH125="","",Sistema!BH125)</f>
        <v/>
      </c>
      <c r="BI125" t="str">
        <f>IF(Sistema!BI125="","",Sistema!BI125)</f>
        <v/>
      </c>
      <c r="BJ125" t="str">
        <f>IF(Sistema!BJ125="","",Sistema!BJ125)</f>
        <v/>
      </c>
      <c r="BK125" t="str">
        <f>IF(Sistema!BK125="","",Sistema!BK125)</f>
        <v/>
      </c>
      <c r="BL125" t="str">
        <f>IF(Sistema!BL125="","",Sistema!BL125)</f>
        <v/>
      </c>
      <c r="BM125" t="str">
        <f>IF(Sistema!BM125="","",Sistema!BM125)</f>
        <v/>
      </c>
      <c r="BN125" t="str">
        <f>IF(Sistema!BN125="","",Sistema!BN125)</f>
        <v/>
      </c>
      <c r="BO125" t="str">
        <f>IF(Sistema!BO125="","",Sistema!BO125)</f>
        <v/>
      </c>
      <c r="BP125" t="str">
        <f>IF(Sistema!BP125="","",Sistema!BP125)</f>
        <v/>
      </c>
      <c r="BQ125" t="str">
        <f>IF(Sistema!BQ125="","",Sistema!BQ125)</f>
        <v/>
      </c>
      <c r="BR125" t="str">
        <f>IF(Sistema!BR125="","",Sistema!BR125)</f>
        <v/>
      </c>
      <c r="BS125" t="str">
        <f>IF(Sistema!BS125="","",Sistema!BS125)</f>
        <v/>
      </c>
      <c r="BT125" t="str">
        <f>IF(Sistema!BT125="","",Sistema!BT125)</f>
        <v/>
      </c>
      <c r="BU125" t="str">
        <f>IF(Sistema!BU125="","",Sistema!BU125)</f>
        <v/>
      </c>
      <c r="BV125" t="str">
        <f>IF(Sistema!BV125="","",Sistema!BV125)</f>
        <v/>
      </c>
      <c r="BW125" t="str">
        <f>IF(Sistema!BW125="","",Sistema!BW125)</f>
        <v/>
      </c>
      <c r="BX125" t="str">
        <f>IF(Sistema!BX125="","",Sistema!BX125)</f>
        <v/>
      </c>
      <c r="BY125" t="str">
        <f>IF(Sistema!BY125="","",Sistema!BY125)</f>
        <v/>
      </c>
      <c r="BZ125" t="str">
        <f>IF(Sistema!BZ125="","",Sistema!BZ125)</f>
        <v/>
      </c>
      <c r="CA125" t="str">
        <f>IF(Sistema!CA125="","",Sistema!CA125)</f>
        <v/>
      </c>
      <c r="CB125" t="str">
        <f>IF(Sistema!CB125="","",Sistema!CB125)</f>
        <v/>
      </c>
      <c r="CC125" t="str">
        <f>IF(Sistema!CC125="","",Sistema!CC125)</f>
        <v/>
      </c>
      <c r="CD125" t="str">
        <f>IF(Sistema!CD125="","",Sistema!CD125)</f>
        <v/>
      </c>
    </row>
    <row r="126" spans="1:82" x14ac:dyDescent="0.25">
      <c r="A126" t="str">
        <f>IF(Sistema!A126="","",Sistema!A126)</f>
        <v/>
      </c>
      <c r="B126" t="str">
        <f>IF(Sistema!B126="","",Sistema!B126)</f>
        <v/>
      </c>
      <c r="C126" t="str">
        <f>IF(Sistema!C126="","",Sistema!C126)</f>
        <v/>
      </c>
      <c r="D126" t="str">
        <f>IF(Sistema!D126="","",Sistema!D126)</f>
        <v/>
      </c>
      <c r="E126" t="str">
        <f>IF(Sistema!E126="","",Sistema!E126)</f>
        <v/>
      </c>
      <c r="F126">
        <f>IF(P126&gt;0,1,IF(Sistema!F126=0,-1,1))</f>
        <v>-1</v>
      </c>
      <c r="G126">
        <f>Sistema!G126</f>
        <v>0</v>
      </c>
      <c r="H126" t="str">
        <f>IF(OR(R126="notify",R126=1),"visible",IF(OR(Sistema!F126=-1,Sistema!F126=0,ISNUMBER(SEARCH("PCK",E126))),"hidden",IF(P126&gt;0,"visible","hidden")))</f>
        <v>hidden</v>
      </c>
      <c r="I126" t="str">
        <f>IF(B126="simple",IF(P126&gt;0,"",IF(R126="notify",Info!C$2,"")),IF(B126="variable",IF(P126&gt;0,"",IF(R126="notify",Info!C$4,"")),""))</f>
        <v/>
      </c>
      <c r="J126" t="str">
        <f>IF(Sistema!J126="","",Sistema!J126)</f>
        <v/>
      </c>
      <c r="M126" t="str">
        <f>IF(Sistema!M126="","",Sistema!M126)</f>
        <v/>
      </c>
      <c r="N126" s="6" t="s">
        <v>1557</v>
      </c>
      <c r="O126" s="6">
        <v>1</v>
      </c>
      <c r="P126">
        <f>Sistema!P126</f>
        <v>0</v>
      </c>
      <c r="Q126">
        <f>Sistema!Q126</f>
        <v>0</v>
      </c>
      <c r="R126">
        <f>IF(Sistema!R126=1,"notify",Sistema!R126)</f>
        <v>0</v>
      </c>
      <c r="T126" t="str">
        <f>IF(Sistema!T126="","",Sistema!T126)</f>
        <v/>
      </c>
      <c r="U126" t="str">
        <f>IF(Sistema!U126="","",Sistema!U126)</f>
        <v/>
      </c>
      <c r="V126" t="str">
        <f>IF(Sistema!V126="","",Sistema!V126)</f>
        <v/>
      </c>
      <c r="W126" t="str">
        <f>IF(Sistema!W126="","",Sistema!W126)</f>
        <v/>
      </c>
      <c r="X126" s="6">
        <v>1</v>
      </c>
      <c r="Z126" t="str">
        <f>IF(Sistema!Z126="","",Sistema!Z126)</f>
        <v/>
      </c>
      <c r="AA126" t="str">
        <f>IF(Sistema!AA126="","",Sistema!AA126)</f>
        <v/>
      </c>
      <c r="AB126" t="str">
        <f>IF(Sistema!AB126="","",IF(OR(ISNUMBER(SEARCH("MKP",E126)),ISNUMBER(SEARCH("MKP",C126))),"Marketplace &gt; "&amp;Sistema!AB126,Sistema!AB126))</f>
        <v/>
      </c>
      <c r="AC126" t="str">
        <f>IF(Sistema!AC126="","",Sistema!AC126)</f>
        <v/>
      </c>
      <c r="AE126" t="str">
        <f>IF(Sistema!AE126="","",Sistema!AE126)</f>
        <v/>
      </c>
      <c r="AH126" t="str">
        <f>IF(Sistema!AH126="","",Sistema!AH126)</f>
        <v/>
      </c>
      <c r="AQ126" t="str">
        <f>IF(Sistema!AQ126="","",Sistema!AQ126)</f>
        <v/>
      </c>
      <c r="AR126" t="str">
        <f>IF(Sistema!AR126="","",Sistema!AR126)</f>
        <v/>
      </c>
      <c r="AS126" t="str">
        <f>IF(Sistema!AS126="","",Sistema!AS126)</f>
        <v/>
      </c>
      <c r="AT126" t="str">
        <f>IF(Sistema!AT126="","",Sistema!AT126)</f>
        <v/>
      </c>
      <c r="AU126" t="str">
        <f>IF(Sistema!AU126="","",Sistema!AU126)</f>
        <v/>
      </c>
      <c r="AV126" t="str">
        <f>IF(Sistema!AV126="","",Sistema!AV126)</f>
        <v/>
      </c>
      <c r="AW126" t="str">
        <f>IF(Sistema!AW126="","",Sistema!AW126)</f>
        <v/>
      </c>
      <c r="AX126" t="str">
        <f>IF(Sistema!AX126="","",Sistema!AX126)</f>
        <v/>
      </c>
      <c r="AY126" t="str">
        <f>IF(Sistema!AY126="","",Sistema!AY126)</f>
        <v/>
      </c>
      <c r="AZ126" t="str">
        <f>IF(Sistema!AZ126="","",Sistema!AZ126)</f>
        <v/>
      </c>
      <c r="BA126" t="str">
        <f>IF(Sistema!BA126="","",Sistema!BA126)</f>
        <v/>
      </c>
      <c r="BB126" t="str">
        <f>IF(Sistema!BB126="","",Sistema!BB126)</f>
        <v/>
      </c>
      <c r="BC126" t="str">
        <f>IF(Sistema!BC126="","",Sistema!BC126)</f>
        <v/>
      </c>
      <c r="BD126" t="str">
        <f>IF(Sistema!BD126="","",Sistema!BD126)</f>
        <v/>
      </c>
      <c r="BE126" t="str">
        <f>IF(Sistema!BE126="","",Sistema!BE126)</f>
        <v/>
      </c>
      <c r="BF126" t="str">
        <f>IF(Sistema!BF126="","",Sistema!BF126)</f>
        <v/>
      </c>
      <c r="BG126" t="str">
        <f>IF(Sistema!BG126="","",Sistema!BG126)</f>
        <v/>
      </c>
      <c r="BH126" t="str">
        <f>IF(Sistema!BH126="","",Sistema!BH126)</f>
        <v/>
      </c>
      <c r="BI126" t="str">
        <f>IF(Sistema!BI126="","",Sistema!BI126)</f>
        <v/>
      </c>
      <c r="BJ126" t="str">
        <f>IF(Sistema!BJ126="","",Sistema!BJ126)</f>
        <v/>
      </c>
      <c r="BK126" t="str">
        <f>IF(Sistema!BK126="","",Sistema!BK126)</f>
        <v/>
      </c>
      <c r="BL126" t="str">
        <f>IF(Sistema!BL126="","",Sistema!BL126)</f>
        <v/>
      </c>
      <c r="BM126" t="str">
        <f>IF(Sistema!BM126="","",Sistema!BM126)</f>
        <v/>
      </c>
      <c r="BN126" t="str">
        <f>IF(Sistema!BN126="","",Sistema!BN126)</f>
        <v/>
      </c>
      <c r="BO126" t="str">
        <f>IF(Sistema!BO126="","",Sistema!BO126)</f>
        <v/>
      </c>
      <c r="BP126" t="str">
        <f>IF(Sistema!BP126="","",Sistema!BP126)</f>
        <v/>
      </c>
      <c r="BQ126" t="str">
        <f>IF(Sistema!BQ126="","",Sistema!BQ126)</f>
        <v/>
      </c>
      <c r="BR126" t="str">
        <f>IF(Sistema!BR126="","",Sistema!BR126)</f>
        <v/>
      </c>
      <c r="BS126" t="str">
        <f>IF(Sistema!BS126="","",Sistema!BS126)</f>
        <v/>
      </c>
      <c r="BT126" t="str">
        <f>IF(Sistema!BT126="","",Sistema!BT126)</f>
        <v/>
      </c>
      <c r="BU126" t="str">
        <f>IF(Sistema!BU126="","",Sistema!BU126)</f>
        <v/>
      </c>
      <c r="BV126" t="str">
        <f>IF(Sistema!BV126="","",Sistema!BV126)</f>
        <v/>
      </c>
      <c r="BW126" t="str">
        <f>IF(Sistema!BW126="","",Sistema!BW126)</f>
        <v/>
      </c>
      <c r="BX126" t="str">
        <f>IF(Sistema!BX126="","",Sistema!BX126)</f>
        <v/>
      </c>
      <c r="BY126" t="str">
        <f>IF(Sistema!BY126="","",Sistema!BY126)</f>
        <v/>
      </c>
      <c r="BZ126" t="str">
        <f>IF(Sistema!BZ126="","",Sistema!BZ126)</f>
        <v/>
      </c>
      <c r="CA126" t="str">
        <f>IF(Sistema!CA126="","",Sistema!CA126)</f>
        <v/>
      </c>
      <c r="CB126" t="str">
        <f>IF(Sistema!CB126="","",Sistema!CB126)</f>
        <v/>
      </c>
      <c r="CC126" t="str">
        <f>IF(Sistema!CC126="","",Sistema!CC126)</f>
        <v/>
      </c>
      <c r="CD126" t="str">
        <f>IF(Sistema!CD126="","",Sistema!CD126)</f>
        <v/>
      </c>
    </row>
    <row r="127" spans="1:82" x14ac:dyDescent="0.25">
      <c r="A127" t="str">
        <f>IF(Sistema!A127="","",Sistema!A127)</f>
        <v/>
      </c>
      <c r="B127" t="str">
        <f>IF(Sistema!B127="","",Sistema!B127)</f>
        <v/>
      </c>
      <c r="C127" t="str">
        <f>IF(Sistema!C127="","",Sistema!C127)</f>
        <v/>
      </c>
      <c r="D127" t="str">
        <f>IF(Sistema!D127="","",Sistema!D127)</f>
        <v/>
      </c>
      <c r="E127" t="str">
        <f>IF(Sistema!E127="","",Sistema!E127)</f>
        <v/>
      </c>
      <c r="F127">
        <f>IF(P127&gt;0,1,IF(Sistema!F127=0,-1,1))</f>
        <v>-1</v>
      </c>
      <c r="G127">
        <f>Sistema!G127</f>
        <v>0</v>
      </c>
      <c r="H127" t="str">
        <f>IF(OR(R127="notify",R127=1),"visible",IF(OR(Sistema!F127=-1,Sistema!F127=0,ISNUMBER(SEARCH("PCK",E127))),"hidden",IF(P127&gt;0,"visible","hidden")))</f>
        <v>hidden</v>
      </c>
      <c r="I127" t="str">
        <f>IF(B127="simple",IF(P127&gt;0,"",IF(R127="notify",Info!C$2,"")),IF(B127="variable",IF(P127&gt;0,"",IF(R127="notify",Info!C$4,"")),""))</f>
        <v/>
      </c>
      <c r="J127" t="str">
        <f>IF(Sistema!J127="","",Sistema!J127)</f>
        <v/>
      </c>
      <c r="M127" t="str">
        <f>IF(Sistema!M127="","",Sistema!M127)</f>
        <v/>
      </c>
      <c r="N127" s="6" t="s">
        <v>1557</v>
      </c>
      <c r="O127" s="6">
        <v>1</v>
      </c>
      <c r="P127">
        <f>Sistema!P127</f>
        <v>0</v>
      </c>
      <c r="Q127">
        <f>Sistema!Q127</f>
        <v>0</v>
      </c>
      <c r="R127">
        <f>IF(Sistema!R127=1,"notify",Sistema!R127)</f>
        <v>0</v>
      </c>
      <c r="T127" t="str">
        <f>IF(Sistema!T127="","",Sistema!T127)</f>
        <v/>
      </c>
      <c r="U127" t="str">
        <f>IF(Sistema!U127="","",Sistema!U127)</f>
        <v/>
      </c>
      <c r="V127" t="str">
        <f>IF(Sistema!V127="","",Sistema!V127)</f>
        <v/>
      </c>
      <c r="W127" t="str">
        <f>IF(Sistema!W127="","",Sistema!W127)</f>
        <v/>
      </c>
      <c r="X127" s="6">
        <v>1</v>
      </c>
      <c r="Z127" t="str">
        <f>IF(Sistema!Z127="","",Sistema!Z127)</f>
        <v/>
      </c>
      <c r="AA127" t="str">
        <f>IF(Sistema!AA127="","",Sistema!AA127)</f>
        <v/>
      </c>
      <c r="AB127" t="str">
        <f>IF(Sistema!AB127="","",IF(OR(ISNUMBER(SEARCH("MKP",E127)),ISNUMBER(SEARCH("MKP",C127))),"Marketplace &gt; "&amp;Sistema!AB127,Sistema!AB127))</f>
        <v/>
      </c>
      <c r="AC127" t="str">
        <f>IF(Sistema!AC127="","",Sistema!AC127)</f>
        <v/>
      </c>
      <c r="AE127" t="str">
        <f>IF(Sistema!AE127="","",Sistema!AE127)</f>
        <v/>
      </c>
      <c r="AH127" t="str">
        <f>IF(Sistema!AH127="","",Sistema!AH127)</f>
        <v/>
      </c>
      <c r="AQ127" t="str">
        <f>IF(Sistema!AQ127="","",Sistema!AQ127)</f>
        <v/>
      </c>
      <c r="AR127" t="str">
        <f>IF(Sistema!AR127="","",Sistema!AR127)</f>
        <v/>
      </c>
      <c r="AS127" t="str">
        <f>IF(Sistema!AS127="","",Sistema!AS127)</f>
        <v/>
      </c>
      <c r="AT127" t="str">
        <f>IF(Sistema!AT127="","",Sistema!AT127)</f>
        <v/>
      </c>
      <c r="AU127" t="str">
        <f>IF(Sistema!AU127="","",Sistema!AU127)</f>
        <v/>
      </c>
      <c r="AV127" t="str">
        <f>IF(Sistema!AV127="","",Sistema!AV127)</f>
        <v/>
      </c>
      <c r="AW127" t="str">
        <f>IF(Sistema!AW127="","",Sistema!AW127)</f>
        <v/>
      </c>
      <c r="AX127" t="str">
        <f>IF(Sistema!AX127="","",Sistema!AX127)</f>
        <v/>
      </c>
      <c r="AY127" t="str">
        <f>IF(Sistema!AY127="","",Sistema!AY127)</f>
        <v/>
      </c>
      <c r="AZ127" t="str">
        <f>IF(Sistema!AZ127="","",Sistema!AZ127)</f>
        <v/>
      </c>
      <c r="BA127" t="str">
        <f>IF(Sistema!BA127="","",Sistema!BA127)</f>
        <v/>
      </c>
      <c r="BB127" t="str">
        <f>IF(Sistema!BB127="","",Sistema!BB127)</f>
        <v/>
      </c>
      <c r="BC127" t="str">
        <f>IF(Sistema!BC127="","",Sistema!BC127)</f>
        <v/>
      </c>
      <c r="BD127" t="str">
        <f>IF(Sistema!BD127="","",Sistema!BD127)</f>
        <v/>
      </c>
      <c r="BE127" t="str">
        <f>IF(Sistema!BE127="","",Sistema!BE127)</f>
        <v/>
      </c>
      <c r="BF127" t="str">
        <f>IF(Sistema!BF127="","",Sistema!BF127)</f>
        <v/>
      </c>
      <c r="BG127" t="str">
        <f>IF(Sistema!BG127="","",Sistema!BG127)</f>
        <v/>
      </c>
      <c r="BH127" t="str">
        <f>IF(Sistema!BH127="","",Sistema!BH127)</f>
        <v/>
      </c>
      <c r="BI127" t="str">
        <f>IF(Sistema!BI127="","",Sistema!BI127)</f>
        <v/>
      </c>
      <c r="BJ127" t="str">
        <f>IF(Sistema!BJ127="","",Sistema!BJ127)</f>
        <v/>
      </c>
      <c r="BK127" t="str">
        <f>IF(Sistema!BK127="","",Sistema!BK127)</f>
        <v/>
      </c>
      <c r="BL127" t="str">
        <f>IF(Sistema!BL127="","",Sistema!BL127)</f>
        <v/>
      </c>
      <c r="BM127" t="str">
        <f>IF(Sistema!BM127="","",Sistema!BM127)</f>
        <v/>
      </c>
      <c r="BN127" t="str">
        <f>IF(Sistema!BN127="","",Sistema!BN127)</f>
        <v/>
      </c>
      <c r="BO127" t="str">
        <f>IF(Sistema!BO127="","",Sistema!BO127)</f>
        <v/>
      </c>
      <c r="BP127" t="str">
        <f>IF(Sistema!BP127="","",Sistema!BP127)</f>
        <v/>
      </c>
      <c r="BQ127" t="str">
        <f>IF(Sistema!BQ127="","",Sistema!BQ127)</f>
        <v/>
      </c>
      <c r="BR127" t="str">
        <f>IF(Sistema!BR127="","",Sistema!BR127)</f>
        <v/>
      </c>
      <c r="BS127" t="str">
        <f>IF(Sistema!BS127="","",Sistema!BS127)</f>
        <v/>
      </c>
      <c r="BT127" t="str">
        <f>IF(Sistema!BT127="","",Sistema!BT127)</f>
        <v/>
      </c>
      <c r="BU127" t="str">
        <f>IF(Sistema!BU127="","",Sistema!BU127)</f>
        <v/>
      </c>
      <c r="BV127" t="str">
        <f>IF(Sistema!BV127="","",Sistema!BV127)</f>
        <v/>
      </c>
      <c r="BW127" t="str">
        <f>IF(Sistema!BW127="","",Sistema!BW127)</f>
        <v/>
      </c>
      <c r="BX127" t="str">
        <f>IF(Sistema!BX127="","",Sistema!BX127)</f>
        <v/>
      </c>
      <c r="BY127" t="str">
        <f>IF(Sistema!BY127="","",Sistema!BY127)</f>
        <v/>
      </c>
      <c r="BZ127" t="str">
        <f>IF(Sistema!BZ127="","",Sistema!BZ127)</f>
        <v/>
      </c>
      <c r="CA127" t="str">
        <f>IF(Sistema!CA127="","",Sistema!CA127)</f>
        <v/>
      </c>
      <c r="CB127" t="str">
        <f>IF(Sistema!CB127="","",Sistema!CB127)</f>
        <v/>
      </c>
      <c r="CC127" t="str">
        <f>IF(Sistema!CC127="","",Sistema!CC127)</f>
        <v/>
      </c>
      <c r="CD127" t="str">
        <f>IF(Sistema!CD127="","",Sistema!CD127)</f>
        <v/>
      </c>
    </row>
    <row r="128" spans="1:82" x14ac:dyDescent="0.25">
      <c r="A128" t="str">
        <f>IF(Sistema!A128="","",Sistema!A128)</f>
        <v/>
      </c>
      <c r="B128" t="str">
        <f>IF(Sistema!B128="","",Sistema!B128)</f>
        <v/>
      </c>
      <c r="C128" t="str">
        <f>IF(Sistema!C128="","",Sistema!C128)</f>
        <v/>
      </c>
      <c r="D128" t="str">
        <f>IF(Sistema!D128="","",Sistema!D128)</f>
        <v/>
      </c>
      <c r="E128" t="str">
        <f>IF(Sistema!E128="","",Sistema!E128)</f>
        <v/>
      </c>
      <c r="F128">
        <f>IF(P128&gt;0,1,IF(Sistema!F128=0,-1,1))</f>
        <v>-1</v>
      </c>
      <c r="G128">
        <f>Sistema!G128</f>
        <v>0</v>
      </c>
      <c r="H128" t="str">
        <f>IF(OR(R128="notify",R128=1),"visible",IF(OR(Sistema!F128=-1,Sistema!F128=0,ISNUMBER(SEARCH("PCK",E128))),"hidden",IF(P128&gt;0,"visible","hidden")))</f>
        <v>hidden</v>
      </c>
      <c r="I128" t="str">
        <f>IF(B128="simple",IF(P128&gt;0,"",IF(R128="notify",Info!C$2,"")),IF(B128="variable",IF(P128&gt;0,"",IF(R128="notify",Info!C$4,"")),""))</f>
        <v/>
      </c>
      <c r="J128" t="str">
        <f>IF(Sistema!J128="","",Sistema!J128)</f>
        <v/>
      </c>
      <c r="M128" t="str">
        <f>IF(Sistema!M128="","",Sistema!M128)</f>
        <v/>
      </c>
      <c r="N128" s="6" t="s">
        <v>1557</v>
      </c>
      <c r="O128" s="6">
        <v>1</v>
      </c>
      <c r="P128">
        <f>Sistema!P128</f>
        <v>0</v>
      </c>
      <c r="Q128">
        <f>Sistema!Q128</f>
        <v>0</v>
      </c>
      <c r="R128">
        <f>IF(Sistema!R128=1,"notify",Sistema!R128)</f>
        <v>0</v>
      </c>
      <c r="T128" t="str">
        <f>IF(Sistema!T128="","",Sistema!T128)</f>
        <v/>
      </c>
      <c r="U128" t="str">
        <f>IF(Sistema!U128="","",Sistema!U128)</f>
        <v/>
      </c>
      <c r="V128" t="str">
        <f>IF(Sistema!V128="","",Sistema!V128)</f>
        <v/>
      </c>
      <c r="W128" t="str">
        <f>IF(Sistema!W128="","",Sistema!W128)</f>
        <v/>
      </c>
      <c r="X128" s="6">
        <v>1</v>
      </c>
      <c r="Z128" t="str">
        <f>IF(Sistema!Z128="","",Sistema!Z128)</f>
        <v/>
      </c>
      <c r="AA128" t="str">
        <f>IF(Sistema!AA128="","",Sistema!AA128)</f>
        <v/>
      </c>
      <c r="AB128" t="str">
        <f>IF(Sistema!AB128="","",IF(OR(ISNUMBER(SEARCH("MKP",E128)),ISNUMBER(SEARCH("MKP",C128))),"Marketplace &gt; "&amp;Sistema!AB128,Sistema!AB128))</f>
        <v/>
      </c>
      <c r="AC128" t="str">
        <f>IF(Sistema!AC128="","",Sistema!AC128)</f>
        <v/>
      </c>
      <c r="AE128" t="str">
        <f>IF(Sistema!AE128="","",Sistema!AE128)</f>
        <v/>
      </c>
      <c r="AH128" t="str">
        <f>IF(Sistema!AH128="","",Sistema!AH128)</f>
        <v/>
      </c>
      <c r="AQ128" t="str">
        <f>IF(Sistema!AQ128="","",Sistema!AQ128)</f>
        <v/>
      </c>
      <c r="AR128" t="str">
        <f>IF(Sistema!AR128="","",Sistema!AR128)</f>
        <v/>
      </c>
      <c r="AS128" t="str">
        <f>IF(Sistema!AS128="","",Sistema!AS128)</f>
        <v/>
      </c>
      <c r="AT128" t="str">
        <f>IF(Sistema!AT128="","",Sistema!AT128)</f>
        <v/>
      </c>
      <c r="AU128" t="str">
        <f>IF(Sistema!AU128="","",Sistema!AU128)</f>
        <v/>
      </c>
      <c r="AV128" t="str">
        <f>IF(Sistema!AV128="","",Sistema!AV128)</f>
        <v/>
      </c>
      <c r="AW128" t="str">
        <f>IF(Sistema!AW128="","",Sistema!AW128)</f>
        <v/>
      </c>
      <c r="AX128" t="str">
        <f>IF(Sistema!AX128="","",Sistema!AX128)</f>
        <v/>
      </c>
      <c r="AY128" t="str">
        <f>IF(Sistema!AY128="","",Sistema!AY128)</f>
        <v/>
      </c>
      <c r="AZ128" t="str">
        <f>IF(Sistema!AZ128="","",Sistema!AZ128)</f>
        <v/>
      </c>
      <c r="BA128" t="str">
        <f>IF(Sistema!BA128="","",Sistema!BA128)</f>
        <v/>
      </c>
      <c r="BB128" t="str">
        <f>IF(Sistema!BB128="","",Sistema!BB128)</f>
        <v/>
      </c>
      <c r="BC128" t="str">
        <f>IF(Sistema!BC128="","",Sistema!BC128)</f>
        <v/>
      </c>
      <c r="BD128" t="str">
        <f>IF(Sistema!BD128="","",Sistema!BD128)</f>
        <v/>
      </c>
      <c r="BE128" t="str">
        <f>IF(Sistema!BE128="","",Sistema!BE128)</f>
        <v/>
      </c>
      <c r="BF128" t="str">
        <f>IF(Sistema!BF128="","",Sistema!BF128)</f>
        <v/>
      </c>
      <c r="BG128" t="str">
        <f>IF(Sistema!BG128="","",Sistema!BG128)</f>
        <v/>
      </c>
      <c r="BH128" t="str">
        <f>IF(Sistema!BH128="","",Sistema!BH128)</f>
        <v/>
      </c>
      <c r="BI128" t="str">
        <f>IF(Sistema!BI128="","",Sistema!BI128)</f>
        <v/>
      </c>
      <c r="BJ128" t="str">
        <f>IF(Sistema!BJ128="","",Sistema!BJ128)</f>
        <v/>
      </c>
      <c r="BK128" t="str">
        <f>IF(Sistema!BK128="","",Sistema!BK128)</f>
        <v/>
      </c>
      <c r="BL128" t="str">
        <f>IF(Sistema!BL128="","",Sistema!BL128)</f>
        <v/>
      </c>
      <c r="BM128" t="str">
        <f>IF(Sistema!BM128="","",Sistema!BM128)</f>
        <v/>
      </c>
      <c r="BN128" t="str">
        <f>IF(Sistema!BN128="","",Sistema!BN128)</f>
        <v/>
      </c>
      <c r="BO128" t="str">
        <f>IF(Sistema!BO128="","",Sistema!BO128)</f>
        <v/>
      </c>
      <c r="BP128" t="str">
        <f>IF(Sistema!BP128="","",Sistema!BP128)</f>
        <v/>
      </c>
      <c r="BQ128" t="str">
        <f>IF(Sistema!BQ128="","",Sistema!BQ128)</f>
        <v/>
      </c>
      <c r="BR128" t="str">
        <f>IF(Sistema!BR128="","",Sistema!BR128)</f>
        <v/>
      </c>
      <c r="BS128" t="str">
        <f>IF(Sistema!BS128="","",Sistema!BS128)</f>
        <v/>
      </c>
      <c r="BT128" t="str">
        <f>IF(Sistema!BT128="","",Sistema!BT128)</f>
        <v/>
      </c>
      <c r="BU128" t="str">
        <f>IF(Sistema!BU128="","",Sistema!BU128)</f>
        <v/>
      </c>
      <c r="BV128" t="str">
        <f>IF(Sistema!BV128="","",Sistema!BV128)</f>
        <v/>
      </c>
      <c r="BW128" t="str">
        <f>IF(Sistema!BW128="","",Sistema!BW128)</f>
        <v/>
      </c>
      <c r="BX128" t="str">
        <f>IF(Sistema!BX128="","",Sistema!BX128)</f>
        <v/>
      </c>
      <c r="BY128" t="str">
        <f>IF(Sistema!BY128="","",Sistema!BY128)</f>
        <v/>
      </c>
      <c r="BZ128" t="str">
        <f>IF(Sistema!BZ128="","",Sistema!BZ128)</f>
        <v/>
      </c>
      <c r="CA128" t="str">
        <f>IF(Sistema!CA128="","",Sistema!CA128)</f>
        <v/>
      </c>
      <c r="CB128" t="str">
        <f>IF(Sistema!CB128="","",Sistema!CB128)</f>
        <v/>
      </c>
      <c r="CC128" t="str">
        <f>IF(Sistema!CC128="","",Sistema!CC128)</f>
        <v/>
      </c>
      <c r="CD128" t="str">
        <f>IF(Sistema!CD128="","",Sistema!CD128)</f>
        <v/>
      </c>
    </row>
    <row r="129" spans="1:82" x14ac:dyDescent="0.25">
      <c r="A129" t="str">
        <f>IF(Sistema!A129="","",Sistema!A129)</f>
        <v/>
      </c>
      <c r="B129" t="str">
        <f>IF(Sistema!B129="","",Sistema!B129)</f>
        <v/>
      </c>
      <c r="C129" t="str">
        <f>IF(Sistema!C129="","",Sistema!C129)</f>
        <v/>
      </c>
      <c r="D129" t="str">
        <f>IF(Sistema!D129="","",Sistema!D129)</f>
        <v/>
      </c>
      <c r="E129" t="str">
        <f>IF(Sistema!E129="","",Sistema!E129)</f>
        <v/>
      </c>
      <c r="F129">
        <f>IF(P129&gt;0,1,IF(Sistema!F129=0,-1,1))</f>
        <v>-1</v>
      </c>
      <c r="G129">
        <f>Sistema!G129</f>
        <v>0</v>
      </c>
      <c r="H129" t="str">
        <f>IF(OR(R129="notify",R129=1),"visible",IF(OR(Sistema!F129=-1,Sistema!F129=0,ISNUMBER(SEARCH("PCK",E129))),"hidden",IF(P129&gt;0,"visible","hidden")))</f>
        <v>hidden</v>
      </c>
      <c r="I129" t="str">
        <f>IF(B129="simple",IF(P129&gt;0,"",IF(R129="notify",Info!C$2,"")),IF(B129="variable",IF(P129&gt;0,"",IF(R129="notify",Info!C$4,"")),""))</f>
        <v/>
      </c>
      <c r="J129" t="str">
        <f>IF(Sistema!J129="","",Sistema!J129)</f>
        <v/>
      </c>
      <c r="M129" t="str">
        <f>IF(Sistema!M129="","",Sistema!M129)</f>
        <v/>
      </c>
      <c r="N129" s="6" t="s">
        <v>1557</v>
      </c>
      <c r="O129" s="6">
        <v>1</v>
      </c>
      <c r="P129">
        <f>Sistema!P129</f>
        <v>0</v>
      </c>
      <c r="Q129">
        <f>Sistema!Q129</f>
        <v>0</v>
      </c>
      <c r="R129">
        <f>IF(Sistema!R129=1,"notify",Sistema!R129)</f>
        <v>0</v>
      </c>
      <c r="T129" t="str">
        <f>IF(Sistema!T129="","",Sistema!T129)</f>
        <v/>
      </c>
      <c r="U129" t="str">
        <f>IF(Sistema!U129="","",Sistema!U129)</f>
        <v/>
      </c>
      <c r="V129" t="str">
        <f>IF(Sistema!V129="","",Sistema!V129)</f>
        <v/>
      </c>
      <c r="W129" t="str">
        <f>IF(Sistema!W129="","",Sistema!W129)</f>
        <v/>
      </c>
      <c r="X129" s="6">
        <v>1</v>
      </c>
      <c r="Z129" t="str">
        <f>IF(Sistema!Z129="","",Sistema!Z129)</f>
        <v/>
      </c>
      <c r="AA129" t="str">
        <f>IF(Sistema!AA129="","",Sistema!AA129)</f>
        <v/>
      </c>
      <c r="AB129" t="str">
        <f>IF(Sistema!AB129="","",IF(OR(ISNUMBER(SEARCH("MKP",E129)),ISNUMBER(SEARCH("MKP",C129))),"Marketplace &gt; "&amp;Sistema!AB129,Sistema!AB129))</f>
        <v/>
      </c>
      <c r="AC129" t="str">
        <f>IF(Sistema!AC129="","",Sistema!AC129)</f>
        <v/>
      </c>
      <c r="AE129" t="str">
        <f>IF(Sistema!AE129="","",Sistema!AE129)</f>
        <v/>
      </c>
      <c r="AH129" t="str">
        <f>IF(Sistema!AH129="","",Sistema!AH129)</f>
        <v/>
      </c>
      <c r="AQ129" t="str">
        <f>IF(Sistema!AQ129="","",Sistema!AQ129)</f>
        <v/>
      </c>
      <c r="AR129" t="str">
        <f>IF(Sistema!AR129="","",Sistema!AR129)</f>
        <v/>
      </c>
      <c r="AS129" t="str">
        <f>IF(Sistema!AS129="","",Sistema!AS129)</f>
        <v/>
      </c>
      <c r="AT129" t="str">
        <f>IF(Sistema!AT129="","",Sistema!AT129)</f>
        <v/>
      </c>
      <c r="AU129" t="str">
        <f>IF(Sistema!AU129="","",Sistema!AU129)</f>
        <v/>
      </c>
      <c r="AV129" t="str">
        <f>IF(Sistema!AV129="","",Sistema!AV129)</f>
        <v/>
      </c>
      <c r="AW129" t="str">
        <f>IF(Sistema!AW129="","",Sistema!AW129)</f>
        <v/>
      </c>
      <c r="AX129" t="str">
        <f>IF(Sistema!AX129="","",Sistema!AX129)</f>
        <v/>
      </c>
      <c r="AY129" t="str">
        <f>IF(Sistema!AY129="","",Sistema!AY129)</f>
        <v/>
      </c>
      <c r="AZ129" t="str">
        <f>IF(Sistema!AZ129="","",Sistema!AZ129)</f>
        <v/>
      </c>
      <c r="BA129" t="str">
        <f>IF(Sistema!BA129="","",Sistema!BA129)</f>
        <v/>
      </c>
      <c r="BB129" t="str">
        <f>IF(Sistema!BB129="","",Sistema!BB129)</f>
        <v/>
      </c>
      <c r="BC129" t="str">
        <f>IF(Sistema!BC129="","",Sistema!BC129)</f>
        <v/>
      </c>
      <c r="BD129" t="str">
        <f>IF(Sistema!BD129="","",Sistema!BD129)</f>
        <v/>
      </c>
      <c r="BE129" t="str">
        <f>IF(Sistema!BE129="","",Sistema!BE129)</f>
        <v/>
      </c>
      <c r="BF129" t="str">
        <f>IF(Sistema!BF129="","",Sistema!BF129)</f>
        <v/>
      </c>
      <c r="BG129" t="str">
        <f>IF(Sistema!BG129="","",Sistema!BG129)</f>
        <v/>
      </c>
      <c r="BH129" t="str">
        <f>IF(Sistema!BH129="","",Sistema!BH129)</f>
        <v/>
      </c>
      <c r="BI129" t="str">
        <f>IF(Sistema!BI129="","",Sistema!BI129)</f>
        <v/>
      </c>
      <c r="BJ129" t="str">
        <f>IF(Sistema!BJ129="","",Sistema!BJ129)</f>
        <v/>
      </c>
      <c r="BK129" t="str">
        <f>IF(Sistema!BK129="","",Sistema!BK129)</f>
        <v/>
      </c>
      <c r="BL129" t="str">
        <f>IF(Sistema!BL129="","",Sistema!BL129)</f>
        <v/>
      </c>
      <c r="BM129" t="str">
        <f>IF(Sistema!BM129="","",Sistema!BM129)</f>
        <v/>
      </c>
      <c r="BN129" t="str">
        <f>IF(Sistema!BN129="","",Sistema!BN129)</f>
        <v/>
      </c>
      <c r="BO129" t="str">
        <f>IF(Sistema!BO129="","",Sistema!BO129)</f>
        <v/>
      </c>
      <c r="BP129" t="str">
        <f>IF(Sistema!BP129="","",Sistema!BP129)</f>
        <v/>
      </c>
      <c r="BQ129" t="str">
        <f>IF(Sistema!BQ129="","",Sistema!BQ129)</f>
        <v/>
      </c>
      <c r="BR129" t="str">
        <f>IF(Sistema!BR129="","",Sistema!BR129)</f>
        <v/>
      </c>
      <c r="BS129" t="str">
        <f>IF(Sistema!BS129="","",Sistema!BS129)</f>
        <v/>
      </c>
      <c r="BT129" t="str">
        <f>IF(Sistema!BT129="","",Sistema!BT129)</f>
        <v/>
      </c>
      <c r="BU129" t="str">
        <f>IF(Sistema!BU129="","",Sistema!BU129)</f>
        <v/>
      </c>
      <c r="BV129" t="str">
        <f>IF(Sistema!BV129="","",Sistema!BV129)</f>
        <v/>
      </c>
      <c r="BW129" t="str">
        <f>IF(Sistema!BW129="","",Sistema!BW129)</f>
        <v/>
      </c>
      <c r="BX129" t="str">
        <f>IF(Sistema!BX129="","",Sistema!BX129)</f>
        <v/>
      </c>
      <c r="BY129" t="str">
        <f>IF(Sistema!BY129="","",Sistema!BY129)</f>
        <v/>
      </c>
      <c r="BZ129" t="str">
        <f>IF(Sistema!BZ129="","",Sistema!BZ129)</f>
        <v/>
      </c>
      <c r="CA129" t="str">
        <f>IF(Sistema!CA129="","",Sistema!CA129)</f>
        <v/>
      </c>
      <c r="CB129" t="str">
        <f>IF(Sistema!CB129="","",Sistema!CB129)</f>
        <v/>
      </c>
      <c r="CC129" t="str">
        <f>IF(Sistema!CC129="","",Sistema!CC129)</f>
        <v/>
      </c>
      <c r="CD129" t="str">
        <f>IF(Sistema!CD129="","",Sistema!CD129)</f>
        <v/>
      </c>
    </row>
    <row r="130" spans="1:82" x14ac:dyDescent="0.25">
      <c r="A130" t="str">
        <f>IF(Sistema!A130="","",Sistema!A130)</f>
        <v/>
      </c>
      <c r="B130" t="str">
        <f>IF(Sistema!B130="","",Sistema!B130)</f>
        <v/>
      </c>
      <c r="C130" t="str">
        <f>IF(Sistema!C130="","",Sistema!C130)</f>
        <v/>
      </c>
      <c r="D130" t="str">
        <f>IF(Sistema!D130="","",Sistema!D130)</f>
        <v/>
      </c>
      <c r="E130" t="str">
        <f>IF(Sistema!E130="","",Sistema!E130)</f>
        <v/>
      </c>
      <c r="F130">
        <f>IF(P130&gt;0,1,IF(Sistema!F130=0,-1,1))</f>
        <v>-1</v>
      </c>
      <c r="G130">
        <f>Sistema!G130</f>
        <v>0</v>
      </c>
      <c r="H130" t="str">
        <f>IF(OR(R130="notify",R130=1),"visible",IF(OR(Sistema!F130=-1,Sistema!F130=0,ISNUMBER(SEARCH("PCK",E130))),"hidden",IF(P130&gt;0,"visible","hidden")))</f>
        <v>hidden</v>
      </c>
      <c r="I130" t="str">
        <f>IF(B130="simple",IF(P130&gt;0,"",IF(R130="notify",Info!C$2,"")),IF(B130="variable",IF(P130&gt;0,"",IF(R130="notify",Info!C$4,"")),""))</f>
        <v/>
      </c>
      <c r="J130" t="str">
        <f>IF(Sistema!J130="","",Sistema!J130)</f>
        <v/>
      </c>
      <c r="M130" t="str">
        <f>IF(Sistema!M130="","",Sistema!M130)</f>
        <v/>
      </c>
      <c r="N130" s="6" t="s">
        <v>1557</v>
      </c>
      <c r="O130" s="6">
        <v>1</v>
      </c>
      <c r="P130">
        <f>Sistema!P130</f>
        <v>0</v>
      </c>
      <c r="Q130">
        <f>Sistema!Q130</f>
        <v>0</v>
      </c>
      <c r="R130">
        <f>IF(Sistema!R130=1,"notify",Sistema!R130)</f>
        <v>0</v>
      </c>
      <c r="T130" t="str">
        <f>IF(Sistema!T130="","",Sistema!T130)</f>
        <v/>
      </c>
      <c r="U130" t="str">
        <f>IF(Sistema!U130="","",Sistema!U130)</f>
        <v/>
      </c>
      <c r="V130" t="str">
        <f>IF(Sistema!V130="","",Sistema!V130)</f>
        <v/>
      </c>
      <c r="W130" t="str">
        <f>IF(Sistema!W130="","",Sistema!W130)</f>
        <v/>
      </c>
      <c r="X130" s="6">
        <v>1</v>
      </c>
      <c r="Z130" t="str">
        <f>IF(Sistema!Z130="","",Sistema!Z130)</f>
        <v/>
      </c>
      <c r="AA130" t="str">
        <f>IF(Sistema!AA130="","",Sistema!AA130)</f>
        <v/>
      </c>
      <c r="AB130" t="str">
        <f>IF(Sistema!AB130="","",IF(OR(ISNUMBER(SEARCH("MKP",E130)),ISNUMBER(SEARCH("MKP",C130))),"Marketplace &gt; "&amp;Sistema!AB130,Sistema!AB130))</f>
        <v/>
      </c>
      <c r="AC130" t="str">
        <f>IF(Sistema!AC130="","",Sistema!AC130)</f>
        <v/>
      </c>
      <c r="AE130" t="str">
        <f>IF(Sistema!AE130="","",Sistema!AE130)</f>
        <v/>
      </c>
      <c r="AH130" t="str">
        <f>IF(Sistema!AH130="","",Sistema!AH130)</f>
        <v/>
      </c>
      <c r="AQ130" t="str">
        <f>IF(Sistema!AQ130="","",Sistema!AQ130)</f>
        <v/>
      </c>
      <c r="AR130" t="str">
        <f>IF(Sistema!AR130="","",Sistema!AR130)</f>
        <v/>
      </c>
      <c r="AS130" t="str">
        <f>IF(Sistema!AS130="","",Sistema!AS130)</f>
        <v/>
      </c>
      <c r="AT130" t="str">
        <f>IF(Sistema!AT130="","",Sistema!AT130)</f>
        <v/>
      </c>
      <c r="AU130" t="str">
        <f>IF(Sistema!AU130="","",Sistema!AU130)</f>
        <v/>
      </c>
      <c r="AV130" t="str">
        <f>IF(Sistema!AV130="","",Sistema!AV130)</f>
        <v/>
      </c>
      <c r="AW130" t="str">
        <f>IF(Sistema!AW130="","",Sistema!AW130)</f>
        <v/>
      </c>
      <c r="AX130" t="str">
        <f>IF(Sistema!AX130="","",Sistema!AX130)</f>
        <v/>
      </c>
      <c r="AY130" t="str">
        <f>IF(Sistema!AY130="","",Sistema!AY130)</f>
        <v/>
      </c>
      <c r="AZ130" t="str">
        <f>IF(Sistema!AZ130="","",Sistema!AZ130)</f>
        <v/>
      </c>
      <c r="BA130" t="str">
        <f>IF(Sistema!BA130="","",Sistema!BA130)</f>
        <v/>
      </c>
      <c r="BB130" t="str">
        <f>IF(Sistema!BB130="","",Sistema!BB130)</f>
        <v/>
      </c>
      <c r="BC130" t="str">
        <f>IF(Sistema!BC130="","",Sistema!BC130)</f>
        <v/>
      </c>
      <c r="BD130" t="str">
        <f>IF(Sistema!BD130="","",Sistema!BD130)</f>
        <v/>
      </c>
      <c r="BE130" t="str">
        <f>IF(Sistema!BE130="","",Sistema!BE130)</f>
        <v/>
      </c>
      <c r="BF130" t="str">
        <f>IF(Sistema!BF130="","",Sistema!BF130)</f>
        <v/>
      </c>
      <c r="BG130" t="str">
        <f>IF(Sistema!BG130="","",Sistema!BG130)</f>
        <v/>
      </c>
      <c r="BH130" t="str">
        <f>IF(Sistema!BH130="","",Sistema!BH130)</f>
        <v/>
      </c>
      <c r="BI130" t="str">
        <f>IF(Sistema!BI130="","",Sistema!BI130)</f>
        <v/>
      </c>
      <c r="BJ130" t="str">
        <f>IF(Sistema!BJ130="","",Sistema!BJ130)</f>
        <v/>
      </c>
      <c r="BK130" t="str">
        <f>IF(Sistema!BK130="","",Sistema!BK130)</f>
        <v/>
      </c>
      <c r="BL130" t="str">
        <f>IF(Sistema!BL130="","",Sistema!BL130)</f>
        <v/>
      </c>
      <c r="BM130" t="str">
        <f>IF(Sistema!BM130="","",Sistema!BM130)</f>
        <v/>
      </c>
      <c r="BN130" t="str">
        <f>IF(Sistema!BN130="","",Sistema!BN130)</f>
        <v/>
      </c>
      <c r="BO130" t="str">
        <f>IF(Sistema!BO130="","",Sistema!BO130)</f>
        <v/>
      </c>
      <c r="BP130" t="str">
        <f>IF(Sistema!BP130="","",Sistema!BP130)</f>
        <v/>
      </c>
      <c r="BQ130" t="str">
        <f>IF(Sistema!BQ130="","",Sistema!BQ130)</f>
        <v/>
      </c>
      <c r="BR130" t="str">
        <f>IF(Sistema!BR130="","",Sistema!BR130)</f>
        <v/>
      </c>
      <c r="BS130" t="str">
        <f>IF(Sistema!BS130="","",Sistema!BS130)</f>
        <v/>
      </c>
      <c r="BT130" t="str">
        <f>IF(Sistema!BT130="","",Sistema!BT130)</f>
        <v/>
      </c>
      <c r="BU130" t="str">
        <f>IF(Sistema!BU130="","",Sistema!BU130)</f>
        <v/>
      </c>
      <c r="BV130" t="str">
        <f>IF(Sistema!BV130="","",Sistema!BV130)</f>
        <v/>
      </c>
      <c r="BW130" t="str">
        <f>IF(Sistema!BW130="","",Sistema!BW130)</f>
        <v/>
      </c>
      <c r="BX130" t="str">
        <f>IF(Sistema!BX130="","",Sistema!BX130)</f>
        <v/>
      </c>
      <c r="BY130" t="str">
        <f>IF(Sistema!BY130="","",Sistema!BY130)</f>
        <v/>
      </c>
      <c r="BZ130" t="str">
        <f>IF(Sistema!BZ130="","",Sistema!BZ130)</f>
        <v/>
      </c>
      <c r="CA130" t="str">
        <f>IF(Sistema!CA130="","",Sistema!CA130)</f>
        <v/>
      </c>
      <c r="CB130" t="str">
        <f>IF(Sistema!CB130="","",Sistema!CB130)</f>
        <v/>
      </c>
      <c r="CC130" t="str">
        <f>IF(Sistema!CC130="","",Sistema!CC130)</f>
        <v/>
      </c>
      <c r="CD130" t="str">
        <f>IF(Sistema!CD130="","",Sistema!CD130)</f>
        <v/>
      </c>
    </row>
    <row r="131" spans="1:82" x14ac:dyDescent="0.25">
      <c r="A131" t="str">
        <f>IF(Sistema!A131="","",Sistema!A131)</f>
        <v/>
      </c>
      <c r="B131" t="str">
        <f>IF(Sistema!B131="","",Sistema!B131)</f>
        <v/>
      </c>
      <c r="C131" t="str">
        <f>IF(Sistema!C131="","",Sistema!C131)</f>
        <v/>
      </c>
      <c r="D131" t="str">
        <f>IF(Sistema!D131="","",Sistema!D131)</f>
        <v/>
      </c>
      <c r="E131" t="str">
        <f>IF(Sistema!E131="","",Sistema!E131)</f>
        <v/>
      </c>
      <c r="F131">
        <f>IF(P131&gt;0,1,IF(Sistema!F131=0,-1,1))</f>
        <v>-1</v>
      </c>
      <c r="G131">
        <f>Sistema!G131</f>
        <v>0</v>
      </c>
      <c r="H131" t="str">
        <f>IF(OR(R131="notify",R131=1),"visible",IF(OR(Sistema!F131=-1,Sistema!F131=0,ISNUMBER(SEARCH("PCK",E131))),"hidden",IF(P131&gt;0,"visible","hidden")))</f>
        <v>hidden</v>
      </c>
      <c r="I131" t="str">
        <f>IF(B131="simple",IF(P131&gt;0,"",IF(R131="notify",Info!C$2,"")),IF(B131="variable",IF(P131&gt;0,"",IF(R131="notify",Info!C$4,"")),""))</f>
        <v/>
      </c>
      <c r="J131" t="str">
        <f>IF(Sistema!J131="","",Sistema!J131)</f>
        <v/>
      </c>
      <c r="M131" t="str">
        <f>IF(Sistema!M131="","",Sistema!M131)</f>
        <v/>
      </c>
      <c r="N131" s="6" t="s">
        <v>1557</v>
      </c>
      <c r="O131" s="6">
        <v>1</v>
      </c>
      <c r="P131">
        <f>Sistema!P131</f>
        <v>0</v>
      </c>
      <c r="Q131">
        <f>Sistema!Q131</f>
        <v>0</v>
      </c>
      <c r="R131">
        <f>IF(Sistema!R131=1,"notify",Sistema!R131)</f>
        <v>0</v>
      </c>
      <c r="T131" t="str">
        <f>IF(Sistema!T131="","",Sistema!T131)</f>
        <v/>
      </c>
      <c r="U131" t="str">
        <f>IF(Sistema!U131="","",Sistema!U131)</f>
        <v/>
      </c>
      <c r="V131" t="str">
        <f>IF(Sistema!V131="","",Sistema!V131)</f>
        <v/>
      </c>
      <c r="W131" t="str">
        <f>IF(Sistema!W131="","",Sistema!W131)</f>
        <v/>
      </c>
      <c r="X131" s="6">
        <v>1</v>
      </c>
      <c r="Z131" t="str">
        <f>IF(Sistema!Z131="","",Sistema!Z131)</f>
        <v/>
      </c>
      <c r="AA131" t="str">
        <f>IF(Sistema!AA131="","",Sistema!AA131)</f>
        <v/>
      </c>
      <c r="AB131" t="str">
        <f>IF(Sistema!AB131="","",IF(OR(ISNUMBER(SEARCH("MKP",E131)),ISNUMBER(SEARCH("MKP",C131))),"Marketplace &gt; "&amp;Sistema!AB131,Sistema!AB131))</f>
        <v/>
      </c>
      <c r="AC131" t="str">
        <f>IF(Sistema!AC131="","",Sistema!AC131)</f>
        <v/>
      </c>
      <c r="AE131" t="str">
        <f>IF(Sistema!AE131="","",Sistema!AE131)</f>
        <v/>
      </c>
      <c r="AH131" t="str">
        <f>IF(Sistema!AH131="","",Sistema!AH131)</f>
        <v/>
      </c>
      <c r="AQ131" t="str">
        <f>IF(Sistema!AQ131="","",Sistema!AQ131)</f>
        <v/>
      </c>
      <c r="AR131" t="str">
        <f>IF(Sistema!AR131="","",Sistema!AR131)</f>
        <v/>
      </c>
      <c r="AS131" t="str">
        <f>IF(Sistema!AS131="","",Sistema!AS131)</f>
        <v/>
      </c>
      <c r="AT131" t="str">
        <f>IF(Sistema!AT131="","",Sistema!AT131)</f>
        <v/>
      </c>
      <c r="AU131" t="str">
        <f>IF(Sistema!AU131="","",Sistema!AU131)</f>
        <v/>
      </c>
      <c r="AV131" t="str">
        <f>IF(Sistema!AV131="","",Sistema!AV131)</f>
        <v/>
      </c>
      <c r="AW131" t="str">
        <f>IF(Sistema!AW131="","",Sistema!AW131)</f>
        <v/>
      </c>
      <c r="AX131" t="str">
        <f>IF(Sistema!AX131="","",Sistema!AX131)</f>
        <v/>
      </c>
      <c r="AY131" t="str">
        <f>IF(Sistema!AY131="","",Sistema!AY131)</f>
        <v/>
      </c>
      <c r="AZ131" t="str">
        <f>IF(Sistema!AZ131="","",Sistema!AZ131)</f>
        <v/>
      </c>
      <c r="BA131" t="str">
        <f>IF(Sistema!BA131="","",Sistema!BA131)</f>
        <v/>
      </c>
      <c r="BB131" t="str">
        <f>IF(Sistema!BB131="","",Sistema!BB131)</f>
        <v/>
      </c>
      <c r="BC131" t="str">
        <f>IF(Sistema!BC131="","",Sistema!BC131)</f>
        <v/>
      </c>
      <c r="BD131" t="str">
        <f>IF(Sistema!BD131="","",Sistema!BD131)</f>
        <v/>
      </c>
      <c r="BE131" t="str">
        <f>IF(Sistema!BE131="","",Sistema!BE131)</f>
        <v/>
      </c>
      <c r="BF131" t="str">
        <f>IF(Sistema!BF131="","",Sistema!BF131)</f>
        <v/>
      </c>
      <c r="BG131" t="str">
        <f>IF(Sistema!BG131="","",Sistema!BG131)</f>
        <v/>
      </c>
      <c r="BH131" t="str">
        <f>IF(Sistema!BH131="","",Sistema!BH131)</f>
        <v/>
      </c>
      <c r="BI131" t="str">
        <f>IF(Sistema!BI131="","",Sistema!BI131)</f>
        <v/>
      </c>
      <c r="BJ131" t="str">
        <f>IF(Sistema!BJ131="","",Sistema!BJ131)</f>
        <v/>
      </c>
      <c r="BK131" t="str">
        <f>IF(Sistema!BK131="","",Sistema!BK131)</f>
        <v/>
      </c>
      <c r="BL131" t="str">
        <f>IF(Sistema!BL131="","",Sistema!BL131)</f>
        <v/>
      </c>
      <c r="BM131" t="str">
        <f>IF(Sistema!BM131="","",Sistema!BM131)</f>
        <v/>
      </c>
      <c r="BN131" t="str">
        <f>IF(Sistema!BN131="","",Sistema!BN131)</f>
        <v/>
      </c>
      <c r="BO131" t="str">
        <f>IF(Sistema!BO131="","",Sistema!BO131)</f>
        <v/>
      </c>
      <c r="BP131" t="str">
        <f>IF(Sistema!BP131="","",Sistema!BP131)</f>
        <v/>
      </c>
      <c r="BQ131" t="str">
        <f>IF(Sistema!BQ131="","",Sistema!BQ131)</f>
        <v/>
      </c>
      <c r="BR131" t="str">
        <f>IF(Sistema!BR131="","",Sistema!BR131)</f>
        <v/>
      </c>
      <c r="BS131" t="str">
        <f>IF(Sistema!BS131="","",Sistema!BS131)</f>
        <v/>
      </c>
      <c r="BT131" t="str">
        <f>IF(Sistema!BT131="","",Sistema!BT131)</f>
        <v/>
      </c>
      <c r="BU131" t="str">
        <f>IF(Sistema!BU131="","",Sistema!BU131)</f>
        <v/>
      </c>
      <c r="BV131" t="str">
        <f>IF(Sistema!BV131="","",Sistema!BV131)</f>
        <v/>
      </c>
      <c r="BW131" t="str">
        <f>IF(Sistema!BW131="","",Sistema!BW131)</f>
        <v/>
      </c>
      <c r="BX131" t="str">
        <f>IF(Sistema!BX131="","",Sistema!BX131)</f>
        <v/>
      </c>
      <c r="BY131" t="str">
        <f>IF(Sistema!BY131="","",Sistema!BY131)</f>
        <v/>
      </c>
      <c r="BZ131" t="str">
        <f>IF(Sistema!BZ131="","",Sistema!BZ131)</f>
        <v/>
      </c>
      <c r="CA131" t="str">
        <f>IF(Sistema!CA131="","",Sistema!CA131)</f>
        <v/>
      </c>
      <c r="CB131" t="str">
        <f>IF(Sistema!CB131="","",Sistema!CB131)</f>
        <v/>
      </c>
      <c r="CC131" t="str">
        <f>IF(Sistema!CC131="","",Sistema!CC131)</f>
        <v/>
      </c>
      <c r="CD131" t="str">
        <f>IF(Sistema!CD131="","",Sistema!CD131)</f>
        <v/>
      </c>
    </row>
    <row r="132" spans="1:82" x14ac:dyDescent="0.25">
      <c r="A132" t="str">
        <f>IF(Sistema!A132="","",Sistema!A132)</f>
        <v/>
      </c>
      <c r="B132" t="str">
        <f>IF(Sistema!B132="","",Sistema!B132)</f>
        <v/>
      </c>
      <c r="C132" t="str">
        <f>IF(Sistema!C132="","",Sistema!C132)</f>
        <v/>
      </c>
      <c r="D132" t="str">
        <f>IF(Sistema!D132="","",Sistema!D132)</f>
        <v/>
      </c>
      <c r="E132" t="str">
        <f>IF(Sistema!E132="","",Sistema!E132)</f>
        <v/>
      </c>
      <c r="F132">
        <f>IF(P132&gt;0,1,IF(Sistema!F132=0,-1,1))</f>
        <v>-1</v>
      </c>
      <c r="G132">
        <f>Sistema!G132</f>
        <v>0</v>
      </c>
      <c r="H132" t="str">
        <f>IF(OR(R132="notify",R132=1),"visible",IF(OR(Sistema!F132=-1,Sistema!F132=0,ISNUMBER(SEARCH("PCK",E132))),"hidden",IF(P132&gt;0,"visible","hidden")))</f>
        <v>hidden</v>
      </c>
      <c r="I132" t="str">
        <f>IF(B132="simple",IF(P132&gt;0,"",IF(R132="notify",Info!C$2,"")),IF(B132="variable",IF(P132&gt;0,"",IF(R132="notify",Info!C$4,"")),""))</f>
        <v/>
      </c>
      <c r="J132" t="str">
        <f>IF(Sistema!J132="","",Sistema!J132)</f>
        <v/>
      </c>
      <c r="M132" t="str">
        <f>IF(Sistema!M132="","",Sistema!M132)</f>
        <v/>
      </c>
      <c r="N132" s="6" t="s">
        <v>1557</v>
      </c>
      <c r="O132" s="6">
        <v>1</v>
      </c>
      <c r="P132">
        <f>Sistema!P132</f>
        <v>0</v>
      </c>
      <c r="Q132">
        <f>Sistema!Q132</f>
        <v>0</v>
      </c>
      <c r="R132">
        <f>IF(Sistema!R132=1,"notify",Sistema!R132)</f>
        <v>0</v>
      </c>
      <c r="T132" t="str">
        <f>IF(Sistema!T132="","",Sistema!T132)</f>
        <v/>
      </c>
      <c r="U132" t="str">
        <f>IF(Sistema!U132="","",Sistema!U132)</f>
        <v/>
      </c>
      <c r="V132" t="str">
        <f>IF(Sistema!V132="","",Sistema!V132)</f>
        <v/>
      </c>
      <c r="W132" t="str">
        <f>IF(Sistema!W132="","",Sistema!W132)</f>
        <v/>
      </c>
      <c r="X132" s="6">
        <v>1</v>
      </c>
      <c r="Z132" t="str">
        <f>IF(Sistema!Z132="","",Sistema!Z132)</f>
        <v/>
      </c>
      <c r="AA132" t="str">
        <f>IF(Sistema!AA132="","",Sistema!AA132)</f>
        <v/>
      </c>
      <c r="AB132" t="str">
        <f>IF(Sistema!AB132="","",IF(OR(ISNUMBER(SEARCH("MKP",E132)),ISNUMBER(SEARCH("MKP",C132))),"Marketplace &gt; "&amp;Sistema!AB132,Sistema!AB132))</f>
        <v/>
      </c>
      <c r="AC132" t="str">
        <f>IF(Sistema!AC132="","",Sistema!AC132)</f>
        <v/>
      </c>
      <c r="AE132" t="str">
        <f>IF(Sistema!AE132="","",Sistema!AE132)</f>
        <v/>
      </c>
      <c r="AH132" t="str">
        <f>IF(Sistema!AH132="","",Sistema!AH132)</f>
        <v/>
      </c>
      <c r="AQ132" t="str">
        <f>IF(Sistema!AQ132="","",Sistema!AQ132)</f>
        <v/>
      </c>
      <c r="AR132" t="str">
        <f>IF(Sistema!AR132="","",Sistema!AR132)</f>
        <v/>
      </c>
      <c r="AS132" t="str">
        <f>IF(Sistema!AS132="","",Sistema!AS132)</f>
        <v/>
      </c>
      <c r="AT132" t="str">
        <f>IF(Sistema!AT132="","",Sistema!AT132)</f>
        <v/>
      </c>
      <c r="AU132" t="str">
        <f>IF(Sistema!AU132="","",Sistema!AU132)</f>
        <v/>
      </c>
      <c r="AV132" t="str">
        <f>IF(Sistema!AV132="","",Sistema!AV132)</f>
        <v/>
      </c>
      <c r="AW132" t="str">
        <f>IF(Sistema!AW132="","",Sistema!AW132)</f>
        <v/>
      </c>
      <c r="AX132" t="str">
        <f>IF(Sistema!AX132="","",Sistema!AX132)</f>
        <v/>
      </c>
      <c r="AY132" t="str">
        <f>IF(Sistema!AY132="","",Sistema!AY132)</f>
        <v/>
      </c>
      <c r="AZ132" t="str">
        <f>IF(Sistema!AZ132="","",Sistema!AZ132)</f>
        <v/>
      </c>
      <c r="BA132" t="str">
        <f>IF(Sistema!BA132="","",Sistema!BA132)</f>
        <v/>
      </c>
      <c r="BB132" t="str">
        <f>IF(Sistema!BB132="","",Sistema!BB132)</f>
        <v/>
      </c>
      <c r="BC132" t="str">
        <f>IF(Sistema!BC132="","",Sistema!BC132)</f>
        <v/>
      </c>
      <c r="BD132" t="str">
        <f>IF(Sistema!BD132="","",Sistema!BD132)</f>
        <v/>
      </c>
      <c r="BE132" t="str">
        <f>IF(Sistema!BE132="","",Sistema!BE132)</f>
        <v/>
      </c>
      <c r="BF132" t="str">
        <f>IF(Sistema!BF132="","",Sistema!BF132)</f>
        <v/>
      </c>
      <c r="BG132" t="str">
        <f>IF(Sistema!BG132="","",Sistema!BG132)</f>
        <v/>
      </c>
      <c r="BH132" t="str">
        <f>IF(Sistema!BH132="","",Sistema!BH132)</f>
        <v/>
      </c>
      <c r="BI132" t="str">
        <f>IF(Sistema!BI132="","",Sistema!BI132)</f>
        <v/>
      </c>
      <c r="BJ132" t="str">
        <f>IF(Sistema!BJ132="","",Sistema!BJ132)</f>
        <v/>
      </c>
      <c r="BK132" t="str">
        <f>IF(Sistema!BK132="","",Sistema!BK132)</f>
        <v/>
      </c>
      <c r="BL132" t="str">
        <f>IF(Sistema!BL132="","",Sistema!BL132)</f>
        <v/>
      </c>
      <c r="BM132" t="str">
        <f>IF(Sistema!BM132="","",Sistema!BM132)</f>
        <v/>
      </c>
      <c r="BN132" t="str">
        <f>IF(Sistema!BN132="","",Sistema!BN132)</f>
        <v/>
      </c>
      <c r="BO132" t="str">
        <f>IF(Sistema!BO132="","",Sistema!BO132)</f>
        <v/>
      </c>
      <c r="BP132" t="str">
        <f>IF(Sistema!BP132="","",Sistema!BP132)</f>
        <v/>
      </c>
      <c r="BQ132" t="str">
        <f>IF(Sistema!BQ132="","",Sistema!BQ132)</f>
        <v/>
      </c>
      <c r="BR132" t="str">
        <f>IF(Sistema!BR132="","",Sistema!BR132)</f>
        <v/>
      </c>
      <c r="BS132" t="str">
        <f>IF(Sistema!BS132="","",Sistema!BS132)</f>
        <v/>
      </c>
      <c r="BT132" t="str">
        <f>IF(Sistema!BT132="","",Sistema!BT132)</f>
        <v/>
      </c>
      <c r="BU132" t="str">
        <f>IF(Sistema!BU132="","",Sistema!BU132)</f>
        <v/>
      </c>
      <c r="BV132" t="str">
        <f>IF(Sistema!BV132="","",Sistema!BV132)</f>
        <v/>
      </c>
      <c r="BW132" t="str">
        <f>IF(Sistema!BW132="","",Sistema!BW132)</f>
        <v/>
      </c>
      <c r="BX132" t="str">
        <f>IF(Sistema!BX132="","",Sistema!BX132)</f>
        <v/>
      </c>
      <c r="BY132" t="str">
        <f>IF(Sistema!BY132="","",Sistema!BY132)</f>
        <v/>
      </c>
      <c r="BZ132" t="str">
        <f>IF(Sistema!BZ132="","",Sistema!BZ132)</f>
        <v/>
      </c>
      <c r="CA132" t="str">
        <f>IF(Sistema!CA132="","",Sistema!CA132)</f>
        <v/>
      </c>
      <c r="CB132" t="str">
        <f>IF(Sistema!CB132="","",Sistema!CB132)</f>
        <v/>
      </c>
      <c r="CC132" t="str">
        <f>IF(Sistema!CC132="","",Sistema!CC132)</f>
        <v/>
      </c>
      <c r="CD132" t="str">
        <f>IF(Sistema!CD132="","",Sistema!CD132)</f>
        <v/>
      </c>
    </row>
    <row r="133" spans="1:82" x14ac:dyDescent="0.25">
      <c r="A133" t="str">
        <f>IF(Sistema!A133="","",Sistema!A133)</f>
        <v/>
      </c>
      <c r="B133" t="str">
        <f>IF(Sistema!B133="","",Sistema!B133)</f>
        <v/>
      </c>
      <c r="C133" t="str">
        <f>IF(Sistema!C133="","",Sistema!C133)</f>
        <v/>
      </c>
      <c r="D133" t="str">
        <f>IF(Sistema!D133="","",Sistema!D133)</f>
        <v/>
      </c>
      <c r="E133" t="str">
        <f>IF(Sistema!E133="","",Sistema!E133)</f>
        <v/>
      </c>
      <c r="F133">
        <f>IF(P133&gt;0,1,IF(Sistema!F133=0,-1,1))</f>
        <v>-1</v>
      </c>
      <c r="G133">
        <f>Sistema!G133</f>
        <v>0</v>
      </c>
      <c r="H133" t="str">
        <f>IF(OR(R133="notify",R133=1),"visible",IF(OR(Sistema!F133=-1,Sistema!F133=0,ISNUMBER(SEARCH("PCK",E133))),"hidden",IF(P133&gt;0,"visible","hidden")))</f>
        <v>hidden</v>
      </c>
      <c r="I133" t="str">
        <f>IF(B133="simple",IF(P133&gt;0,"",IF(R133="notify",Info!C$2,"")),IF(B133="variable",IF(P133&gt;0,"",IF(R133="notify",Info!C$4,"")),""))</f>
        <v/>
      </c>
      <c r="J133" t="str">
        <f>IF(Sistema!J133="","",Sistema!J133)</f>
        <v/>
      </c>
      <c r="M133" t="str">
        <f>IF(Sistema!M133="","",Sistema!M133)</f>
        <v/>
      </c>
      <c r="N133" s="6" t="s">
        <v>1557</v>
      </c>
      <c r="O133" s="6">
        <v>1</v>
      </c>
      <c r="P133">
        <f>Sistema!P133</f>
        <v>0</v>
      </c>
      <c r="Q133">
        <f>Sistema!Q133</f>
        <v>0</v>
      </c>
      <c r="R133">
        <f>IF(Sistema!R133=1,"notify",Sistema!R133)</f>
        <v>0</v>
      </c>
      <c r="T133" t="str">
        <f>IF(Sistema!T133="","",Sistema!T133)</f>
        <v/>
      </c>
      <c r="U133" t="str">
        <f>IF(Sistema!U133="","",Sistema!U133)</f>
        <v/>
      </c>
      <c r="V133" t="str">
        <f>IF(Sistema!V133="","",Sistema!V133)</f>
        <v/>
      </c>
      <c r="W133" t="str">
        <f>IF(Sistema!W133="","",Sistema!W133)</f>
        <v/>
      </c>
      <c r="X133" s="6">
        <v>1</v>
      </c>
      <c r="Z133" t="str">
        <f>IF(Sistema!Z133="","",Sistema!Z133)</f>
        <v/>
      </c>
      <c r="AA133" t="str">
        <f>IF(Sistema!AA133="","",Sistema!AA133)</f>
        <v/>
      </c>
      <c r="AB133" t="str">
        <f>IF(Sistema!AB133="","",IF(OR(ISNUMBER(SEARCH("MKP",E133)),ISNUMBER(SEARCH("MKP",C133))),"Marketplace &gt; "&amp;Sistema!AB133,Sistema!AB133))</f>
        <v/>
      </c>
      <c r="AC133" t="str">
        <f>IF(Sistema!AC133="","",Sistema!AC133)</f>
        <v/>
      </c>
      <c r="AE133" t="str">
        <f>IF(Sistema!AE133="","",Sistema!AE133)</f>
        <v/>
      </c>
      <c r="AH133" t="str">
        <f>IF(Sistema!AH133="","",Sistema!AH133)</f>
        <v/>
      </c>
      <c r="AQ133" t="str">
        <f>IF(Sistema!AQ133="","",Sistema!AQ133)</f>
        <v/>
      </c>
      <c r="AR133" t="str">
        <f>IF(Sistema!AR133="","",Sistema!AR133)</f>
        <v/>
      </c>
      <c r="AS133" t="str">
        <f>IF(Sistema!AS133="","",Sistema!AS133)</f>
        <v/>
      </c>
      <c r="AT133" t="str">
        <f>IF(Sistema!AT133="","",Sistema!AT133)</f>
        <v/>
      </c>
      <c r="AU133" t="str">
        <f>IF(Sistema!AU133="","",Sistema!AU133)</f>
        <v/>
      </c>
      <c r="AV133" t="str">
        <f>IF(Sistema!AV133="","",Sistema!AV133)</f>
        <v/>
      </c>
      <c r="AW133" t="str">
        <f>IF(Sistema!AW133="","",Sistema!AW133)</f>
        <v/>
      </c>
      <c r="AX133" t="str">
        <f>IF(Sistema!AX133="","",Sistema!AX133)</f>
        <v/>
      </c>
      <c r="AY133" t="str">
        <f>IF(Sistema!AY133="","",Sistema!AY133)</f>
        <v/>
      </c>
      <c r="AZ133" t="str">
        <f>IF(Sistema!AZ133="","",Sistema!AZ133)</f>
        <v/>
      </c>
      <c r="BA133" t="str">
        <f>IF(Sistema!BA133="","",Sistema!BA133)</f>
        <v/>
      </c>
      <c r="BB133" t="str">
        <f>IF(Sistema!BB133="","",Sistema!BB133)</f>
        <v/>
      </c>
      <c r="BC133" t="str">
        <f>IF(Sistema!BC133="","",Sistema!BC133)</f>
        <v/>
      </c>
      <c r="BD133" t="str">
        <f>IF(Sistema!BD133="","",Sistema!BD133)</f>
        <v/>
      </c>
      <c r="BE133" t="str">
        <f>IF(Sistema!BE133="","",Sistema!BE133)</f>
        <v/>
      </c>
      <c r="BF133" t="str">
        <f>IF(Sistema!BF133="","",Sistema!BF133)</f>
        <v/>
      </c>
      <c r="BG133" t="str">
        <f>IF(Sistema!BG133="","",Sistema!BG133)</f>
        <v/>
      </c>
      <c r="BH133" t="str">
        <f>IF(Sistema!BH133="","",Sistema!BH133)</f>
        <v/>
      </c>
      <c r="BI133" t="str">
        <f>IF(Sistema!BI133="","",Sistema!BI133)</f>
        <v/>
      </c>
      <c r="BJ133" t="str">
        <f>IF(Sistema!BJ133="","",Sistema!BJ133)</f>
        <v/>
      </c>
      <c r="BK133" t="str">
        <f>IF(Sistema!BK133="","",Sistema!BK133)</f>
        <v/>
      </c>
      <c r="BL133" t="str">
        <f>IF(Sistema!BL133="","",Sistema!BL133)</f>
        <v/>
      </c>
      <c r="BM133" t="str">
        <f>IF(Sistema!BM133="","",Sistema!BM133)</f>
        <v/>
      </c>
      <c r="BN133" t="str">
        <f>IF(Sistema!BN133="","",Sistema!BN133)</f>
        <v/>
      </c>
      <c r="BO133" t="str">
        <f>IF(Sistema!BO133="","",Sistema!BO133)</f>
        <v/>
      </c>
      <c r="BP133" t="str">
        <f>IF(Sistema!BP133="","",Sistema!BP133)</f>
        <v/>
      </c>
      <c r="BQ133" t="str">
        <f>IF(Sistema!BQ133="","",Sistema!BQ133)</f>
        <v/>
      </c>
      <c r="BR133" t="str">
        <f>IF(Sistema!BR133="","",Sistema!BR133)</f>
        <v/>
      </c>
      <c r="BS133" t="str">
        <f>IF(Sistema!BS133="","",Sistema!BS133)</f>
        <v/>
      </c>
      <c r="BT133" t="str">
        <f>IF(Sistema!BT133="","",Sistema!BT133)</f>
        <v/>
      </c>
      <c r="BU133" t="str">
        <f>IF(Sistema!BU133="","",Sistema!BU133)</f>
        <v/>
      </c>
      <c r="BV133" t="str">
        <f>IF(Sistema!BV133="","",Sistema!BV133)</f>
        <v/>
      </c>
      <c r="BW133" t="str">
        <f>IF(Sistema!BW133="","",Sistema!BW133)</f>
        <v/>
      </c>
      <c r="BX133" t="str">
        <f>IF(Sistema!BX133="","",Sistema!BX133)</f>
        <v/>
      </c>
      <c r="BY133" t="str">
        <f>IF(Sistema!BY133="","",Sistema!BY133)</f>
        <v/>
      </c>
      <c r="BZ133" t="str">
        <f>IF(Sistema!BZ133="","",Sistema!BZ133)</f>
        <v/>
      </c>
      <c r="CA133" t="str">
        <f>IF(Sistema!CA133="","",Sistema!CA133)</f>
        <v/>
      </c>
      <c r="CB133" t="str">
        <f>IF(Sistema!CB133="","",Sistema!CB133)</f>
        <v/>
      </c>
      <c r="CC133" t="str">
        <f>IF(Sistema!CC133="","",Sistema!CC133)</f>
        <v/>
      </c>
      <c r="CD133" t="str">
        <f>IF(Sistema!CD133="","",Sistema!CD133)</f>
        <v/>
      </c>
    </row>
    <row r="134" spans="1:82" x14ac:dyDescent="0.25">
      <c r="A134" t="str">
        <f>IF(Sistema!A134="","",Sistema!A134)</f>
        <v/>
      </c>
      <c r="B134" t="str">
        <f>IF(Sistema!B134="","",Sistema!B134)</f>
        <v/>
      </c>
      <c r="C134" t="str">
        <f>IF(Sistema!C134="","",Sistema!C134)</f>
        <v/>
      </c>
      <c r="D134" t="str">
        <f>IF(Sistema!D134="","",Sistema!D134)</f>
        <v/>
      </c>
      <c r="E134" t="str">
        <f>IF(Sistema!E134="","",Sistema!E134)</f>
        <v/>
      </c>
      <c r="F134">
        <f>IF(P134&gt;0,1,IF(Sistema!F134=0,-1,1))</f>
        <v>-1</v>
      </c>
      <c r="G134">
        <f>Sistema!G134</f>
        <v>0</v>
      </c>
      <c r="H134" t="str">
        <f>IF(OR(R134="notify",R134=1),"visible",IF(OR(Sistema!F134=-1,Sistema!F134=0,ISNUMBER(SEARCH("PCK",E134))),"hidden",IF(P134&gt;0,"visible","hidden")))</f>
        <v>hidden</v>
      </c>
      <c r="I134" t="str">
        <f>IF(B134="simple",IF(P134&gt;0,"",IF(R134="notify",Info!C$2,"")),IF(B134="variable",IF(P134&gt;0,"",IF(R134="notify",Info!C$4,"")),""))</f>
        <v/>
      </c>
      <c r="J134" t="str">
        <f>IF(Sistema!J134="","",Sistema!J134)</f>
        <v/>
      </c>
      <c r="M134" t="str">
        <f>IF(Sistema!M134="","",Sistema!M134)</f>
        <v/>
      </c>
      <c r="N134" s="6" t="s">
        <v>1557</v>
      </c>
      <c r="O134" s="6">
        <v>1</v>
      </c>
      <c r="P134">
        <f>Sistema!P134</f>
        <v>0</v>
      </c>
      <c r="Q134">
        <f>Sistema!Q134</f>
        <v>0</v>
      </c>
      <c r="R134">
        <f>IF(Sistema!R134=1,"notify",Sistema!R134)</f>
        <v>0</v>
      </c>
      <c r="T134" t="str">
        <f>IF(Sistema!T134="","",Sistema!T134)</f>
        <v/>
      </c>
      <c r="U134" t="str">
        <f>IF(Sistema!U134="","",Sistema!U134)</f>
        <v/>
      </c>
      <c r="V134" t="str">
        <f>IF(Sistema!V134="","",Sistema!V134)</f>
        <v/>
      </c>
      <c r="W134" t="str">
        <f>IF(Sistema!W134="","",Sistema!W134)</f>
        <v/>
      </c>
      <c r="X134" s="6">
        <v>1</v>
      </c>
      <c r="Z134" t="str">
        <f>IF(Sistema!Z134="","",Sistema!Z134)</f>
        <v/>
      </c>
      <c r="AA134" t="str">
        <f>IF(Sistema!AA134="","",Sistema!AA134)</f>
        <v/>
      </c>
      <c r="AB134" t="str">
        <f>IF(Sistema!AB134="","",IF(OR(ISNUMBER(SEARCH("MKP",E134)),ISNUMBER(SEARCH("MKP",C134))),"Marketplace &gt; "&amp;Sistema!AB134,Sistema!AB134))</f>
        <v/>
      </c>
      <c r="AC134" t="str">
        <f>IF(Sistema!AC134="","",Sistema!AC134)</f>
        <v/>
      </c>
      <c r="AE134" t="str">
        <f>IF(Sistema!AE134="","",Sistema!AE134)</f>
        <v/>
      </c>
      <c r="AH134" t="str">
        <f>IF(Sistema!AH134="","",Sistema!AH134)</f>
        <v/>
      </c>
      <c r="AQ134" t="str">
        <f>IF(Sistema!AQ134="","",Sistema!AQ134)</f>
        <v/>
      </c>
      <c r="AR134" t="str">
        <f>IF(Sistema!AR134="","",Sistema!AR134)</f>
        <v/>
      </c>
      <c r="AS134" t="str">
        <f>IF(Sistema!AS134="","",Sistema!AS134)</f>
        <v/>
      </c>
      <c r="AT134" t="str">
        <f>IF(Sistema!AT134="","",Sistema!AT134)</f>
        <v/>
      </c>
      <c r="AU134" t="str">
        <f>IF(Sistema!AU134="","",Sistema!AU134)</f>
        <v/>
      </c>
      <c r="AV134" t="str">
        <f>IF(Sistema!AV134="","",Sistema!AV134)</f>
        <v/>
      </c>
      <c r="AW134" t="str">
        <f>IF(Sistema!AW134="","",Sistema!AW134)</f>
        <v/>
      </c>
      <c r="AX134" t="str">
        <f>IF(Sistema!AX134="","",Sistema!AX134)</f>
        <v/>
      </c>
      <c r="AY134" t="str">
        <f>IF(Sistema!AY134="","",Sistema!AY134)</f>
        <v/>
      </c>
      <c r="AZ134" t="str">
        <f>IF(Sistema!AZ134="","",Sistema!AZ134)</f>
        <v/>
      </c>
      <c r="BA134" t="str">
        <f>IF(Sistema!BA134="","",Sistema!BA134)</f>
        <v/>
      </c>
      <c r="BB134" t="str">
        <f>IF(Sistema!BB134="","",Sistema!BB134)</f>
        <v/>
      </c>
      <c r="BC134" t="str">
        <f>IF(Sistema!BC134="","",Sistema!BC134)</f>
        <v/>
      </c>
      <c r="BD134" t="str">
        <f>IF(Sistema!BD134="","",Sistema!BD134)</f>
        <v/>
      </c>
      <c r="BE134" t="str">
        <f>IF(Sistema!BE134="","",Sistema!BE134)</f>
        <v/>
      </c>
      <c r="BF134" t="str">
        <f>IF(Sistema!BF134="","",Sistema!BF134)</f>
        <v/>
      </c>
      <c r="BG134" t="str">
        <f>IF(Sistema!BG134="","",Sistema!BG134)</f>
        <v/>
      </c>
      <c r="BH134" t="str">
        <f>IF(Sistema!BH134="","",Sistema!BH134)</f>
        <v/>
      </c>
      <c r="BI134" t="str">
        <f>IF(Sistema!BI134="","",Sistema!BI134)</f>
        <v/>
      </c>
      <c r="BJ134" t="str">
        <f>IF(Sistema!BJ134="","",Sistema!BJ134)</f>
        <v/>
      </c>
      <c r="BK134" t="str">
        <f>IF(Sistema!BK134="","",Sistema!BK134)</f>
        <v/>
      </c>
      <c r="BL134" t="str">
        <f>IF(Sistema!BL134="","",Sistema!BL134)</f>
        <v/>
      </c>
      <c r="BM134" t="str">
        <f>IF(Sistema!BM134="","",Sistema!BM134)</f>
        <v/>
      </c>
      <c r="BN134" t="str">
        <f>IF(Sistema!BN134="","",Sistema!BN134)</f>
        <v/>
      </c>
      <c r="BO134" t="str">
        <f>IF(Sistema!BO134="","",Sistema!BO134)</f>
        <v/>
      </c>
      <c r="BP134" t="str">
        <f>IF(Sistema!BP134="","",Sistema!BP134)</f>
        <v/>
      </c>
      <c r="BQ134" t="str">
        <f>IF(Sistema!BQ134="","",Sistema!BQ134)</f>
        <v/>
      </c>
      <c r="BR134" t="str">
        <f>IF(Sistema!BR134="","",Sistema!BR134)</f>
        <v/>
      </c>
      <c r="BS134" t="str">
        <f>IF(Sistema!BS134="","",Sistema!BS134)</f>
        <v/>
      </c>
      <c r="BT134" t="str">
        <f>IF(Sistema!BT134="","",Sistema!BT134)</f>
        <v/>
      </c>
      <c r="BU134" t="str">
        <f>IF(Sistema!BU134="","",Sistema!BU134)</f>
        <v/>
      </c>
      <c r="BV134" t="str">
        <f>IF(Sistema!BV134="","",Sistema!BV134)</f>
        <v/>
      </c>
      <c r="BW134" t="str">
        <f>IF(Sistema!BW134="","",Sistema!BW134)</f>
        <v/>
      </c>
      <c r="BX134" t="str">
        <f>IF(Sistema!BX134="","",Sistema!BX134)</f>
        <v/>
      </c>
      <c r="BY134" t="str">
        <f>IF(Sistema!BY134="","",Sistema!BY134)</f>
        <v/>
      </c>
      <c r="BZ134" t="str">
        <f>IF(Sistema!BZ134="","",Sistema!BZ134)</f>
        <v/>
      </c>
      <c r="CA134" t="str">
        <f>IF(Sistema!CA134="","",Sistema!CA134)</f>
        <v/>
      </c>
      <c r="CB134" t="str">
        <f>IF(Sistema!CB134="","",Sistema!CB134)</f>
        <v/>
      </c>
      <c r="CC134" t="str">
        <f>IF(Sistema!CC134="","",Sistema!CC134)</f>
        <v/>
      </c>
      <c r="CD134" t="str">
        <f>IF(Sistema!CD134="","",Sistema!CD134)</f>
        <v/>
      </c>
    </row>
    <row r="135" spans="1:82" x14ac:dyDescent="0.25">
      <c r="A135" t="str">
        <f>IF(Sistema!A135="","",Sistema!A135)</f>
        <v/>
      </c>
      <c r="B135" t="str">
        <f>IF(Sistema!B135="","",Sistema!B135)</f>
        <v/>
      </c>
      <c r="C135" t="str">
        <f>IF(Sistema!C135="","",Sistema!C135)</f>
        <v/>
      </c>
      <c r="D135" t="str">
        <f>IF(Sistema!D135="","",Sistema!D135)</f>
        <v/>
      </c>
      <c r="E135" t="str">
        <f>IF(Sistema!E135="","",Sistema!E135)</f>
        <v/>
      </c>
      <c r="F135">
        <f>IF(P135&gt;0,1,IF(Sistema!F135=0,-1,1))</f>
        <v>-1</v>
      </c>
      <c r="G135">
        <f>Sistema!G135</f>
        <v>0</v>
      </c>
      <c r="H135" t="str">
        <f>IF(OR(R135="notify",R135=1),"visible",IF(OR(Sistema!F135=-1,Sistema!F135=0,ISNUMBER(SEARCH("PCK",E135))),"hidden",IF(P135&gt;0,"visible","hidden")))</f>
        <v>hidden</v>
      </c>
      <c r="I135" t="str">
        <f>IF(B135="simple",IF(P135&gt;0,"",IF(R135="notify",Info!C$2,"")),IF(B135="variable",IF(P135&gt;0,"",IF(R135="notify",Info!C$4,"")),""))</f>
        <v/>
      </c>
      <c r="J135" t="str">
        <f>IF(Sistema!J135="","",Sistema!J135)</f>
        <v/>
      </c>
      <c r="M135" t="str">
        <f>IF(Sistema!M135="","",Sistema!M135)</f>
        <v/>
      </c>
      <c r="N135" s="6" t="s">
        <v>1557</v>
      </c>
      <c r="O135" s="6">
        <v>1</v>
      </c>
      <c r="P135">
        <f>Sistema!P135</f>
        <v>0</v>
      </c>
      <c r="Q135">
        <f>Sistema!Q135</f>
        <v>0</v>
      </c>
      <c r="R135">
        <f>IF(Sistema!R135=1,"notify",Sistema!R135)</f>
        <v>0</v>
      </c>
      <c r="T135" t="str">
        <f>IF(Sistema!T135="","",Sistema!T135)</f>
        <v/>
      </c>
      <c r="U135" t="str">
        <f>IF(Sistema!U135="","",Sistema!U135)</f>
        <v/>
      </c>
      <c r="V135" t="str">
        <f>IF(Sistema!V135="","",Sistema!V135)</f>
        <v/>
      </c>
      <c r="W135" t="str">
        <f>IF(Sistema!W135="","",Sistema!W135)</f>
        <v/>
      </c>
      <c r="X135" s="6">
        <v>1</v>
      </c>
      <c r="Z135" t="str">
        <f>IF(Sistema!Z135="","",Sistema!Z135)</f>
        <v/>
      </c>
      <c r="AA135" t="str">
        <f>IF(Sistema!AA135="","",Sistema!AA135)</f>
        <v/>
      </c>
      <c r="AB135" t="str">
        <f>IF(Sistema!AB135="","",IF(OR(ISNUMBER(SEARCH("MKP",E135)),ISNUMBER(SEARCH("MKP",C135))),"Marketplace &gt; "&amp;Sistema!AB135,Sistema!AB135))</f>
        <v/>
      </c>
      <c r="AC135" t="str">
        <f>IF(Sistema!AC135="","",Sistema!AC135)</f>
        <v/>
      </c>
      <c r="AE135" t="str">
        <f>IF(Sistema!AE135="","",Sistema!AE135)</f>
        <v/>
      </c>
      <c r="AH135" t="str">
        <f>IF(Sistema!AH135="","",Sistema!AH135)</f>
        <v/>
      </c>
      <c r="AQ135" t="str">
        <f>IF(Sistema!AQ135="","",Sistema!AQ135)</f>
        <v/>
      </c>
      <c r="AR135" t="str">
        <f>IF(Sistema!AR135="","",Sistema!AR135)</f>
        <v/>
      </c>
      <c r="AS135" t="str">
        <f>IF(Sistema!AS135="","",Sistema!AS135)</f>
        <v/>
      </c>
      <c r="AT135" t="str">
        <f>IF(Sistema!AT135="","",Sistema!AT135)</f>
        <v/>
      </c>
      <c r="AU135" t="str">
        <f>IF(Sistema!AU135="","",Sistema!AU135)</f>
        <v/>
      </c>
      <c r="AV135" t="str">
        <f>IF(Sistema!AV135="","",Sistema!AV135)</f>
        <v/>
      </c>
      <c r="AW135" t="str">
        <f>IF(Sistema!AW135="","",Sistema!AW135)</f>
        <v/>
      </c>
      <c r="AX135" t="str">
        <f>IF(Sistema!AX135="","",Sistema!AX135)</f>
        <v/>
      </c>
      <c r="AY135" t="str">
        <f>IF(Sistema!AY135="","",Sistema!AY135)</f>
        <v/>
      </c>
      <c r="AZ135" t="str">
        <f>IF(Sistema!AZ135="","",Sistema!AZ135)</f>
        <v/>
      </c>
      <c r="BA135" t="str">
        <f>IF(Sistema!BA135="","",Sistema!BA135)</f>
        <v/>
      </c>
      <c r="BB135" t="str">
        <f>IF(Sistema!BB135="","",Sistema!BB135)</f>
        <v/>
      </c>
      <c r="BC135" t="str">
        <f>IF(Sistema!BC135="","",Sistema!BC135)</f>
        <v/>
      </c>
      <c r="BD135" t="str">
        <f>IF(Sistema!BD135="","",Sistema!BD135)</f>
        <v/>
      </c>
      <c r="BE135" t="str">
        <f>IF(Sistema!BE135="","",Sistema!BE135)</f>
        <v/>
      </c>
      <c r="BF135" t="str">
        <f>IF(Sistema!BF135="","",Sistema!BF135)</f>
        <v/>
      </c>
      <c r="BG135" t="str">
        <f>IF(Sistema!BG135="","",Sistema!BG135)</f>
        <v/>
      </c>
      <c r="BH135" t="str">
        <f>IF(Sistema!BH135="","",Sistema!BH135)</f>
        <v/>
      </c>
      <c r="BI135" t="str">
        <f>IF(Sistema!BI135="","",Sistema!BI135)</f>
        <v/>
      </c>
      <c r="BJ135" t="str">
        <f>IF(Sistema!BJ135="","",Sistema!BJ135)</f>
        <v/>
      </c>
      <c r="BK135" t="str">
        <f>IF(Sistema!BK135="","",Sistema!BK135)</f>
        <v/>
      </c>
      <c r="BL135" t="str">
        <f>IF(Sistema!BL135="","",Sistema!BL135)</f>
        <v/>
      </c>
      <c r="BM135" t="str">
        <f>IF(Sistema!BM135="","",Sistema!BM135)</f>
        <v/>
      </c>
      <c r="BN135" t="str">
        <f>IF(Sistema!BN135="","",Sistema!BN135)</f>
        <v/>
      </c>
      <c r="BO135" t="str">
        <f>IF(Sistema!BO135="","",Sistema!BO135)</f>
        <v/>
      </c>
      <c r="BP135" t="str">
        <f>IF(Sistema!BP135="","",Sistema!BP135)</f>
        <v/>
      </c>
      <c r="BQ135" t="str">
        <f>IF(Sistema!BQ135="","",Sistema!BQ135)</f>
        <v/>
      </c>
      <c r="BR135" t="str">
        <f>IF(Sistema!BR135="","",Sistema!BR135)</f>
        <v/>
      </c>
      <c r="BS135" t="str">
        <f>IF(Sistema!BS135="","",Sistema!BS135)</f>
        <v/>
      </c>
      <c r="BT135" t="str">
        <f>IF(Sistema!BT135="","",Sistema!BT135)</f>
        <v/>
      </c>
      <c r="BU135" t="str">
        <f>IF(Sistema!BU135="","",Sistema!BU135)</f>
        <v/>
      </c>
      <c r="BV135" t="str">
        <f>IF(Sistema!BV135="","",Sistema!BV135)</f>
        <v/>
      </c>
      <c r="BW135" t="str">
        <f>IF(Sistema!BW135="","",Sistema!BW135)</f>
        <v/>
      </c>
      <c r="BX135" t="str">
        <f>IF(Sistema!BX135="","",Sistema!BX135)</f>
        <v/>
      </c>
      <c r="BY135" t="str">
        <f>IF(Sistema!BY135="","",Sistema!BY135)</f>
        <v/>
      </c>
      <c r="BZ135" t="str">
        <f>IF(Sistema!BZ135="","",Sistema!BZ135)</f>
        <v/>
      </c>
      <c r="CA135" t="str">
        <f>IF(Sistema!CA135="","",Sistema!CA135)</f>
        <v/>
      </c>
      <c r="CB135" t="str">
        <f>IF(Sistema!CB135="","",Sistema!CB135)</f>
        <v/>
      </c>
      <c r="CC135" t="str">
        <f>IF(Sistema!CC135="","",Sistema!CC135)</f>
        <v/>
      </c>
      <c r="CD135" t="str">
        <f>IF(Sistema!CD135="","",Sistema!CD135)</f>
        <v/>
      </c>
    </row>
    <row r="136" spans="1:82" x14ac:dyDescent="0.25">
      <c r="A136" t="str">
        <f>IF(Sistema!A136="","",Sistema!A136)</f>
        <v/>
      </c>
      <c r="B136" t="str">
        <f>IF(Sistema!B136="","",Sistema!B136)</f>
        <v/>
      </c>
      <c r="C136" t="str">
        <f>IF(Sistema!C136="","",Sistema!C136)</f>
        <v/>
      </c>
      <c r="D136" t="str">
        <f>IF(Sistema!D136="","",Sistema!D136)</f>
        <v/>
      </c>
      <c r="E136" t="str">
        <f>IF(Sistema!E136="","",Sistema!E136)</f>
        <v/>
      </c>
      <c r="F136">
        <f>IF(P136&gt;0,1,IF(Sistema!F136=0,-1,1))</f>
        <v>-1</v>
      </c>
      <c r="G136">
        <f>Sistema!G136</f>
        <v>0</v>
      </c>
      <c r="H136" t="str">
        <f>IF(OR(R136="notify",R136=1),"visible",IF(OR(Sistema!F136=-1,Sistema!F136=0,ISNUMBER(SEARCH("PCK",E136))),"hidden",IF(P136&gt;0,"visible","hidden")))</f>
        <v>hidden</v>
      </c>
      <c r="I136" t="str">
        <f>IF(B136="simple",IF(P136&gt;0,"",IF(R136="notify",Info!C$2,"")),IF(B136="variable",IF(P136&gt;0,"",IF(R136="notify",Info!C$4,"")),""))</f>
        <v/>
      </c>
      <c r="J136" t="str">
        <f>IF(Sistema!J136="","",Sistema!J136)</f>
        <v/>
      </c>
      <c r="M136" t="str">
        <f>IF(Sistema!M136="","",Sistema!M136)</f>
        <v/>
      </c>
      <c r="N136" s="6" t="s">
        <v>1557</v>
      </c>
      <c r="O136" s="6">
        <v>1</v>
      </c>
      <c r="P136">
        <f>Sistema!P136</f>
        <v>0</v>
      </c>
      <c r="Q136">
        <f>Sistema!Q136</f>
        <v>0</v>
      </c>
      <c r="R136">
        <f>IF(Sistema!R136=1,"notify",Sistema!R136)</f>
        <v>0</v>
      </c>
      <c r="T136" t="str">
        <f>IF(Sistema!T136="","",Sistema!T136)</f>
        <v/>
      </c>
      <c r="U136" t="str">
        <f>IF(Sistema!U136="","",Sistema!U136)</f>
        <v/>
      </c>
      <c r="V136" t="str">
        <f>IF(Sistema!V136="","",Sistema!V136)</f>
        <v/>
      </c>
      <c r="W136" t="str">
        <f>IF(Sistema!W136="","",Sistema!W136)</f>
        <v/>
      </c>
      <c r="X136" s="6">
        <v>1</v>
      </c>
      <c r="Z136" t="str">
        <f>IF(Sistema!Z136="","",Sistema!Z136)</f>
        <v/>
      </c>
      <c r="AA136" t="str">
        <f>IF(Sistema!AA136="","",Sistema!AA136)</f>
        <v/>
      </c>
      <c r="AB136" t="str">
        <f>IF(Sistema!AB136="","",IF(OR(ISNUMBER(SEARCH("MKP",E136)),ISNUMBER(SEARCH("MKP",C136))),"Marketplace &gt; "&amp;Sistema!AB136,Sistema!AB136))</f>
        <v/>
      </c>
      <c r="AC136" t="str">
        <f>IF(Sistema!AC136="","",Sistema!AC136)</f>
        <v/>
      </c>
      <c r="AE136" t="str">
        <f>IF(Sistema!AE136="","",Sistema!AE136)</f>
        <v/>
      </c>
      <c r="AH136" t="str">
        <f>IF(Sistema!AH136="","",Sistema!AH136)</f>
        <v/>
      </c>
      <c r="AQ136" t="str">
        <f>IF(Sistema!AQ136="","",Sistema!AQ136)</f>
        <v/>
      </c>
      <c r="AR136" t="str">
        <f>IF(Sistema!AR136="","",Sistema!AR136)</f>
        <v/>
      </c>
      <c r="AS136" t="str">
        <f>IF(Sistema!AS136="","",Sistema!AS136)</f>
        <v/>
      </c>
      <c r="AT136" t="str">
        <f>IF(Sistema!AT136="","",Sistema!AT136)</f>
        <v/>
      </c>
      <c r="AU136" t="str">
        <f>IF(Sistema!AU136="","",Sistema!AU136)</f>
        <v/>
      </c>
      <c r="AV136" t="str">
        <f>IF(Sistema!AV136="","",Sistema!AV136)</f>
        <v/>
      </c>
      <c r="AW136" t="str">
        <f>IF(Sistema!AW136="","",Sistema!AW136)</f>
        <v/>
      </c>
      <c r="AX136" t="str">
        <f>IF(Sistema!AX136="","",Sistema!AX136)</f>
        <v/>
      </c>
      <c r="AY136" t="str">
        <f>IF(Sistema!AY136="","",Sistema!AY136)</f>
        <v/>
      </c>
      <c r="AZ136" t="str">
        <f>IF(Sistema!AZ136="","",Sistema!AZ136)</f>
        <v/>
      </c>
      <c r="BA136" t="str">
        <f>IF(Sistema!BA136="","",Sistema!BA136)</f>
        <v/>
      </c>
      <c r="BB136" t="str">
        <f>IF(Sistema!BB136="","",Sistema!BB136)</f>
        <v/>
      </c>
      <c r="BC136" t="str">
        <f>IF(Sistema!BC136="","",Sistema!BC136)</f>
        <v/>
      </c>
      <c r="BD136" t="str">
        <f>IF(Sistema!BD136="","",Sistema!BD136)</f>
        <v/>
      </c>
      <c r="BE136" t="str">
        <f>IF(Sistema!BE136="","",Sistema!BE136)</f>
        <v/>
      </c>
      <c r="BF136" t="str">
        <f>IF(Sistema!BF136="","",Sistema!BF136)</f>
        <v/>
      </c>
      <c r="BG136" t="str">
        <f>IF(Sistema!BG136="","",Sistema!BG136)</f>
        <v/>
      </c>
      <c r="BH136" t="str">
        <f>IF(Sistema!BH136="","",Sistema!BH136)</f>
        <v/>
      </c>
      <c r="BI136" t="str">
        <f>IF(Sistema!BI136="","",Sistema!BI136)</f>
        <v/>
      </c>
      <c r="BJ136" t="str">
        <f>IF(Sistema!BJ136="","",Sistema!BJ136)</f>
        <v/>
      </c>
      <c r="BK136" t="str">
        <f>IF(Sistema!BK136="","",Sistema!BK136)</f>
        <v/>
      </c>
      <c r="BL136" t="str">
        <f>IF(Sistema!BL136="","",Sistema!BL136)</f>
        <v/>
      </c>
      <c r="BM136" t="str">
        <f>IF(Sistema!BM136="","",Sistema!BM136)</f>
        <v/>
      </c>
      <c r="BN136" t="str">
        <f>IF(Sistema!BN136="","",Sistema!BN136)</f>
        <v/>
      </c>
      <c r="BO136" t="str">
        <f>IF(Sistema!BO136="","",Sistema!BO136)</f>
        <v/>
      </c>
      <c r="BP136" t="str">
        <f>IF(Sistema!BP136="","",Sistema!BP136)</f>
        <v/>
      </c>
      <c r="BQ136" t="str">
        <f>IF(Sistema!BQ136="","",Sistema!BQ136)</f>
        <v/>
      </c>
      <c r="BR136" t="str">
        <f>IF(Sistema!BR136="","",Sistema!BR136)</f>
        <v/>
      </c>
      <c r="BS136" t="str">
        <f>IF(Sistema!BS136="","",Sistema!BS136)</f>
        <v/>
      </c>
      <c r="BT136" t="str">
        <f>IF(Sistema!BT136="","",Sistema!BT136)</f>
        <v/>
      </c>
      <c r="BU136" t="str">
        <f>IF(Sistema!BU136="","",Sistema!BU136)</f>
        <v/>
      </c>
      <c r="BV136" t="str">
        <f>IF(Sistema!BV136="","",Sistema!BV136)</f>
        <v/>
      </c>
      <c r="BW136" t="str">
        <f>IF(Sistema!BW136="","",Sistema!BW136)</f>
        <v/>
      </c>
      <c r="BX136" t="str">
        <f>IF(Sistema!BX136="","",Sistema!BX136)</f>
        <v/>
      </c>
      <c r="BY136" t="str">
        <f>IF(Sistema!BY136="","",Sistema!BY136)</f>
        <v/>
      </c>
      <c r="BZ136" t="str">
        <f>IF(Sistema!BZ136="","",Sistema!BZ136)</f>
        <v/>
      </c>
      <c r="CA136" t="str">
        <f>IF(Sistema!CA136="","",Sistema!CA136)</f>
        <v/>
      </c>
      <c r="CB136" t="str">
        <f>IF(Sistema!CB136="","",Sistema!CB136)</f>
        <v/>
      </c>
      <c r="CC136" t="str">
        <f>IF(Sistema!CC136="","",Sistema!CC136)</f>
        <v/>
      </c>
      <c r="CD136" t="str">
        <f>IF(Sistema!CD136="","",Sistema!CD136)</f>
        <v/>
      </c>
    </row>
    <row r="137" spans="1:82" x14ac:dyDescent="0.25">
      <c r="A137" t="str">
        <f>IF(Sistema!A137="","",Sistema!A137)</f>
        <v/>
      </c>
      <c r="B137" t="str">
        <f>IF(Sistema!B137="","",Sistema!B137)</f>
        <v/>
      </c>
      <c r="C137" t="str">
        <f>IF(Sistema!C137="","",Sistema!C137)</f>
        <v/>
      </c>
      <c r="D137" t="str">
        <f>IF(Sistema!D137="","",Sistema!D137)</f>
        <v/>
      </c>
      <c r="E137" t="str">
        <f>IF(Sistema!E137="","",Sistema!E137)</f>
        <v/>
      </c>
      <c r="F137">
        <f>IF(P137&gt;0,1,IF(Sistema!F137=0,-1,1))</f>
        <v>-1</v>
      </c>
      <c r="G137">
        <f>Sistema!G137</f>
        <v>0</v>
      </c>
      <c r="H137" t="str">
        <f>IF(OR(R137="notify",R137=1),"visible",IF(OR(Sistema!F137=-1,Sistema!F137=0,ISNUMBER(SEARCH("PCK",E137))),"hidden",IF(P137&gt;0,"visible","hidden")))</f>
        <v>hidden</v>
      </c>
      <c r="I137" t="str">
        <f>IF(B137="simple",IF(P137&gt;0,"",IF(R137="notify",Info!C$2,"")),IF(B137="variable",IF(P137&gt;0,"",IF(R137="notify",Info!C$4,"")),""))</f>
        <v/>
      </c>
      <c r="J137" t="str">
        <f>IF(Sistema!J137="","",Sistema!J137)</f>
        <v/>
      </c>
      <c r="M137" t="str">
        <f>IF(Sistema!M137="","",Sistema!M137)</f>
        <v/>
      </c>
      <c r="N137" s="6" t="s">
        <v>1557</v>
      </c>
      <c r="O137" s="6">
        <v>1</v>
      </c>
      <c r="P137">
        <f>Sistema!P137</f>
        <v>0</v>
      </c>
      <c r="Q137">
        <f>Sistema!Q137</f>
        <v>0</v>
      </c>
      <c r="R137">
        <f>IF(Sistema!R137=1,"notify",Sistema!R137)</f>
        <v>0</v>
      </c>
      <c r="T137" t="str">
        <f>IF(Sistema!T137="","",Sistema!T137)</f>
        <v/>
      </c>
      <c r="U137" t="str">
        <f>IF(Sistema!U137="","",Sistema!U137)</f>
        <v/>
      </c>
      <c r="V137" t="str">
        <f>IF(Sistema!V137="","",Sistema!V137)</f>
        <v/>
      </c>
      <c r="W137" t="str">
        <f>IF(Sistema!W137="","",Sistema!W137)</f>
        <v/>
      </c>
      <c r="X137" s="6">
        <v>1</v>
      </c>
      <c r="Z137" t="str">
        <f>IF(Sistema!Z137="","",Sistema!Z137)</f>
        <v/>
      </c>
      <c r="AA137" t="str">
        <f>IF(Sistema!AA137="","",Sistema!AA137)</f>
        <v/>
      </c>
      <c r="AB137" t="str">
        <f>IF(Sistema!AB137="","",IF(OR(ISNUMBER(SEARCH("MKP",E137)),ISNUMBER(SEARCH("MKP",C137))),"Marketplace &gt; "&amp;Sistema!AB137,Sistema!AB137))</f>
        <v/>
      </c>
      <c r="AC137" t="str">
        <f>IF(Sistema!AC137="","",Sistema!AC137)</f>
        <v/>
      </c>
      <c r="AE137" t="str">
        <f>IF(Sistema!AE137="","",Sistema!AE137)</f>
        <v/>
      </c>
      <c r="AH137" t="str">
        <f>IF(Sistema!AH137="","",Sistema!AH137)</f>
        <v/>
      </c>
      <c r="AQ137" t="str">
        <f>IF(Sistema!AQ137="","",Sistema!AQ137)</f>
        <v/>
      </c>
      <c r="AR137" t="str">
        <f>IF(Sistema!AR137="","",Sistema!AR137)</f>
        <v/>
      </c>
      <c r="AS137" t="str">
        <f>IF(Sistema!AS137="","",Sistema!AS137)</f>
        <v/>
      </c>
      <c r="AT137" t="str">
        <f>IF(Sistema!AT137="","",Sistema!AT137)</f>
        <v/>
      </c>
      <c r="AU137" t="str">
        <f>IF(Sistema!AU137="","",Sistema!AU137)</f>
        <v/>
      </c>
      <c r="AV137" t="str">
        <f>IF(Sistema!AV137="","",Sistema!AV137)</f>
        <v/>
      </c>
      <c r="AW137" t="str">
        <f>IF(Sistema!AW137="","",Sistema!AW137)</f>
        <v/>
      </c>
      <c r="AX137" t="str">
        <f>IF(Sistema!AX137="","",Sistema!AX137)</f>
        <v/>
      </c>
      <c r="AY137" t="str">
        <f>IF(Sistema!AY137="","",Sistema!AY137)</f>
        <v/>
      </c>
      <c r="AZ137" t="str">
        <f>IF(Sistema!AZ137="","",Sistema!AZ137)</f>
        <v/>
      </c>
      <c r="BA137" t="str">
        <f>IF(Sistema!BA137="","",Sistema!BA137)</f>
        <v/>
      </c>
      <c r="BB137" t="str">
        <f>IF(Sistema!BB137="","",Sistema!BB137)</f>
        <v/>
      </c>
      <c r="BC137" t="str">
        <f>IF(Sistema!BC137="","",Sistema!BC137)</f>
        <v/>
      </c>
      <c r="BD137" t="str">
        <f>IF(Sistema!BD137="","",Sistema!BD137)</f>
        <v/>
      </c>
      <c r="BE137" t="str">
        <f>IF(Sistema!BE137="","",Sistema!BE137)</f>
        <v/>
      </c>
      <c r="BF137" t="str">
        <f>IF(Sistema!BF137="","",Sistema!BF137)</f>
        <v/>
      </c>
      <c r="BG137" t="str">
        <f>IF(Sistema!BG137="","",Sistema!BG137)</f>
        <v/>
      </c>
      <c r="BH137" t="str">
        <f>IF(Sistema!BH137="","",Sistema!BH137)</f>
        <v/>
      </c>
      <c r="BI137" t="str">
        <f>IF(Sistema!BI137="","",Sistema!BI137)</f>
        <v/>
      </c>
      <c r="BJ137" t="str">
        <f>IF(Sistema!BJ137="","",Sistema!BJ137)</f>
        <v/>
      </c>
      <c r="BK137" t="str">
        <f>IF(Sistema!BK137="","",Sistema!BK137)</f>
        <v/>
      </c>
      <c r="BL137" t="str">
        <f>IF(Sistema!BL137="","",Sistema!BL137)</f>
        <v/>
      </c>
      <c r="BM137" t="str">
        <f>IF(Sistema!BM137="","",Sistema!BM137)</f>
        <v/>
      </c>
      <c r="BN137" t="str">
        <f>IF(Sistema!BN137="","",Sistema!BN137)</f>
        <v/>
      </c>
      <c r="BO137" t="str">
        <f>IF(Sistema!BO137="","",Sistema!BO137)</f>
        <v/>
      </c>
      <c r="BP137" t="str">
        <f>IF(Sistema!BP137="","",Sistema!BP137)</f>
        <v/>
      </c>
      <c r="BQ137" t="str">
        <f>IF(Sistema!BQ137="","",Sistema!BQ137)</f>
        <v/>
      </c>
      <c r="BR137" t="str">
        <f>IF(Sistema!BR137="","",Sistema!BR137)</f>
        <v/>
      </c>
      <c r="BS137" t="str">
        <f>IF(Sistema!BS137="","",Sistema!BS137)</f>
        <v/>
      </c>
      <c r="BT137" t="str">
        <f>IF(Sistema!BT137="","",Sistema!BT137)</f>
        <v/>
      </c>
      <c r="BU137" t="str">
        <f>IF(Sistema!BU137="","",Sistema!BU137)</f>
        <v/>
      </c>
      <c r="BV137" t="str">
        <f>IF(Sistema!BV137="","",Sistema!BV137)</f>
        <v/>
      </c>
      <c r="BW137" t="str">
        <f>IF(Sistema!BW137="","",Sistema!BW137)</f>
        <v/>
      </c>
      <c r="BX137" t="str">
        <f>IF(Sistema!BX137="","",Sistema!BX137)</f>
        <v/>
      </c>
      <c r="BY137" t="str">
        <f>IF(Sistema!BY137="","",Sistema!BY137)</f>
        <v/>
      </c>
      <c r="BZ137" t="str">
        <f>IF(Sistema!BZ137="","",Sistema!BZ137)</f>
        <v/>
      </c>
      <c r="CA137" t="str">
        <f>IF(Sistema!CA137="","",Sistema!CA137)</f>
        <v/>
      </c>
      <c r="CB137" t="str">
        <f>IF(Sistema!CB137="","",Sistema!CB137)</f>
        <v/>
      </c>
      <c r="CC137" t="str">
        <f>IF(Sistema!CC137="","",Sistema!CC137)</f>
        <v/>
      </c>
      <c r="CD137" t="str">
        <f>IF(Sistema!CD137="","",Sistema!CD137)</f>
        <v/>
      </c>
    </row>
    <row r="138" spans="1:82" x14ac:dyDescent="0.25">
      <c r="A138" t="str">
        <f>IF(Sistema!A138="","",Sistema!A138)</f>
        <v/>
      </c>
      <c r="B138" t="str">
        <f>IF(Sistema!B138="","",Sistema!B138)</f>
        <v/>
      </c>
      <c r="C138" t="str">
        <f>IF(Sistema!C138="","",Sistema!C138)</f>
        <v/>
      </c>
      <c r="D138" t="str">
        <f>IF(Sistema!D138="","",Sistema!D138)</f>
        <v/>
      </c>
      <c r="E138" t="str">
        <f>IF(Sistema!E138="","",Sistema!E138)</f>
        <v/>
      </c>
      <c r="F138">
        <f>IF(P138&gt;0,1,IF(Sistema!F138=0,-1,1))</f>
        <v>-1</v>
      </c>
      <c r="G138">
        <f>Sistema!G138</f>
        <v>0</v>
      </c>
      <c r="H138" t="str">
        <f>IF(OR(R138="notify",R138=1),"visible",IF(OR(Sistema!F138=-1,Sistema!F138=0,ISNUMBER(SEARCH("PCK",E138))),"hidden",IF(P138&gt;0,"visible","hidden")))</f>
        <v>hidden</v>
      </c>
      <c r="I138" t="str">
        <f>IF(B138="simple",IF(P138&gt;0,"",IF(R138="notify",Info!C$2,"")),IF(B138="variable",IF(P138&gt;0,"",IF(R138="notify",Info!C$4,"")),""))</f>
        <v/>
      </c>
      <c r="J138" t="str">
        <f>IF(Sistema!J138="","",Sistema!J138)</f>
        <v/>
      </c>
      <c r="M138" t="str">
        <f>IF(Sistema!M138="","",Sistema!M138)</f>
        <v/>
      </c>
      <c r="N138" s="6" t="s">
        <v>1557</v>
      </c>
      <c r="O138" s="6">
        <v>1</v>
      </c>
      <c r="P138">
        <f>Sistema!P138</f>
        <v>0</v>
      </c>
      <c r="Q138">
        <f>Sistema!Q138</f>
        <v>0</v>
      </c>
      <c r="R138">
        <f>IF(Sistema!R138=1,"notify",Sistema!R138)</f>
        <v>0</v>
      </c>
      <c r="T138" t="str">
        <f>IF(Sistema!T138="","",Sistema!T138)</f>
        <v/>
      </c>
      <c r="U138" t="str">
        <f>IF(Sistema!U138="","",Sistema!U138)</f>
        <v/>
      </c>
      <c r="V138" t="str">
        <f>IF(Sistema!V138="","",Sistema!V138)</f>
        <v/>
      </c>
      <c r="W138" t="str">
        <f>IF(Sistema!W138="","",Sistema!W138)</f>
        <v/>
      </c>
      <c r="X138" s="6">
        <v>1</v>
      </c>
      <c r="Z138" t="str">
        <f>IF(Sistema!Z138="","",Sistema!Z138)</f>
        <v/>
      </c>
      <c r="AA138" t="str">
        <f>IF(Sistema!AA138="","",Sistema!AA138)</f>
        <v/>
      </c>
      <c r="AB138" t="str">
        <f>IF(Sistema!AB138="","",IF(OR(ISNUMBER(SEARCH("MKP",E138)),ISNUMBER(SEARCH("MKP",C138))),"Marketplace &gt; "&amp;Sistema!AB138,Sistema!AB138))</f>
        <v/>
      </c>
      <c r="AC138" t="str">
        <f>IF(Sistema!AC138="","",Sistema!AC138)</f>
        <v/>
      </c>
      <c r="AE138" t="str">
        <f>IF(Sistema!AE138="","",Sistema!AE138)</f>
        <v/>
      </c>
      <c r="AH138" t="str">
        <f>IF(Sistema!AH138="","",Sistema!AH138)</f>
        <v/>
      </c>
      <c r="AQ138" t="str">
        <f>IF(Sistema!AQ138="","",Sistema!AQ138)</f>
        <v/>
      </c>
      <c r="AR138" t="str">
        <f>IF(Sistema!AR138="","",Sistema!AR138)</f>
        <v/>
      </c>
      <c r="AS138" t="str">
        <f>IF(Sistema!AS138="","",Sistema!AS138)</f>
        <v/>
      </c>
      <c r="AT138" t="str">
        <f>IF(Sistema!AT138="","",Sistema!AT138)</f>
        <v/>
      </c>
      <c r="AU138" t="str">
        <f>IF(Sistema!AU138="","",Sistema!AU138)</f>
        <v/>
      </c>
      <c r="AV138" t="str">
        <f>IF(Sistema!AV138="","",Sistema!AV138)</f>
        <v/>
      </c>
      <c r="AW138" t="str">
        <f>IF(Sistema!AW138="","",Sistema!AW138)</f>
        <v/>
      </c>
      <c r="AX138" t="str">
        <f>IF(Sistema!AX138="","",Sistema!AX138)</f>
        <v/>
      </c>
      <c r="AY138" t="str">
        <f>IF(Sistema!AY138="","",Sistema!AY138)</f>
        <v/>
      </c>
      <c r="AZ138" t="str">
        <f>IF(Sistema!AZ138="","",Sistema!AZ138)</f>
        <v/>
      </c>
      <c r="BA138" t="str">
        <f>IF(Sistema!BA138="","",Sistema!BA138)</f>
        <v/>
      </c>
      <c r="BB138" t="str">
        <f>IF(Sistema!BB138="","",Sistema!BB138)</f>
        <v/>
      </c>
      <c r="BC138" t="str">
        <f>IF(Sistema!BC138="","",Sistema!BC138)</f>
        <v/>
      </c>
      <c r="BD138" t="str">
        <f>IF(Sistema!BD138="","",Sistema!BD138)</f>
        <v/>
      </c>
      <c r="BE138" t="str">
        <f>IF(Sistema!BE138="","",Sistema!BE138)</f>
        <v/>
      </c>
      <c r="BF138" t="str">
        <f>IF(Sistema!BF138="","",Sistema!BF138)</f>
        <v/>
      </c>
      <c r="BG138" t="str">
        <f>IF(Sistema!BG138="","",Sistema!BG138)</f>
        <v/>
      </c>
      <c r="BH138" t="str">
        <f>IF(Sistema!BH138="","",Sistema!BH138)</f>
        <v/>
      </c>
      <c r="BI138" t="str">
        <f>IF(Sistema!BI138="","",Sistema!BI138)</f>
        <v/>
      </c>
      <c r="BJ138" t="str">
        <f>IF(Sistema!BJ138="","",Sistema!BJ138)</f>
        <v/>
      </c>
      <c r="BK138" t="str">
        <f>IF(Sistema!BK138="","",Sistema!BK138)</f>
        <v/>
      </c>
      <c r="BL138" t="str">
        <f>IF(Sistema!BL138="","",Sistema!BL138)</f>
        <v/>
      </c>
      <c r="BM138" t="str">
        <f>IF(Sistema!BM138="","",Sistema!BM138)</f>
        <v/>
      </c>
      <c r="BN138" t="str">
        <f>IF(Sistema!BN138="","",Sistema!BN138)</f>
        <v/>
      </c>
      <c r="BO138" t="str">
        <f>IF(Sistema!BO138="","",Sistema!BO138)</f>
        <v/>
      </c>
      <c r="BP138" t="str">
        <f>IF(Sistema!BP138="","",Sistema!BP138)</f>
        <v/>
      </c>
      <c r="BQ138" t="str">
        <f>IF(Sistema!BQ138="","",Sistema!BQ138)</f>
        <v/>
      </c>
      <c r="BR138" t="str">
        <f>IF(Sistema!BR138="","",Sistema!BR138)</f>
        <v/>
      </c>
      <c r="BS138" t="str">
        <f>IF(Sistema!BS138="","",Sistema!BS138)</f>
        <v/>
      </c>
      <c r="BT138" t="str">
        <f>IF(Sistema!BT138="","",Sistema!BT138)</f>
        <v/>
      </c>
      <c r="BU138" t="str">
        <f>IF(Sistema!BU138="","",Sistema!BU138)</f>
        <v/>
      </c>
      <c r="BV138" t="str">
        <f>IF(Sistema!BV138="","",Sistema!BV138)</f>
        <v/>
      </c>
      <c r="BW138" t="str">
        <f>IF(Sistema!BW138="","",Sistema!BW138)</f>
        <v/>
      </c>
      <c r="BX138" t="str">
        <f>IF(Sistema!BX138="","",Sistema!BX138)</f>
        <v/>
      </c>
      <c r="BY138" t="str">
        <f>IF(Sistema!BY138="","",Sistema!BY138)</f>
        <v/>
      </c>
      <c r="BZ138" t="str">
        <f>IF(Sistema!BZ138="","",Sistema!BZ138)</f>
        <v/>
      </c>
      <c r="CA138" t="str">
        <f>IF(Sistema!CA138="","",Sistema!CA138)</f>
        <v/>
      </c>
      <c r="CB138" t="str">
        <f>IF(Sistema!CB138="","",Sistema!CB138)</f>
        <v/>
      </c>
      <c r="CC138" t="str">
        <f>IF(Sistema!CC138="","",Sistema!CC138)</f>
        <v/>
      </c>
      <c r="CD138" t="str">
        <f>IF(Sistema!CD138="","",Sistema!CD138)</f>
        <v/>
      </c>
    </row>
    <row r="139" spans="1:82" x14ac:dyDescent="0.25">
      <c r="A139" t="str">
        <f>IF(Sistema!A139="","",Sistema!A139)</f>
        <v/>
      </c>
      <c r="B139" t="str">
        <f>IF(Sistema!B139="","",Sistema!B139)</f>
        <v/>
      </c>
      <c r="C139" t="str">
        <f>IF(Sistema!C139="","",Sistema!C139)</f>
        <v/>
      </c>
      <c r="D139" t="str">
        <f>IF(Sistema!D139="","",Sistema!D139)</f>
        <v/>
      </c>
      <c r="E139" t="str">
        <f>IF(Sistema!E139="","",Sistema!E139)</f>
        <v/>
      </c>
      <c r="F139">
        <f>IF(P139&gt;0,1,IF(Sistema!F139=0,-1,1))</f>
        <v>-1</v>
      </c>
      <c r="G139">
        <f>Sistema!G139</f>
        <v>0</v>
      </c>
      <c r="H139" t="str">
        <f>IF(OR(R139="notify",R139=1),"visible",IF(OR(Sistema!F139=-1,Sistema!F139=0,ISNUMBER(SEARCH("PCK",E139))),"hidden",IF(P139&gt;0,"visible","hidden")))</f>
        <v>hidden</v>
      </c>
      <c r="I139" t="str">
        <f>IF(B139="simple",IF(P139&gt;0,"",IF(R139="notify",Info!C$2,"")),IF(B139="variable",IF(P139&gt;0,"",IF(R139="notify",Info!C$4,"")),""))</f>
        <v/>
      </c>
      <c r="J139" t="str">
        <f>IF(Sistema!J139="","",Sistema!J139)</f>
        <v/>
      </c>
      <c r="M139" t="str">
        <f>IF(Sistema!M139="","",Sistema!M139)</f>
        <v/>
      </c>
      <c r="N139" s="6" t="s">
        <v>1557</v>
      </c>
      <c r="O139" s="6">
        <v>1</v>
      </c>
      <c r="P139">
        <f>Sistema!P139</f>
        <v>0</v>
      </c>
      <c r="Q139">
        <f>Sistema!Q139</f>
        <v>0</v>
      </c>
      <c r="R139">
        <f>IF(Sistema!R139=1,"notify",Sistema!R139)</f>
        <v>0</v>
      </c>
      <c r="T139" t="str">
        <f>IF(Sistema!T139="","",Sistema!T139)</f>
        <v/>
      </c>
      <c r="U139" t="str">
        <f>IF(Sistema!U139="","",Sistema!U139)</f>
        <v/>
      </c>
      <c r="V139" t="str">
        <f>IF(Sistema!V139="","",Sistema!V139)</f>
        <v/>
      </c>
      <c r="W139" t="str">
        <f>IF(Sistema!W139="","",Sistema!W139)</f>
        <v/>
      </c>
      <c r="X139" s="6">
        <v>1</v>
      </c>
      <c r="Z139" t="str">
        <f>IF(Sistema!Z139="","",Sistema!Z139)</f>
        <v/>
      </c>
      <c r="AA139" t="str">
        <f>IF(Sistema!AA139="","",Sistema!AA139)</f>
        <v/>
      </c>
      <c r="AB139" t="str">
        <f>IF(Sistema!AB139="","",IF(OR(ISNUMBER(SEARCH("MKP",E139)),ISNUMBER(SEARCH("MKP",C139))),"Marketplace &gt; "&amp;Sistema!AB139,Sistema!AB139))</f>
        <v/>
      </c>
      <c r="AC139" t="str">
        <f>IF(Sistema!AC139="","",Sistema!AC139)</f>
        <v/>
      </c>
      <c r="AE139" t="str">
        <f>IF(Sistema!AE139="","",Sistema!AE139)</f>
        <v/>
      </c>
      <c r="AH139" t="str">
        <f>IF(Sistema!AH139="","",Sistema!AH139)</f>
        <v/>
      </c>
      <c r="AQ139" t="str">
        <f>IF(Sistema!AQ139="","",Sistema!AQ139)</f>
        <v/>
      </c>
      <c r="AR139" t="str">
        <f>IF(Sistema!AR139="","",Sistema!AR139)</f>
        <v/>
      </c>
      <c r="AS139" t="str">
        <f>IF(Sistema!AS139="","",Sistema!AS139)</f>
        <v/>
      </c>
      <c r="AT139" t="str">
        <f>IF(Sistema!AT139="","",Sistema!AT139)</f>
        <v/>
      </c>
      <c r="AU139" t="str">
        <f>IF(Sistema!AU139="","",Sistema!AU139)</f>
        <v/>
      </c>
      <c r="AV139" t="str">
        <f>IF(Sistema!AV139="","",Sistema!AV139)</f>
        <v/>
      </c>
      <c r="AW139" t="str">
        <f>IF(Sistema!AW139="","",Sistema!AW139)</f>
        <v/>
      </c>
      <c r="AX139" t="str">
        <f>IF(Sistema!AX139="","",Sistema!AX139)</f>
        <v/>
      </c>
      <c r="AY139" t="str">
        <f>IF(Sistema!AY139="","",Sistema!AY139)</f>
        <v/>
      </c>
      <c r="AZ139" t="str">
        <f>IF(Sistema!AZ139="","",Sistema!AZ139)</f>
        <v/>
      </c>
      <c r="BA139" t="str">
        <f>IF(Sistema!BA139="","",Sistema!BA139)</f>
        <v/>
      </c>
      <c r="BB139" t="str">
        <f>IF(Sistema!BB139="","",Sistema!BB139)</f>
        <v/>
      </c>
      <c r="BC139" t="str">
        <f>IF(Sistema!BC139="","",Sistema!BC139)</f>
        <v/>
      </c>
      <c r="BD139" t="str">
        <f>IF(Sistema!BD139="","",Sistema!BD139)</f>
        <v/>
      </c>
      <c r="BE139" t="str">
        <f>IF(Sistema!BE139="","",Sistema!BE139)</f>
        <v/>
      </c>
      <c r="BF139" t="str">
        <f>IF(Sistema!BF139="","",Sistema!BF139)</f>
        <v/>
      </c>
      <c r="BG139" t="str">
        <f>IF(Sistema!BG139="","",Sistema!BG139)</f>
        <v/>
      </c>
      <c r="BH139" t="str">
        <f>IF(Sistema!BH139="","",Sistema!BH139)</f>
        <v/>
      </c>
      <c r="BI139" t="str">
        <f>IF(Sistema!BI139="","",Sistema!BI139)</f>
        <v/>
      </c>
      <c r="BJ139" t="str">
        <f>IF(Sistema!BJ139="","",Sistema!BJ139)</f>
        <v/>
      </c>
      <c r="BK139" t="str">
        <f>IF(Sistema!BK139="","",Sistema!BK139)</f>
        <v/>
      </c>
      <c r="BL139" t="str">
        <f>IF(Sistema!BL139="","",Sistema!BL139)</f>
        <v/>
      </c>
      <c r="BM139" t="str">
        <f>IF(Sistema!BM139="","",Sistema!BM139)</f>
        <v/>
      </c>
      <c r="BN139" t="str">
        <f>IF(Sistema!BN139="","",Sistema!BN139)</f>
        <v/>
      </c>
      <c r="BO139" t="str">
        <f>IF(Sistema!BO139="","",Sistema!BO139)</f>
        <v/>
      </c>
      <c r="BP139" t="str">
        <f>IF(Sistema!BP139="","",Sistema!BP139)</f>
        <v/>
      </c>
      <c r="BQ139" t="str">
        <f>IF(Sistema!BQ139="","",Sistema!BQ139)</f>
        <v/>
      </c>
      <c r="BR139" t="str">
        <f>IF(Sistema!BR139="","",Sistema!BR139)</f>
        <v/>
      </c>
      <c r="BS139" t="str">
        <f>IF(Sistema!BS139="","",Sistema!BS139)</f>
        <v/>
      </c>
      <c r="BT139" t="str">
        <f>IF(Sistema!BT139="","",Sistema!BT139)</f>
        <v/>
      </c>
      <c r="BU139" t="str">
        <f>IF(Sistema!BU139="","",Sistema!BU139)</f>
        <v/>
      </c>
      <c r="BV139" t="str">
        <f>IF(Sistema!BV139="","",Sistema!BV139)</f>
        <v/>
      </c>
      <c r="BW139" t="str">
        <f>IF(Sistema!BW139="","",Sistema!BW139)</f>
        <v/>
      </c>
      <c r="BX139" t="str">
        <f>IF(Sistema!BX139="","",Sistema!BX139)</f>
        <v/>
      </c>
      <c r="BY139" t="str">
        <f>IF(Sistema!BY139="","",Sistema!BY139)</f>
        <v/>
      </c>
      <c r="BZ139" t="str">
        <f>IF(Sistema!BZ139="","",Sistema!BZ139)</f>
        <v/>
      </c>
      <c r="CA139" t="str">
        <f>IF(Sistema!CA139="","",Sistema!CA139)</f>
        <v/>
      </c>
      <c r="CB139" t="str">
        <f>IF(Sistema!CB139="","",Sistema!CB139)</f>
        <v/>
      </c>
      <c r="CC139" t="str">
        <f>IF(Sistema!CC139="","",Sistema!CC139)</f>
        <v/>
      </c>
      <c r="CD139" t="str">
        <f>IF(Sistema!CD139="","",Sistema!CD139)</f>
        <v/>
      </c>
    </row>
    <row r="140" spans="1:82" x14ac:dyDescent="0.25">
      <c r="A140" t="str">
        <f>IF(Sistema!A140="","",Sistema!A140)</f>
        <v/>
      </c>
      <c r="B140" t="str">
        <f>IF(Sistema!B140="","",Sistema!B140)</f>
        <v/>
      </c>
      <c r="C140" t="str">
        <f>IF(Sistema!C140="","",Sistema!C140)</f>
        <v/>
      </c>
      <c r="D140" t="str">
        <f>IF(Sistema!D140="","",Sistema!D140)</f>
        <v/>
      </c>
      <c r="E140" t="str">
        <f>IF(Sistema!E140="","",Sistema!E140)</f>
        <v/>
      </c>
      <c r="F140">
        <f>IF(P140&gt;0,1,IF(Sistema!F140=0,-1,1))</f>
        <v>-1</v>
      </c>
      <c r="G140">
        <f>Sistema!G140</f>
        <v>0</v>
      </c>
      <c r="H140" t="str">
        <f>IF(OR(R140="notify",R140=1),"visible",IF(OR(Sistema!F140=-1,Sistema!F140=0,ISNUMBER(SEARCH("PCK",E140))),"hidden",IF(P140&gt;0,"visible","hidden")))</f>
        <v>hidden</v>
      </c>
      <c r="I140" t="str">
        <f>IF(B140="simple",IF(P140&gt;0,"",IF(R140="notify",Info!C$2,"")),IF(B140="variable",IF(P140&gt;0,"",IF(R140="notify",Info!C$4,"")),""))</f>
        <v/>
      </c>
      <c r="J140" t="str">
        <f>IF(Sistema!J140="","",Sistema!J140)</f>
        <v/>
      </c>
      <c r="M140" t="str">
        <f>IF(Sistema!M140="","",Sistema!M140)</f>
        <v/>
      </c>
      <c r="N140" s="6" t="s">
        <v>1557</v>
      </c>
      <c r="O140" s="6">
        <v>1</v>
      </c>
      <c r="P140">
        <f>Sistema!P140</f>
        <v>0</v>
      </c>
      <c r="Q140">
        <f>Sistema!Q140</f>
        <v>0</v>
      </c>
      <c r="R140">
        <f>IF(Sistema!R140=1,"notify",Sistema!R140)</f>
        <v>0</v>
      </c>
      <c r="T140" t="str">
        <f>IF(Sistema!T140="","",Sistema!T140)</f>
        <v/>
      </c>
      <c r="U140" t="str">
        <f>IF(Sistema!U140="","",Sistema!U140)</f>
        <v/>
      </c>
      <c r="V140" t="str">
        <f>IF(Sistema!V140="","",Sistema!V140)</f>
        <v/>
      </c>
      <c r="W140" t="str">
        <f>IF(Sistema!W140="","",Sistema!W140)</f>
        <v/>
      </c>
      <c r="X140" s="6">
        <v>1</v>
      </c>
      <c r="Z140" t="str">
        <f>IF(Sistema!Z140="","",Sistema!Z140)</f>
        <v/>
      </c>
      <c r="AA140" t="str">
        <f>IF(Sistema!AA140="","",Sistema!AA140)</f>
        <v/>
      </c>
      <c r="AB140" t="str">
        <f>IF(Sistema!AB140="","",IF(OR(ISNUMBER(SEARCH("MKP",E140)),ISNUMBER(SEARCH("MKP",C140))),"Marketplace &gt; "&amp;Sistema!AB140,Sistema!AB140))</f>
        <v/>
      </c>
      <c r="AC140" t="str">
        <f>IF(Sistema!AC140="","",Sistema!AC140)</f>
        <v/>
      </c>
      <c r="AE140" t="str">
        <f>IF(Sistema!AE140="","",Sistema!AE140)</f>
        <v/>
      </c>
      <c r="AH140" t="str">
        <f>IF(Sistema!AH140="","",Sistema!AH140)</f>
        <v/>
      </c>
      <c r="AQ140" t="str">
        <f>IF(Sistema!AQ140="","",Sistema!AQ140)</f>
        <v/>
      </c>
      <c r="AR140" t="str">
        <f>IF(Sistema!AR140="","",Sistema!AR140)</f>
        <v/>
      </c>
      <c r="AS140" t="str">
        <f>IF(Sistema!AS140="","",Sistema!AS140)</f>
        <v/>
      </c>
      <c r="AT140" t="str">
        <f>IF(Sistema!AT140="","",Sistema!AT140)</f>
        <v/>
      </c>
      <c r="AU140" t="str">
        <f>IF(Sistema!AU140="","",Sistema!AU140)</f>
        <v/>
      </c>
      <c r="AV140" t="str">
        <f>IF(Sistema!AV140="","",Sistema!AV140)</f>
        <v/>
      </c>
      <c r="AW140" t="str">
        <f>IF(Sistema!AW140="","",Sistema!AW140)</f>
        <v/>
      </c>
      <c r="AX140" t="str">
        <f>IF(Sistema!AX140="","",Sistema!AX140)</f>
        <v/>
      </c>
      <c r="AY140" t="str">
        <f>IF(Sistema!AY140="","",Sistema!AY140)</f>
        <v/>
      </c>
      <c r="AZ140" t="str">
        <f>IF(Sistema!AZ140="","",Sistema!AZ140)</f>
        <v/>
      </c>
      <c r="BA140" t="str">
        <f>IF(Sistema!BA140="","",Sistema!BA140)</f>
        <v/>
      </c>
      <c r="BB140" t="str">
        <f>IF(Sistema!BB140="","",Sistema!BB140)</f>
        <v/>
      </c>
      <c r="BC140" t="str">
        <f>IF(Sistema!BC140="","",Sistema!BC140)</f>
        <v/>
      </c>
      <c r="BD140" t="str">
        <f>IF(Sistema!BD140="","",Sistema!BD140)</f>
        <v/>
      </c>
      <c r="BE140" t="str">
        <f>IF(Sistema!BE140="","",Sistema!BE140)</f>
        <v/>
      </c>
      <c r="BF140" t="str">
        <f>IF(Sistema!BF140="","",Sistema!BF140)</f>
        <v/>
      </c>
      <c r="BG140" t="str">
        <f>IF(Sistema!BG140="","",Sistema!BG140)</f>
        <v/>
      </c>
      <c r="BH140" t="str">
        <f>IF(Sistema!BH140="","",Sistema!BH140)</f>
        <v/>
      </c>
      <c r="BI140" t="str">
        <f>IF(Sistema!BI140="","",Sistema!BI140)</f>
        <v/>
      </c>
      <c r="BJ140" t="str">
        <f>IF(Sistema!BJ140="","",Sistema!BJ140)</f>
        <v/>
      </c>
      <c r="BK140" t="str">
        <f>IF(Sistema!BK140="","",Sistema!BK140)</f>
        <v/>
      </c>
      <c r="BL140" t="str">
        <f>IF(Sistema!BL140="","",Sistema!BL140)</f>
        <v/>
      </c>
      <c r="BM140" t="str">
        <f>IF(Sistema!BM140="","",Sistema!BM140)</f>
        <v/>
      </c>
      <c r="BN140" t="str">
        <f>IF(Sistema!BN140="","",Sistema!BN140)</f>
        <v/>
      </c>
      <c r="BO140" t="str">
        <f>IF(Sistema!BO140="","",Sistema!BO140)</f>
        <v/>
      </c>
      <c r="BP140" t="str">
        <f>IF(Sistema!BP140="","",Sistema!BP140)</f>
        <v/>
      </c>
      <c r="BQ140" t="str">
        <f>IF(Sistema!BQ140="","",Sistema!BQ140)</f>
        <v/>
      </c>
      <c r="BR140" t="str">
        <f>IF(Sistema!BR140="","",Sistema!BR140)</f>
        <v/>
      </c>
      <c r="BS140" t="str">
        <f>IF(Sistema!BS140="","",Sistema!BS140)</f>
        <v/>
      </c>
      <c r="BT140" t="str">
        <f>IF(Sistema!BT140="","",Sistema!BT140)</f>
        <v/>
      </c>
      <c r="BU140" t="str">
        <f>IF(Sistema!BU140="","",Sistema!BU140)</f>
        <v/>
      </c>
      <c r="BV140" t="str">
        <f>IF(Sistema!BV140="","",Sistema!BV140)</f>
        <v/>
      </c>
      <c r="BW140" t="str">
        <f>IF(Sistema!BW140="","",Sistema!BW140)</f>
        <v/>
      </c>
      <c r="BX140" t="str">
        <f>IF(Sistema!BX140="","",Sistema!BX140)</f>
        <v/>
      </c>
      <c r="BY140" t="str">
        <f>IF(Sistema!BY140="","",Sistema!BY140)</f>
        <v/>
      </c>
      <c r="BZ140" t="str">
        <f>IF(Sistema!BZ140="","",Sistema!BZ140)</f>
        <v/>
      </c>
      <c r="CA140" t="str">
        <f>IF(Sistema!CA140="","",Sistema!CA140)</f>
        <v/>
      </c>
      <c r="CB140" t="str">
        <f>IF(Sistema!CB140="","",Sistema!CB140)</f>
        <v/>
      </c>
      <c r="CC140" t="str">
        <f>IF(Sistema!CC140="","",Sistema!CC140)</f>
        <v/>
      </c>
      <c r="CD140" t="str">
        <f>IF(Sistema!CD140="","",Sistema!CD140)</f>
        <v/>
      </c>
    </row>
    <row r="141" spans="1:82" x14ac:dyDescent="0.25">
      <c r="A141" t="str">
        <f>IF(Sistema!A141="","",Sistema!A141)</f>
        <v/>
      </c>
      <c r="B141" t="str">
        <f>IF(Sistema!B141="","",Sistema!B141)</f>
        <v/>
      </c>
      <c r="C141" t="str">
        <f>IF(Sistema!C141="","",Sistema!C141)</f>
        <v/>
      </c>
      <c r="D141" t="str">
        <f>IF(Sistema!D141="","",Sistema!D141)</f>
        <v/>
      </c>
      <c r="E141" t="str">
        <f>IF(Sistema!E141="","",Sistema!E141)</f>
        <v/>
      </c>
      <c r="F141">
        <f>IF(P141&gt;0,1,IF(Sistema!F141=0,-1,1))</f>
        <v>-1</v>
      </c>
      <c r="G141">
        <f>Sistema!G141</f>
        <v>0</v>
      </c>
      <c r="H141" t="str">
        <f>IF(OR(R141="notify",R141=1),"visible",IF(OR(Sistema!F141=-1,Sistema!F141=0,ISNUMBER(SEARCH("PCK",E141))),"hidden",IF(P141&gt;0,"visible","hidden")))</f>
        <v>hidden</v>
      </c>
      <c r="I141" t="str">
        <f>IF(B141="simple",IF(P141&gt;0,"",IF(R141="notify",Info!C$2,"")),IF(B141="variable",IF(P141&gt;0,"",IF(R141="notify",Info!C$4,"")),""))</f>
        <v/>
      </c>
      <c r="J141" t="str">
        <f>IF(Sistema!J141="","",Sistema!J141)</f>
        <v/>
      </c>
      <c r="M141" t="str">
        <f>IF(Sistema!M141="","",Sistema!M141)</f>
        <v/>
      </c>
      <c r="N141" s="6" t="s">
        <v>1557</v>
      </c>
      <c r="O141" s="6">
        <v>1</v>
      </c>
      <c r="P141">
        <f>Sistema!P141</f>
        <v>0</v>
      </c>
      <c r="Q141">
        <f>Sistema!Q141</f>
        <v>0</v>
      </c>
      <c r="R141">
        <f>IF(Sistema!R141=1,"notify",Sistema!R141)</f>
        <v>0</v>
      </c>
      <c r="T141" t="str">
        <f>IF(Sistema!T141="","",Sistema!T141)</f>
        <v/>
      </c>
      <c r="U141" t="str">
        <f>IF(Sistema!U141="","",Sistema!U141)</f>
        <v/>
      </c>
      <c r="V141" t="str">
        <f>IF(Sistema!V141="","",Sistema!V141)</f>
        <v/>
      </c>
      <c r="W141" t="str">
        <f>IF(Sistema!W141="","",Sistema!W141)</f>
        <v/>
      </c>
      <c r="X141" s="6">
        <v>1</v>
      </c>
      <c r="Z141" t="str">
        <f>IF(Sistema!Z141="","",Sistema!Z141)</f>
        <v/>
      </c>
      <c r="AA141" t="str">
        <f>IF(Sistema!AA141="","",Sistema!AA141)</f>
        <v/>
      </c>
      <c r="AB141" t="str">
        <f>IF(Sistema!AB141="","",IF(OR(ISNUMBER(SEARCH("MKP",E141)),ISNUMBER(SEARCH("MKP",C141))),"Marketplace &gt; "&amp;Sistema!AB141,Sistema!AB141))</f>
        <v/>
      </c>
      <c r="AC141" t="str">
        <f>IF(Sistema!AC141="","",Sistema!AC141)</f>
        <v/>
      </c>
      <c r="AE141" t="str">
        <f>IF(Sistema!AE141="","",Sistema!AE141)</f>
        <v/>
      </c>
      <c r="AH141" t="str">
        <f>IF(Sistema!AH141="","",Sistema!AH141)</f>
        <v/>
      </c>
      <c r="AQ141" t="str">
        <f>IF(Sistema!AQ141="","",Sistema!AQ141)</f>
        <v/>
      </c>
      <c r="AR141" t="str">
        <f>IF(Sistema!AR141="","",Sistema!AR141)</f>
        <v/>
      </c>
      <c r="AS141" t="str">
        <f>IF(Sistema!AS141="","",Sistema!AS141)</f>
        <v/>
      </c>
      <c r="AT141" t="str">
        <f>IF(Sistema!AT141="","",Sistema!AT141)</f>
        <v/>
      </c>
      <c r="AU141" t="str">
        <f>IF(Sistema!AU141="","",Sistema!AU141)</f>
        <v/>
      </c>
      <c r="AV141" t="str">
        <f>IF(Sistema!AV141="","",Sistema!AV141)</f>
        <v/>
      </c>
      <c r="AW141" t="str">
        <f>IF(Sistema!AW141="","",Sistema!AW141)</f>
        <v/>
      </c>
      <c r="AX141" t="str">
        <f>IF(Sistema!AX141="","",Sistema!AX141)</f>
        <v/>
      </c>
      <c r="AY141" t="str">
        <f>IF(Sistema!AY141="","",Sistema!AY141)</f>
        <v/>
      </c>
      <c r="AZ141" t="str">
        <f>IF(Sistema!AZ141="","",Sistema!AZ141)</f>
        <v/>
      </c>
      <c r="BA141" t="str">
        <f>IF(Sistema!BA141="","",Sistema!BA141)</f>
        <v/>
      </c>
      <c r="BB141" t="str">
        <f>IF(Sistema!BB141="","",Sistema!BB141)</f>
        <v/>
      </c>
      <c r="BC141" t="str">
        <f>IF(Sistema!BC141="","",Sistema!BC141)</f>
        <v/>
      </c>
      <c r="BD141" t="str">
        <f>IF(Sistema!BD141="","",Sistema!BD141)</f>
        <v/>
      </c>
      <c r="BE141" t="str">
        <f>IF(Sistema!BE141="","",Sistema!BE141)</f>
        <v/>
      </c>
      <c r="BF141" t="str">
        <f>IF(Sistema!BF141="","",Sistema!BF141)</f>
        <v/>
      </c>
      <c r="BG141" t="str">
        <f>IF(Sistema!BG141="","",Sistema!BG141)</f>
        <v/>
      </c>
      <c r="BH141" t="str">
        <f>IF(Sistema!BH141="","",Sistema!BH141)</f>
        <v/>
      </c>
      <c r="BI141" t="str">
        <f>IF(Sistema!BI141="","",Sistema!BI141)</f>
        <v/>
      </c>
      <c r="BJ141" t="str">
        <f>IF(Sistema!BJ141="","",Sistema!BJ141)</f>
        <v/>
      </c>
      <c r="BK141" t="str">
        <f>IF(Sistema!BK141="","",Sistema!BK141)</f>
        <v/>
      </c>
      <c r="BL141" t="str">
        <f>IF(Sistema!BL141="","",Sistema!BL141)</f>
        <v/>
      </c>
      <c r="BM141" t="str">
        <f>IF(Sistema!BM141="","",Sistema!BM141)</f>
        <v/>
      </c>
      <c r="BN141" t="str">
        <f>IF(Sistema!BN141="","",Sistema!BN141)</f>
        <v/>
      </c>
      <c r="BO141" t="str">
        <f>IF(Sistema!BO141="","",Sistema!BO141)</f>
        <v/>
      </c>
      <c r="BP141" t="str">
        <f>IF(Sistema!BP141="","",Sistema!BP141)</f>
        <v/>
      </c>
      <c r="BQ141" t="str">
        <f>IF(Sistema!BQ141="","",Sistema!BQ141)</f>
        <v/>
      </c>
      <c r="BR141" t="str">
        <f>IF(Sistema!BR141="","",Sistema!BR141)</f>
        <v/>
      </c>
      <c r="BS141" t="str">
        <f>IF(Sistema!BS141="","",Sistema!BS141)</f>
        <v/>
      </c>
      <c r="BT141" t="str">
        <f>IF(Sistema!BT141="","",Sistema!BT141)</f>
        <v/>
      </c>
      <c r="BU141" t="str">
        <f>IF(Sistema!BU141="","",Sistema!BU141)</f>
        <v/>
      </c>
      <c r="BV141" t="str">
        <f>IF(Sistema!BV141="","",Sistema!BV141)</f>
        <v/>
      </c>
      <c r="BW141" t="str">
        <f>IF(Sistema!BW141="","",Sistema!BW141)</f>
        <v/>
      </c>
      <c r="BX141" t="str">
        <f>IF(Sistema!BX141="","",Sistema!BX141)</f>
        <v/>
      </c>
      <c r="BY141" t="str">
        <f>IF(Sistema!BY141="","",Sistema!BY141)</f>
        <v/>
      </c>
      <c r="BZ141" t="str">
        <f>IF(Sistema!BZ141="","",Sistema!BZ141)</f>
        <v/>
      </c>
      <c r="CA141" t="str">
        <f>IF(Sistema!CA141="","",Sistema!CA141)</f>
        <v/>
      </c>
      <c r="CB141" t="str">
        <f>IF(Sistema!CB141="","",Sistema!CB141)</f>
        <v/>
      </c>
      <c r="CC141" t="str">
        <f>IF(Sistema!CC141="","",Sistema!CC141)</f>
        <v/>
      </c>
      <c r="CD141" t="str">
        <f>IF(Sistema!CD141="","",Sistema!CD141)</f>
        <v/>
      </c>
    </row>
    <row r="142" spans="1:82" x14ac:dyDescent="0.25">
      <c r="A142" t="str">
        <f>IF(Sistema!A142="","",Sistema!A142)</f>
        <v/>
      </c>
      <c r="B142" t="str">
        <f>IF(Sistema!B142="","",Sistema!B142)</f>
        <v/>
      </c>
      <c r="C142" t="str">
        <f>IF(Sistema!C142="","",Sistema!C142)</f>
        <v/>
      </c>
      <c r="D142" t="str">
        <f>IF(Sistema!D142="","",Sistema!D142)</f>
        <v/>
      </c>
      <c r="E142" t="str">
        <f>IF(Sistema!E142="","",Sistema!E142)</f>
        <v/>
      </c>
      <c r="F142">
        <f>IF(P142&gt;0,1,IF(Sistema!F142=0,-1,1))</f>
        <v>-1</v>
      </c>
      <c r="G142">
        <f>Sistema!G142</f>
        <v>0</v>
      </c>
      <c r="H142" t="str">
        <f>IF(OR(R142="notify",R142=1),"visible",IF(OR(Sistema!F142=-1,Sistema!F142=0,ISNUMBER(SEARCH("PCK",E142))),"hidden",IF(P142&gt;0,"visible","hidden")))</f>
        <v>hidden</v>
      </c>
      <c r="I142" t="str">
        <f>IF(B142="simple",IF(P142&gt;0,"",IF(R142="notify",Info!C$2,"")),IF(B142="variable",IF(P142&gt;0,"",IF(R142="notify",Info!C$4,"")),""))</f>
        <v/>
      </c>
      <c r="J142" t="str">
        <f>IF(Sistema!J142="","",Sistema!J142)</f>
        <v/>
      </c>
      <c r="M142" t="str">
        <f>IF(Sistema!M142="","",Sistema!M142)</f>
        <v/>
      </c>
      <c r="N142" s="6" t="s">
        <v>1557</v>
      </c>
      <c r="O142" s="6">
        <v>1</v>
      </c>
      <c r="P142">
        <f>Sistema!P142</f>
        <v>0</v>
      </c>
      <c r="Q142">
        <f>Sistema!Q142</f>
        <v>0</v>
      </c>
      <c r="R142">
        <f>IF(Sistema!R142=1,"notify",Sistema!R142)</f>
        <v>0</v>
      </c>
      <c r="T142" t="str">
        <f>IF(Sistema!T142="","",Sistema!T142)</f>
        <v/>
      </c>
      <c r="U142" t="str">
        <f>IF(Sistema!U142="","",Sistema!U142)</f>
        <v/>
      </c>
      <c r="V142" t="str">
        <f>IF(Sistema!V142="","",Sistema!V142)</f>
        <v/>
      </c>
      <c r="W142" t="str">
        <f>IF(Sistema!W142="","",Sistema!W142)</f>
        <v/>
      </c>
      <c r="X142" s="6">
        <v>1</v>
      </c>
      <c r="Z142" t="str">
        <f>IF(Sistema!Z142="","",Sistema!Z142)</f>
        <v/>
      </c>
      <c r="AA142" t="str">
        <f>IF(Sistema!AA142="","",Sistema!AA142)</f>
        <v/>
      </c>
      <c r="AB142" t="str">
        <f>IF(Sistema!AB142="","",IF(OR(ISNUMBER(SEARCH("MKP",E142)),ISNUMBER(SEARCH("MKP",C142))),"Marketplace &gt; "&amp;Sistema!AB142,Sistema!AB142))</f>
        <v/>
      </c>
      <c r="AC142" t="str">
        <f>IF(Sistema!AC142="","",Sistema!AC142)</f>
        <v/>
      </c>
      <c r="AE142" t="str">
        <f>IF(Sistema!AE142="","",Sistema!AE142)</f>
        <v/>
      </c>
      <c r="AH142" t="str">
        <f>IF(Sistema!AH142="","",Sistema!AH142)</f>
        <v/>
      </c>
      <c r="AQ142" t="str">
        <f>IF(Sistema!AQ142="","",Sistema!AQ142)</f>
        <v/>
      </c>
      <c r="AR142" t="str">
        <f>IF(Sistema!AR142="","",Sistema!AR142)</f>
        <v/>
      </c>
      <c r="AS142" t="str">
        <f>IF(Sistema!AS142="","",Sistema!AS142)</f>
        <v/>
      </c>
      <c r="AT142" t="str">
        <f>IF(Sistema!AT142="","",Sistema!AT142)</f>
        <v/>
      </c>
      <c r="AU142" t="str">
        <f>IF(Sistema!AU142="","",Sistema!AU142)</f>
        <v/>
      </c>
      <c r="AV142" t="str">
        <f>IF(Sistema!AV142="","",Sistema!AV142)</f>
        <v/>
      </c>
      <c r="AW142" t="str">
        <f>IF(Sistema!AW142="","",Sistema!AW142)</f>
        <v/>
      </c>
      <c r="AX142" t="str">
        <f>IF(Sistema!AX142="","",Sistema!AX142)</f>
        <v/>
      </c>
      <c r="AY142" t="str">
        <f>IF(Sistema!AY142="","",Sistema!AY142)</f>
        <v/>
      </c>
      <c r="AZ142" t="str">
        <f>IF(Sistema!AZ142="","",Sistema!AZ142)</f>
        <v/>
      </c>
      <c r="BA142" t="str">
        <f>IF(Sistema!BA142="","",Sistema!BA142)</f>
        <v/>
      </c>
      <c r="BB142" t="str">
        <f>IF(Sistema!BB142="","",Sistema!BB142)</f>
        <v/>
      </c>
      <c r="BC142" t="str">
        <f>IF(Sistema!BC142="","",Sistema!BC142)</f>
        <v/>
      </c>
      <c r="BD142" t="str">
        <f>IF(Sistema!BD142="","",Sistema!BD142)</f>
        <v/>
      </c>
      <c r="BE142" t="str">
        <f>IF(Sistema!BE142="","",Sistema!BE142)</f>
        <v/>
      </c>
      <c r="BF142" t="str">
        <f>IF(Sistema!BF142="","",Sistema!BF142)</f>
        <v/>
      </c>
      <c r="BG142" t="str">
        <f>IF(Sistema!BG142="","",Sistema!BG142)</f>
        <v/>
      </c>
      <c r="BH142" t="str">
        <f>IF(Sistema!BH142="","",Sistema!BH142)</f>
        <v/>
      </c>
      <c r="BI142" t="str">
        <f>IF(Sistema!BI142="","",Sistema!BI142)</f>
        <v/>
      </c>
      <c r="BJ142" t="str">
        <f>IF(Sistema!BJ142="","",Sistema!BJ142)</f>
        <v/>
      </c>
      <c r="BK142" t="str">
        <f>IF(Sistema!BK142="","",Sistema!BK142)</f>
        <v/>
      </c>
      <c r="BL142" t="str">
        <f>IF(Sistema!BL142="","",Sistema!BL142)</f>
        <v/>
      </c>
      <c r="BM142" t="str">
        <f>IF(Sistema!BM142="","",Sistema!BM142)</f>
        <v/>
      </c>
      <c r="BN142" t="str">
        <f>IF(Sistema!BN142="","",Sistema!BN142)</f>
        <v/>
      </c>
      <c r="BO142" t="str">
        <f>IF(Sistema!BO142="","",Sistema!BO142)</f>
        <v/>
      </c>
      <c r="BP142" t="str">
        <f>IF(Sistema!BP142="","",Sistema!BP142)</f>
        <v/>
      </c>
      <c r="BQ142" t="str">
        <f>IF(Sistema!BQ142="","",Sistema!BQ142)</f>
        <v/>
      </c>
      <c r="BR142" t="str">
        <f>IF(Sistema!BR142="","",Sistema!BR142)</f>
        <v/>
      </c>
      <c r="BS142" t="str">
        <f>IF(Sistema!BS142="","",Sistema!BS142)</f>
        <v/>
      </c>
      <c r="BT142" t="str">
        <f>IF(Sistema!BT142="","",Sistema!BT142)</f>
        <v/>
      </c>
      <c r="BU142" t="str">
        <f>IF(Sistema!BU142="","",Sistema!BU142)</f>
        <v/>
      </c>
      <c r="BV142" t="str">
        <f>IF(Sistema!BV142="","",Sistema!BV142)</f>
        <v/>
      </c>
      <c r="BW142" t="str">
        <f>IF(Sistema!BW142="","",Sistema!BW142)</f>
        <v/>
      </c>
      <c r="BX142" t="str">
        <f>IF(Sistema!BX142="","",Sistema!BX142)</f>
        <v/>
      </c>
      <c r="BY142" t="str">
        <f>IF(Sistema!BY142="","",Sistema!BY142)</f>
        <v/>
      </c>
      <c r="BZ142" t="str">
        <f>IF(Sistema!BZ142="","",Sistema!BZ142)</f>
        <v/>
      </c>
      <c r="CA142" t="str">
        <f>IF(Sistema!CA142="","",Sistema!CA142)</f>
        <v/>
      </c>
      <c r="CB142" t="str">
        <f>IF(Sistema!CB142="","",Sistema!CB142)</f>
        <v/>
      </c>
      <c r="CC142" t="str">
        <f>IF(Sistema!CC142="","",Sistema!CC142)</f>
        <v/>
      </c>
      <c r="CD142" t="str">
        <f>IF(Sistema!CD142="","",Sistema!CD142)</f>
        <v/>
      </c>
    </row>
    <row r="143" spans="1:82" x14ac:dyDescent="0.25">
      <c r="A143" t="str">
        <f>IF(Sistema!A143="","",Sistema!A143)</f>
        <v/>
      </c>
      <c r="B143" t="str">
        <f>IF(Sistema!B143="","",Sistema!B143)</f>
        <v/>
      </c>
      <c r="C143" t="str">
        <f>IF(Sistema!C143="","",Sistema!C143)</f>
        <v/>
      </c>
      <c r="D143" t="str">
        <f>IF(Sistema!D143="","",Sistema!D143)</f>
        <v/>
      </c>
      <c r="E143" t="str">
        <f>IF(Sistema!E143="","",Sistema!E143)</f>
        <v/>
      </c>
      <c r="F143">
        <f>IF(P143&gt;0,1,IF(Sistema!F143=0,-1,1))</f>
        <v>-1</v>
      </c>
      <c r="G143">
        <f>Sistema!G143</f>
        <v>0</v>
      </c>
      <c r="H143" t="str">
        <f>IF(OR(R143="notify",R143=1),"visible",IF(OR(Sistema!F143=-1,Sistema!F143=0,ISNUMBER(SEARCH("PCK",E143))),"hidden",IF(P143&gt;0,"visible","hidden")))</f>
        <v>hidden</v>
      </c>
      <c r="I143" t="str">
        <f>IF(B143="simple",IF(P143&gt;0,"",IF(R143="notify",Info!C$2,"")),IF(B143="variable",IF(P143&gt;0,"",IF(R143="notify",Info!C$4,"")),""))</f>
        <v/>
      </c>
      <c r="J143" t="str">
        <f>IF(Sistema!J143="","",Sistema!J143)</f>
        <v/>
      </c>
      <c r="M143" t="str">
        <f>IF(Sistema!M143="","",Sistema!M143)</f>
        <v/>
      </c>
      <c r="N143" s="6" t="s">
        <v>1557</v>
      </c>
      <c r="O143" s="6">
        <v>1</v>
      </c>
      <c r="P143">
        <f>Sistema!P143</f>
        <v>0</v>
      </c>
      <c r="Q143">
        <f>Sistema!Q143</f>
        <v>0</v>
      </c>
      <c r="R143">
        <f>IF(Sistema!R143=1,"notify",Sistema!R143)</f>
        <v>0</v>
      </c>
      <c r="T143" t="str">
        <f>IF(Sistema!T143="","",Sistema!T143)</f>
        <v/>
      </c>
      <c r="U143" t="str">
        <f>IF(Sistema!U143="","",Sistema!U143)</f>
        <v/>
      </c>
      <c r="V143" t="str">
        <f>IF(Sistema!V143="","",Sistema!V143)</f>
        <v/>
      </c>
      <c r="W143" t="str">
        <f>IF(Sistema!W143="","",Sistema!W143)</f>
        <v/>
      </c>
      <c r="X143" s="6">
        <v>1</v>
      </c>
      <c r="Z143" t="str">
        <f>IF(Sistema!Z143="","",Sistema!Z143)</f>
        <v/>
      </c>
      <c r="AA143" t="str">
        <f>IF(Sistema!AA143="","",Sistema!AA143)</f>
        <v/>
      </c>
      <c r="AB143" t="str">
        <f>IF(Sistema!AB143="","",IF(OR(ISNUMBER(SEARCH("MKP",E143)),ISNUMBER(SEARCH("MKP",C143))),"Marketplace &gt; "&amp;Sistema!AB143,Sistema!AB143))</f>
        <v/>
      </c>
      <c r="AC143" t="str">
        <f>IF(Sistema!AC143="","",Sistema!AC143)</f>
        <v/>
      </c>
      <c r="AE143" t="str">
        <f>IF(Sistema!AE143="","",Sistema!AE143)</f>
        <v/>
      </c>
      <c r="AH143" t="str">
        <f>IF(Sistema!AH143="","",Sistema!AH143)</f>
        <v/>
      </c>
      <c r="AQ143" t="str">
        <f>IF(Sistema!AQ143="","",Sistema!AQ143)</f>
        <v/>
      </c>
      <c r="AR143" t="str">
        <f>IF(Sistema!AR143="","",Sistema!AR143)</f>
        <v/>
      </c>
      <c r="AS143" t="str">
        <f>IF(Sistema!AS143="","",Sistema!AS143)</f>
        <v/>
      </c>
      <c r="AT143" t="str">
        <f>IF(Sistema!AT143="","",Sistema!AT143)</f>
        <v/>
      </c>
      <c r="AU143" t="str">
        <f>IF(Sistema!AU143="","",Sistema!AU143)</f>
        <v/>
      </c>
      <c r="AV143" t="str">
        <f>IF(Sistema!AV143="","",Sistema!AV143)</f>
        <v/>
      </c>
      <c r="AW143" t="str">
        <f>IF(Sistema!AW143="","",Sistema!AW143)</f>
        <v/>
      </c>
      <c r="AX143" t="str">
        <f>IF(Sistema!AX143="","",Sistema!AX143)</f>
        <v/>
      </c>
      <c r="AY143" t="str">
        <f>IF(Sistema!AY143="","",Sistema!AY143)</f>
        <v/>
      </c>
      <c r="AZ143" t="str">
        <f>IF(Sistema!AZ143="","",Sistema!AZ143)</f>
        <v/>
      </c>
      <c r="BA143" t="str">
        <f>IF(Sistema!BA143="","",Sistema!BA143)</f>
        <v/>
      </c>
      <c r="BB143" t="str">
        <f>IF(Sistema!BB143="","",Sistema!BB143)</f>
        <v/>
      </c>
      <c r="BC143" t="str">
        <f>IF(Sistema!BC143="","",Sistema!BC143)</f>
        <v/>
      </c>
      <c r="BD143" t="str">
        <f>IF(Sistema!BD143="","",Sistema!BD143)</f>
        <v/>
      </c>
      <c r="BE143" t="str">
        <f>IF(Sistema!BE143="","",Sistema!BE143)</f>
        <v/>
      </c>
      <c r="BF143" t="str">
        <f>IF(Sistema!BF143="","",Sistema!BF143)</f>
        <v/>
      </c>
      <c r="BG143" t="str">
        <f>IF(Sistema!BG143="","",Sistema!BG143)</f>
        <v/>
      </c>
      <c r="BH143" t="str">
        <f>IF(Sistema!BH143="","",Sistema!BH143)</f>
        <v/>
      </c>
      <c r="BI143" t="str">
        <f>IF(Sistema!BI143="","",Sistema!BI143)</f>
        <v/>
      </c>
      <c r="BJ143" t="str">
        <f>IF(Sistema!BJ143="","",Sistema!BJ143)</f>
        <v/>
      </c>
      <c r="BK143" t="str">
        <f>IF(Sistema!BK143="","",Sistema!BK143)</f>
        <v/>
      </c>
      <c r="BL143" t="str">
        <f>IF(Sistema!BL143="","",Sistema!BL143)</f>
        <v/>
      </c>
      <c r="BM143" t="str">
        <f>IF(Sistema!BM143="","",Sistema!BM143)</f>
        <v/>
      </c>
      <c r="BN143" t="str">
        <f>IF(Sistema!BN143="","",Sistema!BN143)</f>
        <v/>
      </c>
      <c r="BO143" t="str">
        <f>IF(Sistema!BO143="","",Sistema!BO143)</f>
        <v/>
      </c>
      <c r="BP143" t="str">
        <f>IF(Sistema!BP143="","",Sistema!BP143)</f>
        <v/>
      </c>
      <c r="BQ143" t="str">
        <f>IF(Sistema!BQ143="","",Sistema!BQ143)</f>
        <v/>
      </c>
      <c r="BR143" t="str">
        <f>IF(Sistema!BR143="","",Sistema!BR143)</f>
        <v/>
      </c>
      <c r="BS143" t="str">
        <f>IF(Sistema!BS143="","",Sistema!BS143)</f>
        <v/>
      </c>
      <c r="BT143" t="str">
        <f>IF(Sistema!BT143="","",Sistema!BT143)</f>
        <v/>
      </c>
      <c r="BU143" t="str">
        <f>IF(Sistema!BU143="","",Sistema!BU143)</f>
        <v/>
      </c>
      <c r="BV143" t="str">
        <f>IF(Sistema!BV143="","",Sistema!BV143)</f>
        <v/>
      </c>
      <c r="BW143" t="str">
        <f>IF(Sistema!BW143="","",Sistema!BW143)</f>
        <v/>
      </c>
      <c r="BX143" t="str">
        <f>IF(Sistema!BX143="","",Sistema!BX143)</f>
        <v/>
      </c>
      <c r="BY143" t="str">
        <f>IF(Sistema!BY143="","",Sistema!BY143)</f>
        <v/>
      </c>
      <c r="BZ143" t="str">
        <f>IF(Sistema!BZ143="","",Sistema!BZ143)</f>
        <v/>
      </c>
      <c r="CA143" t="str">
        <f>IF(Sistema!CA143="","",Sistema!CA143)</f>
        <v/>
      </c>
      <c r="CB143" t="str">
        <f>IF(Sistema!CB143="","",Sistema!CB143)</f>
        <v/>
      </c>
      <c r="CC143" t="str">
        <f>IF(Sistema!CC143="","",Sistema!CC143)</f>
        <v/>
      </c>
      <c r="CD143" t="str">
        <f>IF(Sistema!CD143="","",Sistema!CD143)</f>
        <v/>
      </c>
    </row>
    <row r="144" spans="1:82" x14ac:dyDescent="0.25">
      <c r="A144" t="str">
        <f>IF(Sistema!A144="","",Sistema!A144)</f>
        <v/>
      </c>
      <c r="B144" t="str">
        <f>IF(Sistema!B144="","",Sistema!B144)</f>
        <v/>
      </c>
      <c r="C144" t="str">
        <f>IF(Sistema!C144="","",Sistema!C144)</f>
        <v/>
      </c>
      <c r="D144" t="str">
        <f>IF(Sistema!D144="","",Sistema!D144)</f>
        <v/>
      </c>
      <c r="E144" t="str">
        <f>IF(Sistema!E144="","",Sistema!E144)</f>
        <v/>
      </c>
      <c r="F144">
        <f>IF(P144&gt;0,1,IF(Sistema!F144=0,-1,1))</f>
        <v>-1</v>
      </c>
      <c r="G144">
        <f>Sistema!G144</f>
        <v>0</v>
      </c>
      <c r="H144" t="str">
        <f>IF(OR(R144="notify",R144=1),"visible",IF(OR(Sistema!F144=-1,Sistema!F144=0,ISNUMBER(SEARCH("PCK",E144))),"hidden",IF(P144&gt;0,"visible","hidden")))</f>
        <v>hidden</v>
      </c>
      <c r="I144" t="str">
        <f>IF(B144="simple",IF(P144&gt;0,"",IF(R144="notify",Info!C$2,"")),IF(B144="variable",IF(P144&gt;0,"",IF(R144="notify",Info!C$4,"")),""))</f>
        <v/>
      </c>
      <c r="J144" t="str">
        <f>IF(Sistema!J144="","",Sistema!J144)</f>
        <v/>
      </c>
      <c r="M144" t="str">
        <f>IF(Sistema!M144="","",Sistema!M144)</f>
        <v/>
      </c>
      <c r="N144" s="6" t="s">
        <v>1557</v>
      </c>
      <c r="O144" s="6">
        <v>1</v>
      </c>
      <c r="P144">
        <f>Sistema!P144</f>
        <v>0</v>
      </c>
      <c r="Q144">
        <f>Sistema!Q144</f>
        <v>0</v>
      </c>
      <c r="R144">
        <f>IF(Sistema!R144=1,"notify",Sistema!R144)</f>
        <v>0</v>
      </c>
      <c r="T144" t="str">
        <f>IF(Sistema!T144="","",Sistema!T144)</f>
        <v/>
      </c>
      <c r="U144" t="str">
        <f>IF(Sistema!U144="","",Sistema!U144)</f>
        <v/>
      </c>
      <c r="V144" t="str">
        <f>IF(Sistema!V144="","",Sistema!V144)</f>
        <v/>
      </c>
      <c r="W144" t="str">
        <f>IF(Sistema!W144="","",Sistema!W144)</f>
        <v/>
      </c>
      <c r="X144" s="6">
        <v>1</v>
      </c>
      <c r="Z144" t="str">
        <f>IF(Sistema!Z144="","",Sistema!Z144)</f>
        <v/>
      </c>
      <c r="AA144" t="str">
        <f>IF(Sistema!AA144="","",Sistema!AA144)</f>
        <v/>
      </c>
      <c r="AB144" t="str">
        <f>IF(Sistema!AB144="","",IF(OR(ISNUMBER(SEARCH("MKP",E144)),ISNUMBER(SEARCH("MKP",C144))),"Marketplace &gt; "&amp;Sistema!AB144,Sistema!AB144))</f>
        <v/>
      </c>
      <c r="AC144" t="str">
        <f>IF(Sistema!AC144="","",Sistema!AC144)</f>
        <v/>
      </c>
      <c r="AE144" t="str">
        <f>IF(Sistema!AE144="","",Sistema!AE144)</f>
        <v/>
      </c>
      <c r="AH144" t="str">
        <f>IF(Sistema!AH144="","",Sistema!AH144)</f>
        <v/>
      </c>
      <c r="AQ144" t="str">
        <f>IF(Sistema!AQ144="","",Sistema!AQ144)</f>
        <v/>
      </c>
      <c r="AR144" t="str">
        <f>IF(Sistema!AR144="","",Sistema!AR144)</f>
        <v/>
      </c>
      <c r="AS144" t="str">
        <f>IF(Sistema!AS144="","",Sistema!AS144)</f>
        <v/>
      </c>
      <c r="AT144" t="str">
        <f>IF(Sistema!AT144="","",Sistema!AT144)</f>
        <v/>
      </c>
      <c r="AU144" t="str">
        <f>IF(Sistema!AU144="","",Sistema!AU144)</f>
        <v/>
      </c>
      <c r="AV144" t="str">
        <f>IF(Sistema!AV144="","",Sistema!AV144)</f>
        <v/>
      </c>
      <c r="AW144" t="str">
        <f>IF(Sistema!AW144="","",Sistema!AW144)</f>
        <v/>
      </c>
      <c r="AX144" t="str">
        <f>IF(Sistema!AX144="","",Sistema!AX144)</f>
        <v/>
      </c>
      <c r="AY144" t="str">
        <f>IF(Sistema!AY144="","",Sistema!AY144)</f>
        <v/>
      </c>
      <c r="AZ144" t="str">
        <f>IF(Sistema!AZ144="","",Sistema!AZ144)</f>
        <v/>
      </c>
      <c r="BA144" t="str">
        <f>IF(Sistema!BA144="","",Sistema!BA144)</f>
        <v/>
      </c>
      <c r="BB144" t="str">
        <f>IF(Sistema!BB144="","",Sistema!BB144)</f>
        <v/>
      </c>
      <c r="BC144" t="str">
        <f>IF(Sistema!BC144="","",Sistema!BC144)</f>
        <v/>
      </c>
      <c r="BD144" t="str">
        <f>IF(Sistema!BD144="","",Sistema!BD144)</f>
        <v/>
      </c>
      <c r="BE144" t="str">
        <f>IF(Sistema!BE144="","",Sistema!BE144)</f>
        <v/>
      </c>
      <c r="BF144" t="str">
        <f>IF(Sistema!BF144="","",Sistema!BF144)</f>
        <v/>
      </c>
      <c r="BG144" t="str">
        <f>IF(Sistema!BG144="","",Sistema!BG144)</f>
        <v/>
      </c>
      <c r="BH144" t="str">
        <f>IF(Sistema!BH144="","",Sistema!BH144)</f>
        <v/>
      </c>
      <c r="BI144" t="str">
        <f>IF(Sistema!BI144="","",Sistema!BI144)</f>
        <v/>
      </c>
      <c r="BJ144" t="str">
        <f>IF(Sistema!BJ144="","",Sistema!BJ144)</f>
        <v/>
      </c>
      <c r="BK144" t="str">
        <f>IF(Sistema!BK144="","",Sistema!BK144)</f>
        <v/>
      </c>
      <c r="BL144" t="str">
        <f>IF(Sistema!BL144="","",Sistema!BL144)</f>
        <v/>
      </c>
      <c r="BM144" t="str">
        <f>IF(Sistema!BM144="","",Sistema!BM144)</f>
        <v/>
      </c>
      <c r="BN144" t="str">
        <f>IF(Sistema!BN144="","",Sistema!BN144)</f>
        <v/>
      </c>
      <c r="BO144" t="str">
        <f>IF(Sistema!BO144="","",Sistema!BO144)</f>
        <v/>
      </c>
      <c r="BP144" t="str">
        <f>IF(Sistema!BP144="","",Sistema!BP144)</f>
        <v/>
      </c>
      <c r="BQ144" t="str">
        <f>IF(Sistema!BQ144="","",Sistema!BQ144)</f>
        <v/>
      </c>
      <c r="BR144" t="str">
        <f>IF(Sistema!BR144="","",Sistema!BR144)</f>
        <v/>
      </c>
      <c r="BS144" t="str">
        <f>IF(Sistema!BS144="","",Sistema!BS144)</f>
        <v/>
      </c>
      <c r="BT144" t="str">
        <f>IF(Sistema!BT144="","",Sistema!BT144)</f>
        <v/>
      </c>
      <c r="BU144" t="str">
        <f>IF(Sistema!BU144="","",Sistema!BU144)</f>
        <v/>
      </c>
      <c r="BV144" t="str">
        <f>IF(Sistema!BV144="","",Sistema!BV144)</f>
        <v/>
      </c>
      <c r="BW144" t="str">
        <f>IF(Sistema!BW144="","",Sistema!BW144)</f>
        <v/>
      </c>
      <c r="BX144" t="str">
        <f>IF(Sistema!BX144="","",Sistema!BX144)</f>
        <v/>
      </c>
      <c r="BY144" t="str">
        <f>IF(Sistema!BY144="","",Sistema!BY144)</f>
        <v/>
      </c>
      <c r="BZ144" t="str">
        <f>IF(Sistema!BZ144="","",Sistema!BZ144)</f>
        <v/>
      </c>
      <c r="CA144" t="str">
        <f>IF(Sistema!CA144="","",Sistema!CA144)</f>
        <v/>
      </c>
      <c r="CB144" t="str">
        <f>IF(Sistema!CB144="","",Sistema!CB144)</f>
        <v/>
      </c>
      <c r="CC144" t="str">
        <f>IF(Sistema!CC144="","",Sistema!CC144)</f>
        <v/>
      </c>
      <c r="CD144" t="str">
        <f>IF(Sistema!CD144="","",Sistema!CD144)</f>
        <v/>
      </c>
    </row>
    <row r="145" spans="1:82" x14ac:dyDescent="0.25">
      <c r="A145" t="str">
        <f>IF(Sistema!A145="","",Sistema!A145)</f>
        <v/>
      </c>
      <c r="B145" t="str">
        <f>IF(Sistema!B145="","",Sistema!B145)</f>
        <v/>
      </c>
      <c r="C145" t="str">
        <f>IF(Sistema!C145="","",Sistema!C145)</f>
        <v/>
      </c>
      <c r="D145" t="str">
        <f>IF(Sistema!D145="","",Sistema!D145)</f>
        <v/>
      </c>
      <c r="E145" t="str">
        <f>IF(Sistema!E145="","",Sistema!E145)</f>
        <v/>
      </c>
      <c r="F145">
        <f>IF(P145&gt;0,1,IF(Sistema!F145=0,-1,1))</f>
        <v>-1</v>
      </c>
      <c r="G145">
        <f>Sistema!G145</f>
        <v>0</v>
      </c>
      <c r="H145" t="str">
        <f>IF(OR(R145="notify",R145=1),"visible",IF(OR(Sistema!F145=-1,Sistema!F145=0,ISNUMBER(SEARCH("PCK",E145))),"hidden",IF(P145&gt;0,"visible","hidden")))</f>
        <v>hidden</v>
      </c>
      <c r="I145" t="str">
        <f>IF(B145="simple",IF(P145&gt;0,"",IF(R145="notify",Info!C$2,"")),IF(B145="variable",IF(P145&gt;0,"",IF(R145="notify",Info!C$4,"")),""))</f>
        <v/>
      </c>
      <c r="J145" t="str">
        <f>IF(Sistema!J145="","",Sistema!J145)</f>
        <v/>
      </c>
      <c r="M145" t="str">
        <f>IF(Sistema!M145="","",Sistema!M145)</f>
        <v/>
      </c>
      <c r="N145" s="6" t="s">
        <v>1557</v>
      </c>
      <c r="O145" s="6">
        <v>1</v>
      </c>
      <c r="P145">
        <f>Sistema!P145</f>
        <v>0</v>
      </c>
      <c r="Q145">
        <f>Sistema!Q145</f>
        <v>0</v>
      </c>
      <c r="R145">
        <f>IF(Sistema!R145=1,"notify",Sistema!R145)</f>
        <v>0</v>
      </c>
      <c r="T145" t="str">
        <f>IF(Sistema!T145="","",Sistema!T145)</f>
        <v/>
      </c>
      <c r="U145" t="str">
        <f>IF(Sistema!U145="","",Sistema!U145)</f>
        <v/>
      </c>
      <c r="V145" t="str">
        <f>IF(Sistema!V145="","",Sistema!V145)</f>
        <v/>
      </c>
      <c r="W145" t="str">
        <f>IF(Sistema!W145="","",Sistema!W145)</f>
        <v/>
      </c>
      <c r="X145" s="6">
        <v>1</v>
      </c>
      <c r="Z145" t="str">
        <f>IF(Sistema!Z145="","",Sistema!Z145)</f>
        <v/>
      </c>
      <c r="AA145" t="str">
        <f>IF(Sistema!AA145="","",Sistema!AA145)</f>
        <v/>
      </c>
      <c r="AB145" t="str">
        <f>IF(Sistema!AB145="","",IF(OR(ISNUMBER(SEARCH("MKP",E145)),ISNUMBER(SEARCH("MKP",C145))),"Marketplace &gt; "&amp;Sistema!AB145,Sistema!AB145))</f>
        <v/>
      </c>
      <c r="AC145" t="str">
        <f>IF(Sistema!AC145="","",Sistema!AC145)</f>
        <v/>
      </c>
      <c r="AE145" t="str">
        <f>IF(Sistema!AE145="","",Sistema!AE145)</f>
        <v/>
      </c>
      <c r="AH145" t="str">
        <f>IF(Sistema!AH145="","",Sistema!AH145)</f>
        <v/>
      </c>
      <c r="AQ145" t="str">
        <f>IF(Sistema!AQ145="","",Sistema!AQ145)</f>
        <v/>
      </c>
      <c r="AR145" t="str">
        <f>IF(Sistema!AR145="","",Sistema!AR145)</f>
        <v/>
      </c>
      <c r="AS145" t="str">
        <f>IF(Sistema!AS145="","",Sistema!AS145)</f>
        <v/>
      </c>
      <c r="AT145" t="str">
        <f>IF(Sistema!AT145="","",Sistema!AT145)</f>
        <v/>
      </c>
      <c r="AU145" t="str">
        <f>IF(Sistema!AU145="","",Sistema!AU145)</f>
        <v/>
      </c>
      <c r="AV145" t="str">
        <f>IF(Sistema!AV145="","",Sistema!AV145)</f>
        <v/>
      </c>
      <c r="AW145" t="str">
        <f>IF(Sistema!AW145="","",Sistema!AW145)</f>
        <v/>
      </c>
      <c r="AX145" t="str">
        <f>IF(Sistema!AX145="","",Sistema!AX145)</f>
        <v/>
      </c>
      <c r="AY145" t="str">
        <f>IF(Sistema!AY145="","",Sistema!AY145)</f>
        <v/>
      </c>
      <c r="AZ145" t="str">
        <f>IF(Sistema!AZ145="","",Sistema!AZ145)</f>
        <v/>
      </c>
      <c r="BA145" t="str">
        <f>IF(Sistema!BA145="","",Sistema!BA145)</f>
        <v/>
      </c>
      <c r="BB145" t="str">
        <f>IF(Sistema!BB145="","",Sistema!BB145)</f>
        <v/>
      </c>
      <c r="BC145" t="str">
        <f>IF(Sistema!BC145="","",Sistema!BC145)</f>
        <v/>
      </c>
      <c r="BD145" t="str">
        <f>IF(Sistema!BD145="","",Sistema!BD145)</f>
        <v/>
      </c>
      <c r="BE145" t="str">
        <f>IF(Sistema!BE145="","",Sistema!BE145)</f>
        <v/>
      </c>
      <c r="BF145" t="str">
        <f>IF(Sistema!BF145="","",Sistema!BF145)</f>
        <v/>
      </c>
      <c r="BG145" t="str">
        <f>IF(Sistema!BG145="","",Sistema!BG145)</f>
        <v/>
      </c>
      <c r="BH145" t="str">
        <f>IF(Sistema!BH145="","",Sistema!BH145)</f>
        <v/>
      </c>
      <c r="BI145" t="str">
        <f>IF(Sistema!BI145="","",Sistema!BI145)</f>
        <v/>
      </c>
      <c r="BJ145" t="str">
        <f>IF(Sistema!BJ145="","",Sistema!BJ145)</f>
        <v/>
      </c>
      <c r="BK145" t="str">
        <f>IF(Sistema!BK145="","",Sistema!BK145)</f>
        <v/>
      </c>
      <c r="BL145" t="str">
        <f>IF(Sistema!BL145="","",Sistema!BL145)</f>
        <v/>
      </c>
      <c r="BM145" t="str">
        <f>IF(Sistema!BM145="","",Sistema!BM145)</f>
        <v/>
      </c>
      <c r="BN145" t="str">
        <f>IF(Sistema!BN145="","",Sistema!BN145)</f>
        <v/>
      </c>
      <c r="BO145" t="str">
        <f>IF(Sistema!BO145="","",Sistema!BO145)</f>
        <v/>
      </c>
      <c r="BP145" t="str">
        <f>IF(Sistema!BP145="","",Sistema!BP145)</f>
        <v/>
      </c>
      <c r="BQ145" t="str">
        <f>IF(Sistema!BQ145="","",Sistema!BQ145)</f>
        <v/>
      </c>
      <c r="BR145" t="str">
        <f>IF(Sistema!BR145="","",Sistema!BR145)</f>
        <v/>
      </c>
      <c r="BS145" t="str">
        <f>IF(Sistema!BS145="","",Sistema!BS145)</f>
        <v/>
      </c>
      <c r="BT145" t="str">
        <f>IF(Sistema!BT145="","",Sistema!BT145)</f>
        <v/>
      </c>
      <c r="BU145" t="str">
        <f>IF(Sistema!BU145="","",Sistema!BU145)</f>
        <v/>
      </c>
      <c r="BV145" t="str">
        <f>IF(Sistema!BV145="","",Sistema!BV145)</f>
        <v/>
      </c>
      <c r="BW145" t="str">
        <f>IF(Sistema!BW145="","",Sistema!BW145)</f>
        <v/>
      </c>
      <c r="BX145" t="str">
        <f>IF(Sistema!BX145="","",Sistema!BX145)</f>
        <v/>
      </c>
      <c r="BY145" t="str">
        <f>IF(Sistema!BY145="","",Sistema!BY145)</f>
        <v/>
      </c>
      <c r="BZ145" t="str">
        <f>IF(Sistema!BZ145="","",Sistema!BZ145)</f>
        <v/>
      </c>
      <c r="CA145" t="str">
        <f>IF(Sistema!CA145="","",Sistema!CA145)</f>
        <v/>
      </c>
      <c r="CB145" t="str">
        <f>IF(Sistema!CB145="","",Sistema!CB145)</f>
        <v/>
      </c>
      <c r="CC145" t="str">
        <f>IF(Sistema!CC145="","",Sistema!CC145)</f>
        <v/>
      </c>
      <c r="CD145" t="str">
        <f>IF(Sistema!CD145="","",Sistema!CD145)</f>
        <v/>
      </c>
    </row>
    <row r="146" spans="1:82" x14ac:dyDescent="0.25">
      <c r="A146" t="str">
        <f>IF(Sistema!A146="","",Sistema!A146)</f>
        <v/>
      </c>
      <c r="B146" t="str">
        <f>IF(Sistema!B146="","",Sistema!B146)</f>
        <v/>
      </c>
      <c r="C146" t="str">
        <f>IF(Sistema!C146="","",Sistema!C146)</f>
        <v/>
      </c>
      <c r="D146" t="str">
        <f>IF(Sistema!D146="","",Sistema!D146)</f>
        <v/>
      </c>
      <c r="E146" t="str">
        <f>IF(Sistema!E146="","",Sistema!E146)</f>
        <v/>
      </c>
      <c r="F146">
        <f>IF(P146&gt;0,1,IF(Sistema!F146=0,-1,1))</f>
        <v>-1</v>
      </c>
      <c r="G146">
        <f>Sistema!G146</f>
        <v>0</v>
      </c>
      <c r="H146" t="str">
        <f>IF(OR(R146="notify",R146=1),"visible",IF(OR(Sistema!F146=-1,Sistema!F146=0,ISNUMBER(SEARCH("PCK",E146))),"hidden",IF(P146&gt;0,"visible","hidden")))</f>
        <v>hidden</v>
      </c>
      <c r="I146" t="str">
        <f>IF(B146="simple",IF(P146&gt;0,"",IF(R146="notify",Info!C$2,"")),IF(B146="variable",IF(P146&gt;0,"",IF(R146="notify",Info!C$4,"")),""))</f>
        <v/>
      </c>
      <c r="J146" t="str">
        <f>IF(Sistema!J146="","",Sistema!J146)</f>
        <v/>
      </c>
      <c r="M146" t="str">
        <f>IF(Sistema!M146="","",Sistema!M146)</f>
        <v/>
      </c>
      <c r="N146" s="6" t="s">
        <v>1557</v>
      </c>
      <c r="O146" s="6">
        <v>1</v>
      </c>
      <c r="P146">
        <f>Sistema!P146</f>
        <v>0</v>
      </c>
      <c r="Q146">
        <f>Sistema!Q146</f>
        <v>0</v>
      </c>
      <c r="R146">
        <f>IF(Sistema!R146=1,"notify",Sistema!R146)</f>
        <v>0</v>
      </c>
      <c r="T146" t="str">
        <f>IF(Sistema!T146="","",Sistema!T146)</f>
        <v/>
      </c>
      <c r="U146" t="str">
        <f>IF(Sistema!U146="","",Sistema!U146)</f>
        <v/>
      </c>
      <c r="V146" t="str">
        <f>IF(Sistema!V146="","",Sistema!V146)</f>
        <v/>
      </c>
      <c r="W146" t="str">
        <f>IF(Sistema!W146="","",Sistema!W146)</f>
        <v/>
      </c>
      <c r="X146" s="6">
        <v>1</v>
      </c>
      <c r="Z146" t="str">
        <f>IF(Sistema!Z146="","",Sistema!Z146)</f>
        <v/>
      </c>
      <c r="AA146" t="str">
        <f>IF(Sistema!AA146="","",Sistema!AA146)</f>
        <v/>
      </c>
      <c r="AB146" t="str">
        <f>IF(Sistema!AB146="","",IF(OR(ISNUMBER(SEARCH("MKP",E146)),ISNUMBER(SEARCH("MKP",C146))),"Marketplace &gt; "&amp;Sistema!AB146,Sistema!AB146))</f>
        <v/>
      </c>
      <c r="AC146" t="str">
        <f>IF(Sistema!AC146="","",Sistema!AC146)</f>
        <v/>
      </c>
      <c r="AE146" t="str">
        <f>IF(Sistema!AE146="","",Sistema!AE146)</f>
        <v/>
      </c>
      <c r="AH146" t="str">
        <f>IF(Sistema!AH146="","",Sistema!AH146)</f>
        <v/>
      </c>
      <c r="AQ146" t="str">
        <f>IF(Sistema!AQ146="","",Sistema!AQ146)</f>
        <v/>
      </c>
      <c r="AR146" t="str">
        <f>IF(Sistema!AR146="","",Sistema!AR146)</f>
        <v/>
      </c>
      <c r="AS146" t="str">
        <f>IF(Sistema!AS146="","",Sistema!AS146)</f>
        <v/>
      </c>
      <c r="AT146" t="str">
        <f>IF(Sistema!AT146="","",Sistema!AT146)</f>
        <v/>
      </c>
      <c r="AU146" t="str">
        <f>IF(Sistema!AU146="","",Sistema!AU146)</f>
        <v/>
      </c>
      <c r="AV146" t="str">
        <f>IF(Sistema!AV146="","",Sistema!AV146)</f>
        <v/>
      </c>
      <c r="AW146" t="str">
        <f>IF(Sistema!AW146="","",Sistema!AW146)</f>
        <v/>
      </c>
      <c r="AX146" t="str">
        <f>IF(Sistema!AX146="","",Sistema!AX146)</f>
        <v/>
      </c>
      <c r="AY146" t="str">
        <f>IF(Sistema!AY146="","",Sistema!AY146)</f>
        <v/>
      </c>
      <c r="AZ146" t="str">
        <f>IF(Sistema!AZ146="","",Sistema!AZ146)</f>
        <v/>
      </c>
      <c r="BA146" t="str">
        <f>IF(Sistema!BA146="","",Sistema!BA146)</f>
        <v/>
      </c>
      <c r="BB146" t="str">
        <f>IF(Sistema!BB146="","",Sistema!BB146)</f>
        <v/>
      </c>
      <c r="BC146" t="str">
        <f>IF(Sistema!BC146="","",Sistema!BC146)</f>
        <v/>
      </c>
      <c r="BD146" t="str">
        <f>IF(Sistema!BD146="","",Sistema!BD146)</f>
        <v/>
      </c>
      <c r="BE146" t="str">
        <f>IF(Sistema!BE146="","",Sistema!BE146)</f>
        <v/>
      </c>
      <c r="BF146" t="str">
        <f>IF(Sistema!BF146="","",Sistema!BF146)</f>
        <v/>
      </c>
      <c r="BG146" t="str">
        <f>IF(Sistema!BG146="","",Sistema!BG146)</f>
        <v/>
      </c>
      <c r="BH146" t="str">
        <f>IF(Sistema!BH146="","",Sistema!BH146)</f>
        <v/>
      </c>
      <c r="BI146" t="str">
        <f>IF(Sistema!BI146="","",Sistema!BI146)</f>
        <v/>
      </c>
      <c r="BJ146" t="str">
        <f>IF(Sistema!BJ146="","",Sistema!BJ146)</f>
        <v/>
      </c>
      <c r="BK146" t="str">
        <f>IF(Sistema!BK146="","",Sistema!BK146)</f>
        <v/>
      </c>
      <c r="BL146" t="str">
        <f>IF(Sistema!BL146="","",Sistema!BL146)</f>
        <v/>
      </c>
      <c r="BM146" t="str">
        <f>IF(Sistema!BM146="","",Sistema!BM146)</f>
        <v/>
      </c>
      <c r="BN146" t="str">
        <f>IF(Sistema!BN146="","",Sistema!BN146)</f>
        <v/>
      </c>
      <c r="BO146" t="str">
        <f>IF(Sistema!BO146="","",Sistema!BO146)</f>
        <v/>
      </c>
      <c r="BP146" t="str">
        <f>IF(Sistema!BP146="","",Sistema!BP146)</f>
        <v/>
      </c>
      <c r="BQ146" t="str">
        <f>IF(Sistema!BQ146="","",Sistema!BQ146)</f>
        <v/>
      </c>
      <c r="BR146" t="str">
        <f>IF(Sistema!BR146="","",Sistema!BR146)</f>
        <v/>
      </c>
      <c r="BS146" t="str">
        <f>IF(Sistema!BS146="","",Sistema!BS146)</f>
        <v/>
      </c>
      <c r="BT146" t="str">
        <f>IF(Sistema!BT146="","",Sistema!BT146)</f>
        <v/>
      </c>
      <c r="BU146" t="str">
        <f>IF(Sistema!BU146="","",Sistema!BU146)</f>
        <v/>
      </c>
      <c r="BV146" t="str">
        <f>IF(Sistema!BV146="","",Sistema!BV146)</f>
        <v/>
      </c>
      <c r="BW146" t="str">
        <f>IF(Sistema!BW146="","",Sistema!BW146)</f>
        <v/>
      </c>
      <c r="BX146" t="str">
        <f>IF(Sistema!BX146="","",Sistema!BX146)</f>
        <v/>
      </c>
      <c r="BY146" t="str">
        <f>IF(Sistema!BY146="","",Sistema!BY146)</f>
        <v/>
      </c>
      <c r="BZ146" t="str">
        <f>IF(Sistema!BZ146="","",Sistema!BZ146)</f>
        <v/>
      </c>
      <c r="CA146" t="str">
        <f>IF(Sistema!CA146="","",Sistema!CA146)</f>
        <v/>
      </c>
      <c r="CB146" t="str">
        <f>IF(Sistema!CB146="","",Sistema!CB146)</f>
        <v/>
      </c>
      <c r="CC146" t="str">
        <f>IF(Sistema!CC146="","",Sistema!CC146)</f>
        <v/>
      </c>
      <c r="CD146" t="str">
        <f>IF(Sistema!CD146="","",Sistema!CD146)</f>
        <v/>
      </c>
    </row>
    <row r="147" spans="1:82" x14ac:dyDescent="0.25">
      <c r="A147" t="str">
        <f>IF(Sistema!A147="","",Sistema!A147)</f>
        <v/>
      </c>
      <c r="B147" t="str">
        <f>IF(Sistema!B147="","",Sistema!B147)</f>
        <v/>
      </c>
      <c r="C147" t="str">
        <f>IF(Sistema!C147="","",Sistema!C147)</f>
        <v/>
      </c>
      <c r="D147" t="str">
        <f>IF(Sistema!D147="","",Sistema!D147)</f>
        <v/>
      </c>
      <c r="E147" t="str">
        <f>IF(Sistema!E147="","",Sistema!E147)</f>
        <v/>
      </c>
      <c r="F147">
        <f>IF(P147&gt;0,1,IF(Sistema!F147=0,-1,1))</f>
        <v>-1</v>
      </c>
      <c r="G147">
        <f>Sistema!G147</f>
        <v>0</v>
      </c>
      <c r="H147" t="str">
        <f>IF(OR(R147="notify",R147=1),"visible",IF(OR(Sistema!F147=-1,Sistema!F147=0,ISNUMBER(SEARCH("PCK",E147))),"hidden",IF(P147&gt;0,"visible","hidden")))</f>
        <v>hidden</v>
      </c>
      <c r="I147" t="str">
        <f>IF(B147="simple",IF(P147&gt;0,"",IF(R147="notify",Info!C$2,"")),IF(B147="variable",IF(P147&gt;0,"",IF(R147="notify",Info!C$4,"")),""))</f>
        <v/>
      </c>
      <c r="J147" t="str">
        <f>IF(Sistema!J147="","",Sistema!J147)</f>
        <v/>
      </c>
      <c r="M147" t="str">
        <f>IF(Sistema!M147="","",Sistema!M147)</f>
        <v/>
      </c>
      <c r="N147" s="6" t="s">
        <v>1557</v>
      </c>
      <c r="O147" s="6">
        <v>1</v>
      </c>
      <c r="P147">
        <f>Sistema!P147</f>
        <v>0</v>
      </c>
      <c r="Q147">
        <f>Sistema!Q147</f>
        <v>0</v>
      </c>
      <c r="R147">
        <f>IF(Sistema!R147=1,"notify",Sistema!R147)</f>
        <v>0</v>
      </c>
      <c r="T147" t="str">
        <f>IF(Sistema!T147="","",Sistema!T147)</f>
        <v/>
      </c>
      <c r="U147" t="str">
        <f>IF(Sistema!U147="","",Sistema!U147)</f>
        <v/>
      </c>
      <c r="V147" t="str">
        <f>IF(Sistema!V147="","",Sistema!V147)</f>
        <v/>
      </c>
      <c r="W147" t="str">
        <f>IF(Sistema!W147="","",Sistema!W147)</f>
        <v/>
      </c>
      <c r="X147" s="6">
        <v>1</v>
      </c>
      <c r="Z147" t="str">
        <f>IF(Sistema!Z147="","",Sistema!Z147)</f>
        <v/>
      </c>
      <c r="AA147" t="str">
        <f>IF(Sistema!AA147="","",Sistema!AA147)</f>
        <v/>
      </c>
      <c r="AB147" t="str">
        <f>IF(Sistema!AB147="","",IF(OR(ISNUMBER(SEARCH("MKP",E147)),ISNUMBER(SEARCH("MKP",C147))),"Marketplace &gt; "&amp;Sistema!AB147,Sistema!AB147))</f>
        <v/>
      </c>
      <c r="AC147" t="str">
        <f>IF(Sistema!AC147="","",Sistema!AC147)</f>
        <v/>
      </c>
      <c r="AE147" t="str">
        <f>IF(Sistema!AE147="","",Sistema!AE147)</f>
        <v/>
      </c>
      <c r="AH147" t="str">
        <f>IF(Sistema!AH147="","",Sistema!AH147)</f>
        <v/>
      </c>
      <c r="AQ147" t="str">
        <f>IF(Sistema!AQ147="","",Sistema!AQ147)</f>
        <v/>
      </c>
      <c r="AR147" t="str">
        <f>IF(Sistema!AR147="","",Sistema!AR147)</f>
        <v/>
      </c>
      <c r="AS147" t="str">
        <f>IF(Sistema!AS147="","",Sistema!AS147)</f>
        <v/>
      </c>
      <c r="AT147" t="str">
        <f>IF(Sistema!AT147="","",Sistema!AT147)</f>
        <v/>
      </c>
      <c r="AU147" t="str">
        <f>IF(Sistema!AU147="","",Sistema!AU147)</f>
        <v/>
      </c>
      <c r="AV147" t="str">
        <f>IF(Sistema!AV147="","",Sistema!AV147)</f>
        <v/>
      </c>
      <c r="AW147" t="str">
        <f>IF(Sistema!AW147="","",Sistema!AW147)</f>
        <v/>
      </c>
      <c r="AX147" t="str">
        <f>IF(Sistema!AX147="","",Sistema!AX147)</f>
        <v/>
      </c>
      <c r="AY147" t="str">
        <f>IF(Sistema!AY147="","",Sistema!AY147)</f>
        <v/>
      </c>
      <c r="AZ147" t="str">
        <f>IF(Sistema!AZ147="","",Sistema!AZ147)</f>
        <v/>
      </c>
      <c r="BA147" t="str">
        <f>IF(Sistema!BA147="","",Sistema!BA147)</f>
        <v/>
      </c>
      <c r="BB147" t="str">
        <f>IF(Sistema!BB147="","",Sistema!BB147)</f>
        <v/>
      </c>
      <c r="BC147" t="str">
        <f>IF(Sistema!BC147="","",Sistema!BC147)</f>
        <v/>
      </c>
      <c r="BD147" t="str">
        <f>IF(Sistema!BD147="","",Sistema!BD147)</f>
        <v/>
      </c>
      <c r="BE147" t="str">
        <f>IF(Sistema!BE147="","",Sistema!BE147)</f>
        <v/>
      </c>
      <c r="BF147" t="str">
        <f>IF(Sistema!BF147="","",Sistema!BF147)</f>
        <v/>
      </c>
      <c r="BG147" t="str">
        <f>IF(Sistema!BG147="","",Sistema!BG147)</f>
        <v/>
      </c>
      <c r="BH147" t="str">
        <f>IF(Sistema!BH147="","",Sistema!BH147)</f>
        <v/>
      </c>
      <c r="BI147" t="str">
        <f>IF(Sistema!BI147="","",Sistema!BI147)</f>
        <v/>
      </c>
      <c r="BJ147" t="str">
        <f>IF(Sistema!BJ147="","",Sistema!BJ147)</f>
        <v/>
      </c>
      <c r="BK147" t="str">
        <f>IF(Sistema!BK147="","",Sistema!BK147)</f>
        <v/>
      </c>
      <c r="BL147" t="str">
        <f>IF(Sistema!BL147="","",Sistema!BL147)</f>
        <v/>
      </c>
      <c r="BM147" t="str">
        <f>IF(Sistema!BM147="","",Sistema!BM147)</f>
        <v/>
      </c>
      <c r="BN147" t="str">
        <f>IF(Sistema!BN147="","",Sistema!BN147)</f>
        <v/>
      </c>
      <c r="BO147" t="str">
        <f>IF(Sistema!BO147="","",Sistema!BO147)</f>
        <v/>
      </c>
      <c r="BP147" t="str">
        <f>IF(Sistema!BP147="","",Sistema!BP147)</f>
        <v/>
      </c>
      <c r="BQ147" t="str">
        <f>IF(Sistema!BQ147="","",Sistema!BQ147)</f>
        <v/>
      </c>
      <c r="BR147" t="str">
        <f>IF(Sistema!BR147="","",Sistema!BR147)</f>
        <v/>
      </c>
      <c r="BS147" t="str">
        <f>IF(Sistema!BS147="","",Sistema!BS147)</f>
        <v/>
      </c>
      <c r="BT147" t="str">
        <f>IF(Sistema!BT147="","",Sistema!BT147)</f>
        <v/>
      </c>
      <c r="BU147" t="str">
        <f>IF(Sistema!BU147="","",Sistema!BU147)</f>
        <v/>
      </c>
      <c r="BV147" t="str">
        <f>IF(Sistema!BV147="","",Sistema!BV147)</f>
        <v/>
      </c>
      <c r="BW147" t="str">
        <f>IF(Sistema!BW147="","",Sistema!BW147)</f>
        <v/>
      </c>
      <c r="BX147" t="str">
        <f>IF(Sistema!BX147="","",Sistema!BX147)</f>
        <v/>
      </c>
      <c r="BY147" t="str">
        <f>IF(Sistema!BY147="","",Sistema!BY147)</f>
        <v/>
      </c>
      <c r="BZ147" t="str">
        <f>IF(Sistema!BZ147="","",Sistema!BZ147)</f>
        <v/>
      </c>
      <c r="CA147" t="str">
        <f>IF(Sistema!CA147="","",Sistema!CA147)</f>
        <v/>
      </c>
      <c r="CB147" t="str">
        <f>IF(Sistema!CB147="","",Sistema!CB147)</f>
        <v/>
      </c>
      <c r="CC147" t="str">
        <f>IF(Sistema!CC147="","",Sistema!CC147)</f>
        <v/>
      </c>
      <c r="CD147" t="str">
        <f>IF(Sistema!CD147="","",Sistema!CD147)</f>
        <v/>
      </c>
    </row>
    <row r="148" spans="1:82" x14ac:dyDescent="0.25">
      <c r="A148" t="str">
        <f>IF(Sistema!A148="","",Sistema!A148)</f>
        <v/>
      </c>
      <c r="B148" t="str">
        <f>IF(Sistema!B148="","",Sistema!B148)</f>
        <v/>
      </c>
      <c r="C148" t="str">
        <f>IF(Sistema!C148="","",Sistema!C148)</f>
        <v/>
      </c>
      <c r="D148" t="str">
        <f>IF(Sistema!D148="","",Sistema!D148)</f>
        <v/>
      </c>
      <c r="E148" t="str">
        <f>IF(Sistema!E148="","",Sistema!E148)</f>
        <v/>
      </c>
      <c r="F148">
        <f>IF(P148&gt;0,1,IF(Sistema!F148=0,-1,1))</f>
        <v>-1</v>
      </c>
      <c r="G148">
        <f>Sistema!G148</f>
        <v>0</v>
      </c>
      <c r="H148" t="str">
        <f>IF(OR(R148="notify",R148=1),"visible",IF(OR(Sistema!F148=-1,Sistema!F148=0,ISNUMBER(SEARCH("PCK",E148))),"hidden",IF(P148&gt;0,"visible","hidden")))</f>
        <v>hidden</v>
      </c>
      <c r="I148" t="str">
        <f>IF(B148="simple",IF(P148&gt;0,"",IF(R148="notify",Info!C$2,"")),IF(B148="variable",IF(P148&gt;0,"",IF(R148="notify",Info!C$4,"")),""))</f>
        <v/>
      </c>
      <c r="J148" t="str">
        <f>IF(Sistema!J148="","",Sistema!J148)</f>
        <v/>
      </c>
      <c r="M148" t="str">
        <f>IF(Sistema!M148="","",Sistema!M148)</f>
        <v/>
      </c>
      <c r="N148" s="6" t="s">
        <v>1557</v>
      </c>
      <c r="O148" s="6">
        <v>1</v>
      </c>
      <c r="P148">
        <f>Sistema!P148</f>
        <v>0</v>
      </c>
      <c r="Q148">
        <f>Sistema!Q148</f>
        <v>0</v>
      </c>
      <c r="R148">
        <f>IF(Sistema!R148=1,"notify",Sistema!R148)</f>
        <v>0</v>
      </c>
      <c r="T148" t="str">
        <f>IF(Sistema!T148="","",Sistema!T148)</f>
        <v/>
      </c>
      <c r="U148" t="str">
        <f>IF(Sistema!U148="","",Sistema!U148)</f>
        <v/>
      </c>
      <c r="V148" t="str">
        <f>IF(Sistema!V148="","",Sistema!V148)</f>
        <v/>
      </c>
      <c r="W148" t="str">
        <f>IF(Sistema!W148="","",Sistema!W148)</f>
        <v/>
      </c>
      <c r="X148" s="6">
        <v>1</v>
      </c>
      <c r="Z148" t="str">
        <f>IF(Sistema!Z148="","",Sistema!Z148)</f>
        <v/>
      </c>
      <c r="AA148" t="str">
        <f>IF(Sistema!AA148="","",Sistema!AA148)</f>
        <v/>
      </c>
      <c r="AB148" t="str">
        <f>IF(Sistema!AB148="","",IF(OR(ISNUMBER(SEARCH("MKP",E148)),ISNUMBER(SEARCH("MKP",C148))),"Marketplace &gt; "&amp;Sistema!AB148,Sistema!AB148))</f>
        <v/>
      </c>
      <c r="AC148" t="str">
        <f>IF(Sistema!AC148="","",Sistema!AC148)</f>
        <v/>
      </c>
      <c r="AE148" t="str">
        <f>IF(Sistema!AE148="","",Sistema!AE148)</f>
        <v/>
      </c>
      <c r="AH148" t="str">
        <f>IF(Sistema!AH148="","",Sistema!AH148)</f>
        <v/>
      </c>
      <c r="AQ148" t="str">
        <f>IF(Sistema!AQ148="","",Sistema!AQ148)</f>
        <v/>
      </c>
      <c r="AR148" t="str">
        <f>IF(Sistema!AR148="","",Sistema!AR148)</f>
        <v/>
      </c>
      <c r="AS148" t="str">
        <f>IF(Sistema!AS148="","",Sistema!AS148)</f>
        <v/>
      </c>
      <c r="AT148" t="str">
        <f>IF(Sistema!AT148="","",Sistema!AT148)</f>
        <v/>
      </c>
      <c r="AU148" t="str">
        <f>IF(Sistema!AU148="","",Sistema!AU148)</f>
        <v/>
      </c>
      <c r="AV148" t="str">
        <f>IF(Sistema!AV148="","",Sistema!AV148)</f>
        <v/>
      </c>
      <c r="AW148" t="str">
        <f>IF(Sistema!AW148="","",Sistema!AW148)</f>
        <v/>
      </c>
      <c r="AX148" t="str">
        <f>IF(Sistema!AX148="","",Sistema!AX148)</f>
        <v/>
      </c>
      <c r="AY148" t="str">
        <f>IF(Sistema!AY148="","",Sistema!AY148)</f>
        <v/>
      </c>
      <c r="AZ148" t="str">
        <f>IF(Sistema!AZ148="","",Sistema!AZ148)</f>
        <v/>
      </c>
      <c r="BA148" t="str">
        <f>IF(Sistema!BA148="","",Sistema!BA148)</f>
        <v/>
      </c>
      <c r="BB148" t="str">
        <f>IF(Sistema!BB148="","",Sistema!BB148)</f>
        <v/>
      </c>
      <c r="BC148" t="str">
        <f>IF(Sistema!BC148="","",Sistema!BC148)</f>
        <v/>
      </c>
      <c r="BD148" t="str">
        <f>IF(Sistema!BD148="","",Sistema!BD148)</f>
        <v/>
      </c>
      <c r="BE148" t="str">
        <f>IF(Sistema!BE148="","",Sistema!BE148)</f>
        <v/>
      </c>
      <c r="BF148" t="str">
        <f>IF(Sistema!BF148="","",Sistema!BF148)</f>
        <v/>
      </c>
      <c r="BG148" t="str">
        <f>IF(Sistema!BG148="","",Sistema!BG148)</f>
        <v/>
      </c>
      <c r="BH148" t="str">
        <f>IF(Sistema!BH148="","",Sistema!BH148)</f>
        <v/>
      </c>
      <c r="BI148" t="str">
        <f>IF(Sistema!BI148="","",Sistema!BI148)</f>
        <v/>
      </c>
      <c r="BJ148" t="str">
        <f>IF(Sistema!BJ148="","",Sistema!BJ148)</f>
        <v/>
      </c>
      <c r="BK148" t="str">
        <f>IF(Sistema!BK148="","",Sistema!BK148)</f>
        <v/>
      </c>
      <c r="BL148" t="str">
        <f>IF(Sistema!BL148="","",Sistema!BL148)</f>
        <v/>
      </c>
      <c r="BM148" t="str">
        <f>IF(Sistema!BM148="","",Sistema!BM148)</f>
        <v/>
      </c>
      <c r="BN148" t="str">
        <f>IF(Sistema!BN148="","",Sistema!BN148)</f>
        <v/>
      </c>
      <c r="BO148" t="str">
        <f>IF(Sistema!BO148="","",Sistema!BO148)</f>
        <v/>
      </c>
      <c r="BP148" t="str">
        <f>IF(Sistema!BP148="","",Sistema!BP148)</f>
        <v/>
      </c>
      <c r="BQ148" t="str">
        <f>IF(Sistema!BQ148="","",Sistema!BQ148)</f>
        <v/>
      </c>
      <c r="BR148" t="str">
        <f>IF(Sistema!BR148="","",Sistema!BR148)</f>
        <v/>
      </c>
      <c r="BS148" t="str">
        <f>IF(Sistema!BS148="","",Sistema!BS148)</f>
        <v/>
      </c>
      <c r="BT148" t="str">
        <f>IF(Sistema!BT148="","",Sistema!BT148)</f>
        <v/>
      </c>
      <c r="BU148" t="str">
        <f>IF(Sistema!BU148="","",Sistema!BU148)</f>
        <v/>
      </c>
      <c r="BV148" t="str">
        <f>IF(Sistema!BV148="","",Sistema!BV148)</f>
        <v/>
      </c>
      <c r="BW148" t="str">
        <f>IF(Sistema!BW148="","",Sistema!BW148)</f>
        <v/>
      </c>
      <c r="BX148" t="str">
        <f>IF(Sistema!BX148="","",Sistema!BX148)</f>
        <v/>
      </c>
      <c r="BY148" t="str">
        <f>IF(Sistema!BY148="","",Sistema!BY148)</f>
        <v/>
      </c>
      <c r="BZ148" t="str">
        <f>IF(Sistema!BZ148="","",Sistema!BZ148)</f>
        <v/>
      </c>
      <c r="CA148" t="str">
        <f>IF(Sistema!CA148="","",Sistema!CA148)</f>
        <v/>
      </c>
      <c r="CB148" t="str">
        <f>IF(Sistema!CB148="","",Sistema!CB148)</f>
        <v/>
      </c>
      <c r="CC148" t="str">
        <f>IF(Sistema!CC148="","",Sistema!CC148)</f>
        <v/>
      </c>
      <c r="CD148" t="str">
        <f>IF(Sistema!CD148="","",Sistema!CD148)</f>
        <v/>
      </c>
    </row>
    <row r="149" spans="1:82" x14ac:dyDescent="0.25">
      <c r="A149" t="str">
        <f>IF(Sistema!A149="","",Sistema!A149)</f>
        <v/>
      </c>
      <c r="B149" t="str">
        <f>IF(Sistema!B149="","",Sistema!B149)</f>
        <v/>
      </c>
      <c r="C149" t="str">
        <f>IF(Sistema!C149="","",Sistema!C149)</f>
        <v/>
      </c>
      <c r="D149" t="str">
        <f>IF(Sistema!D149="","",Sistema!D149)</f>
        <v/>
      </c>
      <c r="E149" t="str">
        <f>IF(Sistema!E149="","",Sistema!E149)</f>
        <v/>
      </c>
      <c r="F149">
        <f>IF(P149&gt;0,1,IF(Sistema!F149=0,-1,1))</f>
        <v>-1</v>
      </c>
      <c r="G149">
        <f>Sistema!G149</f>
        <v>0</v>
      </c>
      <c r="H149" t="str">
        <f>IF(OR(R149="notify",R149=1),"visible",IF(OR(Sistema!F149=-1,Sistema!F149=0,ISNUMBER(SEARCH("PCK",E149))),"hidden",IF(P149&gt;0,"visible","hidden")))</f>
        <v>hidden</v>
      </c>
      <c r="I149" t="str">
        <f>IF(B149="simple",IF(P149&gt;0,"",IF(R149="notify",Info!C$2,"")),IF(B149="variable",IF(P149&gt;0,"",IF(R149="notify",Info!C$4,"")),""))</f>
        <v/>
      </c>
      <c r="J149" t="str">
        <f>IF(Sistema!J149="","",Sistema!J149)</f>
        <v/>
      </c>
      <c r="M149" t="str">
        <f>IF(Sistema!M149="","",Sistema!M149)</f>
        <v/>
      </c>
      <c r="N149" s="6" t="s">
        <v>1557</v>
      </c>
      <c r="O149" s="6">
        <v>1</v>
      </c>
      <c r="P149">
        <f>Sistema!P149</f>
        <v>0</v>
      </c>
      <c r="Q149">
        <f>Sistema!Q149</f>
        <v>0</v>
      </c>
      <c r="R149">
        <f>IF(Sistema!R149=1,"notify",Sistema!R149)</f>
        <v>0</v>
      </c>
      <c r="T149" t="str">
        <f>IF(Sistema!T149="","",Sistema!T149)</f>
        <v/>
      </c>
      <c r="U149" t="str">
        <f>IF(Sistema!U149="","",Sistema!U149)</f>
        <v/>
      </c>
      <c r="V149" t="str">
        <f>IF(Sistema!V149="","",Sistema!V149)</f>
        <v/>
      </c>
      <c r="W149" t="str">
        <f>IF(Sistema!W149="","",Sistema!W149)</f>
        <v/>
      </c>
      <c r="X149" s="6">
        <v>1</v>
      </c>
      <c r="Z149" t="str">
        <f>IF(Sistema!Z149="","",Sistema!Z149)</f>
        <v/>
      </c>
      <c r="AA149" t="str">
        <f>IF(Sistema!AA149="","",Sistema!AA149)</f>
        <v/>
      </c>
      <c r="AB149" t="str">
        <f>IF(Sistema!AB149="","",IF(OR(ISNUMBER(SEARCH("MKP",E149)),ISNUMBER(SEARCH("MKP",C149))),"Marketplace &gt; "&amp;Sistema!AB149,Sistema!AB149))</f>
        <v/>
      </c>
      <c r="AC149" t="str">
        <f>IF(Sistema!AC149="","",Sistema!AC149)</f>
        <v/>
      </c>
      <c r="AE149" t="str">
        <f>IF(Sistema!AE149="","",Sistema!AE149)</f>
        <v/>
      </c>
      <c r="AH149" t="str">
        <f>IF(Sistema!AH149="","",Sistema!AH149)</f>
        <v/>
      </c>
      <c r="AQ149" t="str">
        <f>IF(Sistema!AQ149="","",Sistema!AQ149)</f>
        <v/>
      </c>
      <c r="AR149" t="str">
        <f>IF(Sistema!AR149="","",Sistema!AR149)</f>
        <v/>
      </c>
      <c r="AS149" t="str">
        <f>IF(Sistema!AS149="","",Sistema!AS149)</f>
        <v/>
      </c>
      <c r="AT149" t="str">
        <f>IF(Sistema!AT149="","",Sistema!AT149)</f>
        <v/>
      </c>
      <c r="AU149" t="str">
        <f>IF(Sistema!AU149="","",Sistema!AU149)</f>
        <v/>
      </c>
      <c r="AV149" t="str">
        <f>IF(Sistema!AV149="","",Sistema!AV149)</f>
        <v/>
      </c>
      <c r="AW149" t="str">
        <f>IF(Sistema!AW149="","",Sistema!AW149)</f>
        <v/>
      </c>
      <c r="AX149" t="str">
        <f>IF(Sistema!AX149="","",Sistema!AX149)</f>
        <v/>
      </c>
      <c r="AY149" t="str">
        <f>IF(Sistema!AY149="","",Sistema!AY149)</f>
        <v/>
      </c>
      <c r="AZ149" t="str">
        <f>IF(Sistema!AZ149="","",Sistema!AZ149)</f>
        <v/>
      </c>
      <c r="BA149" t="str">
        <f>IF(Sistema!BA149="","",Sistema!BA149)</f>
        <v/>
      </c>
      <c r="BB149" t="str">
        <f>IF(Sistema!BB149="","",Sistema!BB149)</f>
        <v/>
      </c>
      <c r="BC149" t="str">
        <f>IF(Sistema!BC149="","",Sistema!BC149)</f>
        <v/>
      </c>
      <c r="BD149" t="str">
        <f>IF(Sistema!BD149="","",Sistema!BD149)</f>
        <v/>
      </c>
      <c r="BE149" t="str">
        <f>IF(Sistema!BE149="","",Sistema!BE149)</f>
        <v/>
      </c>
      <c r="BF149" t="str">
        <f>IF(Sistema!BF149="","",Sistema!BF149)</f>
        <v/>
      </c>
      <c r="BG149" t="str">
        <f>IF(Sistema!BG149="","",Sistema!BG149)</f>
        <v/>
      </c>
      <c r="BH149" t="str">
        <f>IF(Sistema!BH149="","",Sistema!BH149)</f>
        <v/>
      </c>
      <c r="BI149" t="str">
        <f>IF(Sistema!BI149="","",Sistema!BI149)</f>
        <v/>
      </c>
      <c r="BJ149" t="str">
        <f>IF(Sistema!BJ149="","",Sistema!BJ149)</f>
        <v/>
      </c>
      <c r="BK149" t="str">
        <f>IF(Sistema!BK149="","",Sistema!BK149)</f>
        <v/>
      </c>
      <c r="BL149" t="str">
        <f>IF(Sistema!BL149="","",Sistema!BL149)</f>
        <v/>
      </c>
      <c r="BM149" t="str">
        <f>IF(Sistema!BM149="","",Sistema!BM149)</f>
        <v/>
      </c>
      <c r="BN149" t="str">
        <f>IF(Sistema!BN149="","",Sistema!BN149)</f>
        <v/>
      </c>
      <c r="BO149" t="str">
        <f>IF(Sistema!BO149="","",Sistema!BO149)</f>
        <v/>
      </c>
      <c r="BP149" t="str">
        <f>IF(Sistema!BP149="","",Sistema!BP149)</f>
        <v/>
      </c>
      <c r="BQ149" t="str">
        <f>IF(Sistema!BQ149="","",Sistema!BQ149)</f>
        <v/>
      </c>
      <c r="BR149" t="str">
        <f>IF(Sistema!BR149="","",Sistema!BR149)</f>
        <v/>
      </c>
      <c r="BS149" t="str">
        <f>IF(Sistema!BS149="","",Sistema!BS149)</f>
        <v/>
      </c>
      <c r="BT149" t="str">
        <f>IF(Sistema!BT149="","",Sistema!BT149)</f>
        <v/>
      </c>
      <c r="BU149" t="str">
        <f>IF(Sistema!BU149="","",Sistema!BU149)</f>
        <v/>
      </c>
      <c r="BV149" t="str">
        <f>IF(Sistema!BV149="","",Sistema!BV149)</f>
        <v/>
      </c>
      <c r="BW149" t="str">
        <f>IF(Sistema!BW149="","",Sistema!BW149)</f>
        <v/>
      </c>
      <c r="BX149" t="str">
        <f>IF(Sistema!BX149="","",Sistema!BX149)</f>
        <v/>
      </c>
      <c r="BY149" t="str">
        <f>IF(Sistema!BY149="","",Sistema!BY149)</f>
        <v/>
      </c>
      <c r="BZ149" t="str">
        <f>IF(Sistema!BZ149="","",Sistema!BZ149)</f>
        <v/>
      </c>
      <c r="CA149" t="str">
        <f>IF(Sistema!CA149="","",Sistema!CA149)</f>
        <v/>
      </c>
      <c r="CB149" t="str">
        <f>IF(Sistema!CB149="","",Sistema!CB149)</f>
        <v/>
      </c>
      <c r="CC149" t="str">
        <f>IF(Sistema!CC149="","",Sistema!CC149)</f>
        <v/>
      </c>
      <c r="CD149" t="str">
        <f>IF(Sistema!CD149="","",Sistema!CD149)</f>
        <v/>
      </c>
    </row>
    <row r="150" spans="1:82" x14ac:dyDescent="0.25">
      <c r="A150" t="str">
        <f>IF(Sistema!A150="","",Sistema!A150)</f>
        <v/>
      </c>
      <c r="B150" t="str">
        <f>IF(Sistema!B150="","",Sistema!B150)</f>
        <v/>
      </c>
      <c r="C150" t="str">
        <f>IF(Sistema!C150="","",Sistema!C150)</f>
        <v/>
      </c>
      <c r="D150" t="str">
        <f>IF(Sistema!D150="","",Sistema!D150)</f>
        <v/>
      </c>
      <c r="E150" t="str">
        <f>IF(Sistema!E150="","",Sistema!E150)</f>
        <v/>
      </c>
      <c r="F150">
        <f>IF(P150&gt;0,1,IF(Sistema!F150=0,-1,1))</f>
        <v>-1</v>
      </c>
      <c r="G150">
        <f>Sistema!G150</f>
        <v>0</v>
      </c>
      <c r="H150" t="str">
        <f>IF(OR(R150="notify",R150=1),"visible",IF(OR(Sistema!F150=-1,Sistema!F150=0,ISNUMBER(SEARCH("PCK",E150))),"hidden",IF(P150&gt;0,"visible","hidden")))</f>
        <v>hidden</v>
      </c>
      <c r="I150" t="str">
        <f>IF(B150="simple",IF(P150&gt;0,"",IF(R150="notify",Info!C$2,"")),IF(B150="variable",IF(P150&gt;0,"",IF(R150="notify",Info!C$4,"")),""))</f>
        <v/>
      </c>
      <c r="J150" t="str">
        <f>IF(Sistema!J150="","",Sistema!J150)</f>
        <v/>
      </c>
      <c r="M150" t="str">
        <f>IF(Sistema!M150="","",Sistema!M150)</f>
        <v/>
      </c>
      <c r="N150" s="6" t="s">
        <v>1557</v>
      </c>
      <c r="O150" s="6">
        <v>1</v>
      </c>
      <c r="P150">
        <f>Sistema!P150</f>
        <v>0</v>
      </c>
      <c r="Q150">
        <f>Sistema!Q150</f>
        <v>0</v>
      </c>
      <c r="R150">
        <f>IF(Sistema!R150=1,"notify",Sistema!R150)</f>
        <v>0</v>
      </c>
      <c r="T150" t="str">
        <f>IF(Sistema!T150="","",Sistema!T150)</f>
        <v/>
      </c>
      <c r="U150" t="str">
        <f>IF(Sistema!U150="","",Sistema!U150)</f>
        <v/>
      </c>
      <c r="V150" t="str">
        <f>IF(Sistema!V150="","",Sistema!V150)</f>
        <v/>
      </c>
      <c r="W150" t="str">
        <f>IF(Sistema!W150="","",Sistema!W150)</f>
        <v/>
      </c>
      <c r="X150" s="6">
        <v>1</v>
      </c>
      <c r="Z150" t="str">
        <f>IF(Sistema!Z150="","",Sistema!Z150)</f>
        <v/>
      </c>
      <c r="AA150" t="str">
        <f>IF(Sistema!AA150="","",Sistema!AA150)</f>
        <v/>
      </c>
      <c r="AB150" t="str">
        <f>IF(Sistema!AB150="","",IF(OR(ISNUMBER(SEARCH("MKP",E150)),ISNUMBER(SEARCH("MKP",C150))),"Marketplace &gt; "&amp;Sistema!AB150,Sistema!AB150))</f>
        <v/>
      </c>
      <c r="AC150" t="str">
        <f>IF(Sistema!AC150="","",Sistema!AC150)</f>
        <v/>
      </c>
      <c r="AE150" t="str">
        <f>IF(Sistema!AE150="","",Sistema!AE150)</f>
        <v/>
      </c>
      <c r="AH150" t="str">
        <f>IF(Sistema!AH150="","",Sistema!AH150)</f>
        <v/>
      </c>
      <c r="AQ150" t="str">
        <f>IF(Sistema!AQ150="","",Sistema!AQ150)</f>
        <v/>
      </c>
      <c r="AR150" t="str">
        <f>IF(Sistema!AR150="","",Sistema!AR150)</f>
        <v/>
      </c>
      <c r="AS150" t="str">
        <f>IF(Sistema!AS150="","",Sistema!AS150)</f>
        <v/>
      </c>
      <c r="AT150" t="str">
        <f>IF(Sistema!AT150="","",Sistema!AT150)</f>
        <v/>
      </c>
      <c r="AU150" t="str">
        <f>IF(Sistema!AU150="","",Sistema!AU150)</f>
        <v/>
      </c>
      <c r="AV150" t="str">
        <f>IF(Sistema!AV150="","",Sistema!AV150)</f>
        <v/>
      </c>
      <c r="AW150" t="str">
        <f>IF(Sistema!AW150="","",Sistema!AW150)</f>
        <v/>
      </c>
      <c r="AX150" t="str">
        <f>IF(Sistema!AX150="","",Sistema!AX150)</f>
        <v/>
      </c>
      <c r="AY150" t="str">
        <f>IF(Sistema!AY150="","",Sistema!AY150)</f>
        <v/>
      </c>
      <c r="AZ150" t="str">
        <f>IF(Sistema!AZ150="","",Sistema!AZ150)</f>
        <v/>
      </c>
      <c r="BA150" t="str">
        <f>IF(Sistema!BA150="","",Sistema!BA150)</f>
        <v/>
      </c>
      <c r="BB150" t="str">
        <f>IF(Sistema!BB150="","",Sistema!BB150)</f>
        <v/>
      </c>
      <c r="BC150" t="str">
        <f>IF(Sistema!BC150="","",Sistema!BC150)</f>
        <v/>
      </c>
      <c r="BD150" t="str">
        <f>IF(Sistema!BD150="","",Sistema!BD150)</f>
        <v/>
      </c>
      <c r="BE150" t="str">
        <f>IF(Sistema!BE150="","",Sistema!BE150)</f>
        <v/>
      </c>
      <c r="BF150" t="str">
        <f>IF(Sistema!BF150="","",Sistema!BF150)</f>
        <v/>
      </c>
      <c r="BG150" t="str">
        <f>IF(Sistema!BG150="","",Sistema!BG150)</f>
        <v/>
      </c>
      <c r="BH150" t="str">
        <f>IF(Sistema!BH150="","",Sistema!BH150)</f>
        <v/>
      </c>
      <c r="BI150" t="str">
        <f>IF(Sistema!BI150="","",Sistema!BI150)</f>
        <v/>
      </c>
      <c r="BJ150" t="str">
        <f>IF(Sistema!BJ150="","",Sistema!BJ150)</f>
        <v/>
      </c>
      <c r="BK150" t="str">
        <f>IF(Sistema!BK150="","",Sistema!BK150)</f>
        <v/>
      </c>
      <c r="BL150" t="str">
        <f>IF(Sistema!BL150="","",Sistema!BL150)</f>
        <v/>
      </c>
      <c r="BM150" t="str">
        <f>IF(Sistema!BM150="","",Sistema!BM150)</f>
        <v/>
      </c>
      <c r="BN150" t="str">
        <f>IF(Sistema!BN150="","",Sistema!BN150)</f>
        <v/>
      </c>
      <c r="BO150" t="str">
        <f>IF(Sistema!BO150="","",Sistema!BO150)</f>
        <v/>
      </c>
      <c r="BP150" t="str">
        <f>IF(Sistema!BP150="","",Sistema!BP150)</f>
        <v/>
      </c>
      <c r="BQ150" t="str">
        <f>IF(Sistema!BQ150="","",Sistema!BQ150)</f>
        <v/>
      </c>
      <c r="BR150" t="str">
        <f>IF(Sistema!BR150="","",Sistema!BR150)</f>
        <v/>
      </c>
      <c r="BS150" t="str">
        <f>IF(Sistema!BS150="","",Sistema!BS150)</f>
        <v/>
      </c>
      <c r="BT150" t="str">
        <f>IF(Sistema!BT150="","",Sistema!BT150)</f>
        <v/>
      </c>
      <c r="BU150" t="str">
        <f>IF(Sistema!BU150="","",Sistema!BU150)</f>
        <v/>
      </c>
      <c r="BV150" t="str">
        <f>IF(Sistema!BV150="","",Sistema!BV150)</f>
        <v/>
      </c>
      <c r="BW150" t="str">
        <f>IF(Sistema!BW150="","",Sistema!BW150)</f>
        <v/>
      </c>
      <c r="BX150" t="str">
        <f>IF(Sistema!BX150="","",Sistema!BX150)</f>
        <v/>
      </c>
      <c r="BY150" t="str">
        <f>IF(Sistema!BY150="","",Sistema!BY150)</f>
        <v/>
      </c>
      <c r="BZ150" t="str">
        <f>IF(Sistema!BZ150="","",Sistema!BZ150)</f>
        <v/>
      </c>
      <c r="CA150" t="str">
        <f>IF(Sistema!CA150="","",Sistema!CA150)</f>
        <v/>
      </c>
      <c r="CB150" t="str">
        <f>IF(Sistema!CB150="","",Sistema!CB150)</f>
        <v/>
      </c>
      <c r="CC150" t="str">
        <f>IF(Sistema!CC150="","",Sistema!CC150)</f>
        <v/>
      </c>
      <c r="CD150" t="str">
        <f>IF(Sistema!CD150="","",Sistema!CD150)</f>
        <v/>
      </c>
    </row>
    <row r="151" spans="1:82" x14ac:dyDescent="0.25">
      <c r="A151" t="str">
        <f>IF(Sistema!A151="","",Sistema!A151)</f>
        <v/>
      </c>
      <c r="B151" t="str">
        <f>IF(Sistema!B151="","",Sistema!B151)</f>
        <v/>
      </c>
      <c r="C151" t="str">
        <f>IF(Sistema!C151="","",Sistema!C151)</f>
        <v/>
      </c>
      <c r="D151" t="str">
        <f>IF(Sistema!D151="","",Sistema!D151)</f>
        <v/>
      </c>
      <c r="E151" t="str">
        <f>IF(Sistema!E151="","",Sistema!E151)</f>
        <v/>
      </c>
      <c r="F151">
        <f>IF(P151&gt;0,1,IF(Sistema!F151=0,-1,1))</f>
        <v>-1</v>
      </c>
      <c r="G151">
        <f>Sistema!G151</f>
        <v>0</v>
      </c>
      <c r="H151" t="str">
        <f>IF(OR(R151="notify",R151=1),"visible",IF(OR(Sistema!F151=-1,Sistema!F151=0,ISNUMBER(SEARCH("PCK",E151))),"hidden",IF(P151&gt;0,"visible","hidden")))</f>
        <v>hidden</v>
      </c>
      <c r="I151" t="str">
        <f>IF(B151="simple",IF(P151&gt;0,"",IF(R151="notify",Info!C$2,"")),IF(B151="variable",IF(P151&gt;0,"",IF(R151="notify",Info!C$4,"")),""))</f>
        <v/>
      </c>
      <c r="J151" t="str">
        <f>IF(Sistema!J151="","",Sistema!J151)</f>
        <v/>
      </c>
      <c r="M151" t="str">
        <f>IF(Sistema!M151="","",Sistema!M151)</f>
        <v/>
      </c>
      <c r="N151" s="6" t="s">
        <v>1557</v>
      </c>
      <c r="O151" s="6">
        <v>1</v>
      </c>
      <c r="P151">
        <f>Sistema!P151</f>
        <v>0</v>
      </c>
      <c r="Q151">
        <f>Sistema!Q151</f>
        <v>0</v>
      </c>
      <c r="R151">
        <f>IF(Sistema!R151=1,"notify",Sistema!R151)</f>
        <v>0</v>
      </c>
      <c r="T151" t="str">
        <f>IF(Sistema!T151="","",Sistema!T151)</f>
        <v/>
      </c>
      <c r="U151" t="str">
        <f>IF(Sistema!U151="","",Sistema!U151)</f>
        <v/>
      </c>
      <c r="V151" t="str">
        <f>IF(Sistema!V151="","",Sistema!V151)</f>
        <v/>
      </c>
      <c r="W151" t="str">
        <f>IF(Sistema!W151="","",Sistema!W151)</f>
        <v/>
      </c>
      <c r="X151" s="6">
        <v>1</v>
      </c>
      <c r="Z151" t="str">
        <f>IF(Sistema!Z151="","",Sistema!Z151)</f>
        <v/>
      </c>
      <c r="AA151" t="str">
        <f>IF(Sistema!AA151="","",Sistema!AA151)</f>
        <v/>
      </c>
      <c r="AB151" t="str">
        <f>IF(Sistema!AB151="","",IF(OR(ISNUMBER(SEARCH("MKP",E151)),ISNUMBER(SEARCH("MKP",C151))),"Marketplace &gt; "&amp;Sistema!AB151,Sistema!AB151))</f>
        <v/>
      </c>
      <c r="AC151" t="str">
        <f>IF(Sistema!AC151="","",Sistema!AC151)</f>
        <v/>
      </c>
      <c r="AE151" t="str">
        <f>IF(Sistema!AE151="","",Sistema!AE151)</f>
        <v/>
      </c>
      <c r="AH151" t="str">
        <f>IF(Sistema!AH151="","",Sistema!AH151)</f>
        <v/>
      </c>
      <c r="AQ151" t="str">
        <f>IF(Sistema!AQ151="","",Sistema!AQ151)</f>
        <v/>
      </c>
      <c r="AR151" t="str">
        <f>IF(Sistema!AR151="","",Sistema!AR151)</f>
        <v/>
      </c>
      <c r="AS151" t="str">
        <f>IF(Sistema!AS151="","",Sistema!AS151)</f>
        <v/>
      </c>
      <c r="AT151" t="str">
        <f>IF(Sistema!AT151="","",Sistema!AT151)</f>
        <v/>
      </c>
      <c r="AU151" t="str">
        <f>IF(Sistema!AU151="","",Sistema!AU151)</f>
        <v/>
      </c>
      <c r="AV151" t="str">
        <f>IF(Sistema!AV151="","",Sistema!AV151)</f>
        <v/>
      </c>
      <c r="AW151" t="str">
        <f>IF(Sistema!AW151="","",Sistema!AW151)</f>
        <v/>
      </c>
      <c r="AX151" t="str">
        <f>IF(Sistema!AX151="","",Sistema!AX151)</f>
        <v/>
      </c>
      <c r="AY151" t="str">
        <f>IF(Sistema!AY151="","",Sistema!AY151)</f>
        <v/>
      </c>
      <c r="AZ151" t="str">
        <f>IF(Sistema!AZ151="","",Sistema!AZ151)</f>
        <v/>
      </c>
      <c r="BA151" t="str">
        <f>IF(Sistema!BA151="","",Sistema!BA151)</f>
        <v/>
      </c>
      <c r="BB151" t="str">
        <f>IF(Sistema!BB151="","",Sistema!BB151)</f>
        <v/>
      </c>
      <c r="BC151" t="str">
        <f>IF(Sistema!BC151="","",Sistema!BC151)</f>
        <v/>
      </c>
      <c r="BD151" t="str">
        <f>IF(Sistema!BD151="","",Sistema!BD151)</f>
        <v/>
      </c>
      <c r="BE151" t="str">
        <f>IF(Sistema!BE151="","",Sistema!BE151)</f>
        <v/>
      </c>
      <c r="BF151" t="str">
        <f>IF(Sistema!BF151="","",Sistema!BF151)</f>
        <v/>
      </c>
      <c r="BG151" t="str">
        <f>IF(Sistema!BG151="","",Sistema!BG151)</f>
        <v/>
      </c>
      <c r="BH151" t="str">
        <f>IF(Sistema!BH151="","",Sistema!BH151)</f>
        <v/>
      </c>
      <c r="BI151" t="str">
        <f>IF(Sistema!BI151="","",Sistema!BI151)</f>
        <v/>
      </c>
      <c r="BJ151" t="str">
        <f>IF(Sistema!BJ151="","",Sistema!BJ151)</f>
        <v/>
      </c>
      <c r="BK151" t="str">
        <f>IF(Sistema!BK151="","",Sistema!BK151)</f>
        <v/>
      </c>
      <c r="BL151" t="str">
        <f>IF(Sistema!BL151="","",Sistema!BL151)</f>
        <v/>
      </c>
      <c r="BM151" t="str">
        <f>IF(Sistema!BM151="","",Sistema!BM151)</f>
        <v/>
      </c>
      <c r="BN151" t="str">
        <f>IF(Sistema!BN151="","",Sistema!BN151)</f>
        <v/>
      </c>
      <c r="BO151" t="str">
        <f>IF(Sistema!BO151="","",Sistema!BO151)</f>
        <v/>
      </c>
      <c r="BP151" t="str">
        <f>IF(Sistema!BP151="","",Sistema!BP151)</f>
        <v/>
      </c>
      <c r="BQ151" t="str">
        <f>IF(Sistema!BQ151="","",Sistema!BQ151)</f>
        <v/>
      </c>
      <c r="BR151" t="str">
        <f>IF(Sistema!BR151="","",Sistema!BR151)</f>
        <v/>
      </c>
      <c r="BS151" t="str">
        <f>IF(Sistema!BS151="","",Sistema!BS151)</f>
        <v/>
      </c>
      <c r="BT151" t="str">
        <f>IF(Sistema!BT151="","",Sistema!BT151)</f>
        <v/>
      </c>
      <c r="BU151" t="str">
        <f>IF(Sistema!BU151="","",Sistema!BU151)</f>
        <v/>
      </c>
      <c r="BV151" t="str">
        <f>IF(Sistema!BV151="","",Sistema!BV151)</f>
        <v/>
      </c>
      <c r="BW151" t="str">
        <f>IF(Sistema!BW151="","",Sistema!BW151)</f>
        <v/>
      </c>
      <c r="BX151" t="str">
        <f>IF(Sistema!BX151="","",Sistema!BX151)</f>
        <v/>
      </c>
      <c r="BY151" t="str">
        <f>IF(Sistema!BY151="","",Sistema!BY151)</f>
        <v/>
      </c>
      <c r="BZ151" t="str">
        <f>IF(Sistema!BZ151="","",Sistema!BZ151)</f>
        <v/>
      </c>
      <c r="CA151" t="str">
        <f>IF(Sistema!CA151="","",Sistema!CA151)</f>
        <v/>
      </c>
      <c r="CB151" t="str">
        <f>IF(Sistema!CB151="","",Sistema!CB151)</f>
        <v/>
      </c>
      <c r="CC151" t="str">
        <f>IF(Sistema!CC151="","",Sistema!CC151)</f>
        <v/>
      </c>
      <c r="CD151" t="str">
        <f>IF(Sistema!CD151="","",Sistema!CD151)</f>
        <v/>
      </c>
    </row>
    <row r="152" spans="1:82" x14ac:dyDescent="0.25">
      <c r="A152" t="str">
        <f>IF(Sistema!A152="","",Sistema!A152)</f>
        <v/>
      </c>
      <c r="B152" t="str">
        <f>IF(Sistema!B152="","",Sistema!B152)</f>
        <v/>
      </c>
      <c r="C152" t="str">
        <f>IF(Sistema!C152="","",Sistema!C152)</f>
        <v/>
      </c>
      <c r="D152" t="str">
        <f>IF(Sistema!D152="","",Sistema!D152)</f>
        <v/>
      </c>
      <c r="E152" t="str">
        <f>IF(Sistema!E152="","",Sistema!E152)</f>
        <v/>
      </c>
      <c r="F152">
        <f>IF(P152&gt;0,1,IF(Sistema!F152=0,-1,1))</f>
        <v>-1</v>
      </c>
      <c r="G152">
        <f>Sistema!G152</f>
        <v>0</v>
      </c>
      <c r="H152" t="str">
        <f>IF(OR(R152="notify",R152=1),"visible",IF(OR(Sistema!F152=-1,Sistema!F152=0,ISNUMBER(SEARCH("PCK",E152))),"hidden",IF(P152&gt;0,"visible","hidden")))</f>
        <v>hidden</v>
      </c>
      <c r="I152" t="str">
        <f>IF(B152="simple",IF(P152&gt;0,"",IF(R152="notify",Info!C$2,"")),IF(B152="variable",IF(P152&gt;0,"",IF(R152="notify",Info!C$4,"")),""))</f>
        <v/>
      </c>
      <c r="J152" t="str">
        <f>IF(Sistema!J152="","",Sistema!J152)</f>
        <v/>
      </c>
      <c r="M152" t="str">
        <f>IF(Sistema!M152="","",Sistema!M152)</f>
        <v/>
      </c>
      <c r="N152" s="6" t="s">
        <v>1557</v>
      </c>
      <c r="O152" s="6">
        <v>1</v>
      </c>
      <c r="P152">
        <f>Sistema!P152</f>
        <v>0</v>
      </c>
      <c r="Q152">
        <f>Sistema!Q152</f>
        <v>0</v>
      </c>
      <c r="R152">
        <f>IF(Sistema!R152=1,"notify",Sistema!R152)</f>
        <v>0</v>
      </c>
      <c r="T152" t="str">
        <f>IF(Sistema!T152="","",Sistema!T152)</f>
        <v/>
      </c>
      <c r="U152" t="str">
        <f>IF(Sistema!U152="","",Sistema!U152)</f>
        <v/>
      </c>
      <c r="V152" t="str">
        <f>IF(Sistema!V152="","",Sistema!V152)</f>
        <v/>
      </c>
      <c r="W152" t="str">
        <f>IF(Sistema!W152="","",Sistema!W152)</f>
        <v/>
      </c>
      <c r="X152" s="6">
        <v>1</v>
      </c>
      <c r="Z152" t="str">
        <f>IF(Sistema!Z152="","",Sistema!Z152)</f>
        <v/>
      </c>
      <c r="AA152" t="str">
        <f>IF(Sistema!AA152="","",Sistema!AA152)</f>
        <v/>
      </c>
      <c r="AB152" t="str">
        <f>IF(Sistema!AB152="","",IF(OR(ISNUMBER(SEARCH("MKP",E152)),ISNUMBER(SEARCH("MKP",C152))),"Marketplace &gt; "&amp;Sistema!AB152,Sistema!AB152))</f>
        <v/>
      </c>
      <c r="AC152" t="str">
        <f>IF(Sistema!AC152="","",Sistema!AC152)</f>
        <v/>
      </c>
      <c r="AE152" t="str">
        <f>IF(Sistema!AE152="","",Sistema!AE152)</f>
        <v/>
      </c>
      <c r="AH152" t="str">
        <f>IF(Sistema!AH152="","",Sistema!AH152)</f>
        <v/>
      </c>
      <c r="AQ152" t="str">
        <f>IF(Sistema!AQ152="","",Sistema!AQ152)</f>
        <v/>
      </c>
      <c r="AR152" t="str">
        <f>IF(Sistema!AR152="","",Sistema!AR152)</f>
        <v/>
      </c>
      <c r="AS152" t="str">
        <f>IF(Sistema!AS152="","",Sistema!AS152)</f>
        <v/>
      </c>
      <c r="AT152" t="str">
        <f>IF(Sistema!AT152="","",Sistema!AT152)</f>
        <v/>
      </c>
      <c r="AU152" t="str">
        <f>IF(Sistema!AU152="","",Sistema!AU152)</f>
        <v/>
      </c>
      <c r="AV152" t="str">
        <f>IF(Sistema!AV152="","",Sistema!AV152)</f>
        <v/>
      </c>
      <c r="AW152" t="str">
        <f>IF(Sistema!AW152="","",Sistema!AW152)</f>
        <v/>
      </c>
      <c r="AX152" t="str">
        <f>IF(Sistema!AX152="","",Sistema!AX152)</f>
        <v/>
      </c>
      <c r="AY152" t="str">
        <f>IF(Sistema!AY152="","",Sistema!AY152)</f>
        <v/>
      </c>
      <c r="AZ152" t="str">
        <f>IF(Sistema!AZ152="","",Sistema!AZ152)</f>
        <v/>
      </c>
      <c r="BA152" t="str">
        <f>IF(Sistema!BA152="","",Sistema!BA152)</f>
        <v/>
      </c>
      <c r="BB152" t="str">
        <f>IF(Sistema!BB152="","",Sistema!BB152)</f>
        <v/>
      </c>
      <c r="BC152" t="str">
        <f>IF(Sistema!BC152="","",Sistema!BC152)</f>
        <v/>
      </c>
      <c r="BD152" t="str">
        <f>IF(Sistema!BD152="","",Sistema!BD152)</f>
        <v/>
      </c>
      <c r="BE152" t="str">
        <f>IF(Sistema!BE152="","",Sistema!BE152)</f>
        <v/>
      </c>
      <c r="BF152" t="str">
        <f>IF(Sistema!BF152="","",Sistema!BF152)</f>
        <v/>
      </c>
      <c r="BG152" t="str">
        <f>IF(Sistema!BG152="","",Sistema!BG152)</f>
        <v/>
      </c>
      <c r="BH152" t="str">
        <f>IF(Sistema!BH152="","",Sistema!BH152)</f>
        <v/>
      </c>
      <c r="BI152" t="str">
        <f>IF(Sistema!BI152="","",Sistema!BI152)</f>
        <v/>
      </c>
      <c r="BJ152" t="str">
        <f>IF(Sistema!BJ152="","",Sistema!BJ152)</f>
        <v/>
      </c>
      <c r="BK152" t="str">
        <f>IF(Sistema!BK152="","",Sistema!BK152)</f>
        <v/>
      </c>
      <c r="BL152" t="str">
        <f>IF(Sistema!BL152="","",Sistema!BL152)</f>
        <v/>
      </c>
      <c r="BM152" t="str">
        <f>IF(Sistema!BM152="","",Sistema!BM152)</f>
        <v/>
      </c>
      <c r="BN152" t="str">
        <f>IF(Sistema!BN152="","",Sistema!BN152)</f>
        <v/>
      </c>
      <c r="BO152" t="str">
        <f>IF(Sistema!BO152="","",Sistema!BO152)</f>
        <v/>
      </c>
      <c r="BP152" t="str">
        <f>IF(Sistema!BP152="","",Sistema!BP152)</f>
        <v/>
      </c>
      <c r="BQ152" t="str">
        <f>IF(Sistema!BQ152="","",Sistema!BQ152)</f>
        <v/>
      </c>
      <c r="BR152" t="str">
        <f>IF(Sistema!BR152="","",Sistema!BR152)</f>
        <v/>
      </c>
      <c r="BS152" t="str">
        <f>IF(Sistema!BS152="","",Sistema!BS152)</f>
        <v/>
      </c>
      <c r="BT152" t="str">
        <f>IF(Sistema!BT152="","",Sistema!BT152)</f>
        <v/>
      </c>
      <c r="BU152" t="str">
        <f>IF(Sistema!BU152="","",Sistema!BU152)</f>
        <v/>
      </c>
      <c r="BV152" t="str">
        <f>IF(Sistema!BV152="","",Sistema!BV152)</f>
        <v/>
      </c>
      <c r="BW152" t="str">
        <f>IF(Sistema!BW152="","",Sistema!BW152)</f>
        <v/>
      </c>
      <c r="BX152" t="str">
        <f>IF(Sistema!BX152="","",Sistema!BX152)</f>
        <v/>
      </c>
      <c r="BY152" t="str">
        <f>IF(Sistema!BY152="","",Sistema!BY152)</f>
        <v/>
      </c>
      <c r="BZ152" t="str">
        <f>IF(Sistema!BZ152="","",Sistema!BZ152)</f>
        <v/>
      </c>
      <c r="CA152" t="str">
        <f>IF(Sistema!CA152="","",Sistema!CA152)</f>
        <v/>
      </c>
      <c r="CB152" t="str">
        <f>IF(Sistema!CB152="","",Sistema!CB152)</f>
        <v/>
      </c>
      <c r="CC152" t="str">
        <f>IF(Sistema!CC152="","",Sistema!CC152)</f>
        <v/>
      </c>
      <c r="CD152" t="str">
        <f>IF(Sistema!CD152="","",Sistema!CD152)</f>
        <v/>
      </c>
    </row>
    <row r="153" spans="1:82" x14ac:dyDescent="0.25">
      <c r="A153" t="str">
        <f>IF(Sistema!A153="","",Sistema!A153)</f>
        <v/>
      </c>
      <c r="B153" t="str">
        <f>IF(Sistema!B153="","",Sistema!B153)</f>
        <v/>
      </c>
      <c r="C153" t="str">
        <f>IF(Sistema!C153="","",Sistema!C153)</f>
        <v/>
      </c>
      <c r="D153" t="str">
        <f>IF(Sistema!D153="","",Sistema!D153)</f>
        <v/>
      </c>
      <c r="E153" t="str">
        <f>IF(Sistema!E153="","",Sistema!E153)</f>
        <v/>
      </c>
      <c r="F153">
        <f>IF(P153&gt;0,1,IF(Sistema!F153=0,-1,1))</f>
        <v>-1</v>
      </c>
      <c r="G153">
        <f>Sistema!G153</f>
        <v>0</v>
      </c>
      <c r="H153" t="str">
        <f>IF(OR(R153="notify",R153=1),"visible",IF(OR(Sistema!F153=-1,Sistema!F153=0,ISNUMBER(SEARCH("PCK",E153))),"hidden",IF(P153&gt;0,"visible","hidden")))</f>
        <v>hidden</v>
      </c>
      <c r="I153" t="str">
        <f>IF(B153="simple",IF(P153&gt;0,"",IF(R153="notify",Info!C$2,"")),IF(B153="variable",IF(P153&gt;0,"",IF(R153="notify",Info!C$4,"")),""))</f>
        <v/>
      </c>
      <c r="J153" t="str">
        <f>IF(Sistema!J153="","",Sistema!J153)</f>
        <v/>
      </c>
      <c r="M153" t="str">
        <f>IF(Sistema!M153="","",Sistema!M153)</f>
        <v/>
      </c>
      <c r="N153" s="6" t="s">
        <v>1557</v>
      </c>
      <c r="O153" s="6">
        <v>1</v>
      </c>
      <c r="P153">
        <f>Sistema!P153</f>
        <v>0</v>
      </c>
      <c r="Q153">
        <f>Sistema!Q153</f>
        <v>0</v>
      </c>
      <c r="R153">
        <f>IF(Sistema!R153=1,"notify",Sistema!R153)</f>
        <v>0</v>
      </c>
      <c r="T153" t="str">
        <f>IF(Sistema!T153="","",Sistema!T153)</f>
        <v/>
      </c>
      <c r="U153" t="str">
        <f>IF(Sistema!U153="","",Sistema!U153)</f>
        <v/>
      </c>
      <c r="V153" t="str">
        <f>IF(Sistema!V153="","",Sistema!V153)</f>
        <v/>
      </c>
      <c r="W153" t="str">
        <f>IF(Sistema!W153="","",Sistema!W153)</f>
        <v/>
      </c>
      <c r="X153" s="6">
        <v>1</v>
      </c>
      <c r="Z153" t="str">
        <f>IF(Sistema!Z153="","",Sistema!Z153)</f>
        <v/>
      </c>
      <c r="AA153" t="str">
        <f>IF(Sistema!AA153="","",Sistema!AA153)</f>
        <v/>
      </c>
      <c r="AB153" t="str">
        <f>IF(Sistema!AB153="","",IF(OR(ISNUMBER(SEARCH("MKP",E153)),ISNUMBER(SEARCH("MKP",C153))),"Marketplace &gt; "&amp;Sistema!AB153,Sistema!AB153))</f>
        <v/>
      </c>
      <c r="AC153" t="str">
        <f>IF(Sistema!AC153="","",Sistema!AC153)</f>
        <v/>
      </c>
      <c r="AE153" t="str">
        <f>IF(Sistema!AE153="","",Sistema!AE153)</f>
        <v/>
      </c>
      <c r="AH153" t="str">
        <f>IF(Sistema!AH153="","",Sistema!AH153)</f>
        <v/>
      </c>
      <c r="AQ153" t="str">
        <f>IF(Sistema!AQ153="","",Sistema!AQ153)</f>
        <v/>
      </c>
      <c r="AR153" t="str">
        <f>IF(Sistema!AR153="","",Sistema!AR153)</f>
        <v/>
      </c>
      <c r="AS153" t="str">
        <f>IF(Sistema!AS153="","",Sistema!AS153)</f>
        <v/>
      </c>
      <c r="AT153" t="str">
        <f>IF(Sistema!AT153="","",Sistema!AT153)</f>
        <v/>
      </c>
      <c r="AU153" t="str">
        <f>IF(Sistema!AU153="","",Sistema!AU153)</f>
        <v/>
      </c>
      <c r="AV153" t="str">
        <f>IF(Sistema!AV153="","",Sistema!AV153)</f>
        <v/>
      </c>
      <c r="AW153" t="str">
        <f>IF(Sistema!AW153="","",Sistema!AW153)</f>
        <v/>
      </c>
      <c r="AX153" t="str">
        <f>IF(Sistema!AX153="","",Sistema!AX153)</f>
        <v/>
      </c>
      <c r="AY153" t="str">
        <f>IF(Sistema!AY153="","",Sistema!AY153)</f>
        <v/>
      </c>
      <c r="AZ153" t="str">
        <f>IF(Sistema!AZ153="","",Sistema!AZ153)</f>
        <v/>
      </c>
      <c r="BA153" t="str">
        <f>IF(Sistema!BA153="","",Sistema!BA153)</f>
        <v/>
      </c>
      <c r="BB153" t="str">
        <f>IF(Sistema!BB153="","",Sistema!BB153)</f>
        <v/>
      </c>
      <c r="BC153" t="str">
        <f>IF(Sistema!BC153="","",Sistema!BC153)</f>
        <v/>
      </c>
      <c r="BD153" t="str">
        <f>IF(Sistema!BD153="","",Sistema!BD153)</f>
        <v/>
      </c>
      <c r="BE153" t="str">
        <f>IF(Sistema!BE153="","",Sistema!BE153)</f>
        <v/>
      </c>
      <c r="BF153" t="str">
        <f>IF(Sistema!BF153="","",Sistema!BF153)</f>
        <v/>
      </c>
      <c r="BG153" t="str">
        <f>IF(Sistema!BG153="","",Sistema!BG153)</f>
        <v/>
      </c>
      <c r="BH153" t="str">
        <f>IF(Sistema!BH153="","",Sistema!BH153)</f>
        <v/>
      </c>
      <c r="BI153" t="str">
        <f>IF(Sistema!BI153="","",Sistema!BI153)</f>
        <v/>
      </c>
      <c r="BJ153" t="str">
        <f>IF(Sistema!BJ153="","",Sistema!BJ153)</f>
        <v/>
      </c>
      <c r="BK153" t="str">
        <f>IF(Sistema!BK153="","",Sistema!BK153)</f>
        <v/>
      </c>
      <c r="BL153" t="str">
        <f>IF(Sistema!BL153="","",Sistema!BL153)</f>
        <v/>
      </c>
      <c r="BM153" t="str">
        <f>IF(Sistema!BM153="","",Sistema!BM153)</f>
        <v/>
      </c>
      <c r="BN153" t="str">
        <f>IF(Sistema!BN153="","",Sistema!BN153)</f>
        <v/>
      </c>
      <c r="BO153" t="str">
        <f>IF(Sistema!BO153="","",Sistema!BO153)</f>
        <v/>
      </c>
      <c r="BP153" t="str">
        <f>IF(Sistema!BP153="","",Sistema!BP153)</f>
        <v/>
      </c>
      <c r="BQ153" t="str">
        <f>IF(Sistema!BQ153="","",Sistema!BQ153)</f>
        <v/>
      </c>
      <c r="BR153" t="str">
        <f>IF(Sistema!BR153="","",Sistema!BR153)</f>
        <v/>
      </c>
      <c r="BS153" t="str">
        <f>IF(Sistema!BS153="","",Sistema!BS153)</f>
        <v/>
      </c>
      <c r="BT153" t="str">
        <f>IF(Sistema!BT153="","",Sistema!BT153)</f>
        <v/>
      </c>
      <c r="BU153" t="str">
        <f>IF(Sistema!BU153="","",Sistema!BU153)</f>
        <v/>
      </c>
      <c r="BV153" t="str">
        <f>IF(Sistema!BV153="","",Sistema!BV153)</f>
        <v/>
      </c>
      <c r="BW153" t="str">
        <f>IF(Sistema!BW153="","",Sistema!BW153)</f>
        <v/>
      </c>
      <c r="BX153" t="str">
        <f>IF(Sistema!BX153="","",Sistema!BX153)</f>
        <v/>
      </c>
      <c r="BY153" t="str">
        <f>IF(Sistema!BY153="","",Sistema!BY153)</f>
        <v/>
      </c>
      <c r="BZ153" t="str">
        <f>IF(Sistema!BZ153="","",Sistema!BZ153)</f>
        <v/>
      </c>
      <c r="CA153" t="str">
        <f>IF(Sistema!CA153="","",Sistema!CA153)</f>
        <v/>
      </c>
      <c r="CB153" t="str">
        <f>IF(Sistema!CB153="","",Sistema!CB153)</f>
        <v/>
      </c>
      <c r="CC153" t="str">
        <f>IF(Sistema!CC153="","",Sistema!CC153)</f>
        <v/>
      </c>
      <c r="CD153" t="str">
        <f>IF(Sistema!CD153="","",Sistema!CD153)</f>
        <v/>
      </c>
    </row>
    <row r="154" spans="1:82" x14ac:dyDescent="0.25">
      <c r="A154" t="str">
        <f>IF(Sistema!A154="","",Sistema!A154)</f>
        <v/>
      </c>
      <c r="B154" t="str">
        <f>IF(Sistema!B154="","",Sistema!B154)</f>
        <v/>
      </c>
      <c r="C154" t="str">
        <f>IF(Sistema!C154="","",Sistema!C154)</f>
        <v/>
      </c>
      <c r="D154" t="str">
        <f>IF(Sistema!D154="","",Sistema!D154)</f>
        <v/>
      </c>
      <c r="E154" t="str">
        <f>IF(Sistema!E154="","",Sistema!E154)</f>
        <v/>
      </c>
      <c r="F154">
        <f>IF(P154&gt;0,1,IF(Sistema!F154=0,-1,1))</f>
        <v>-1</v>
      </c>
      <c r="G154">
        <f>Sistema!G154</f>
        <v>0</v>
      </c>
      <c r="H154" t="str">
        <f>IF(OR(R154="notify",R154=1),"visible",IF(OR(Sistema!F154=-1,Sistema!F154=0,ISNUMBER(SEARCH("PCK",E154))),"hidden",IF(P154&gt;0,"visible","hidden")))</f>
        <v>hidden</v>
      </c>
      <c r="I154" t="str">
        <f>IF(B154="simple",IF(P154&gt;0,"",IF(R154="notify",Info!C$2,"")),IF(B154="variable",IF(P154&gt;0,"",IF(R154="notify",Info!C$4,"")),""))</f>
        <v/>
      </c>
      <c r="J154" t="str">
        <f>IF(Sistema!J154="","",Sistema!J154)</f>
        <v/>
      </c>
      <c r="M154" t="str">
        <f>IF(Sistema!M154="","",Sistema!M154)</f>
        <v/>
      </c>
      <c r="N154" s="6" t="s">
        <v>1557</v>
      </c>
      <c r="O154" s="6">
        <v>1</v>
      </c>
      <c r="P154">
        <f>Sistema!P154</f>
        <v>0</v>
      </c>
      <c r="Q154">
        <f>Sistema!Q154</f>
        <v>0</v>
      </c>
      <c r="R154">
        <f>IF(Sistema!R154=1,"notify",Sistema!R154)</f>
        <v>0</v>
      </c>
      <c r="T154" t="str">
        <f>IF(Sistema!T154="","",Sistema!T154)</f>
        <v/>
      </c>
      <c r="U154" t="str">
        <f>IF(Sistema!U154="","",Sistema!U154)</f>
        <v/>
      </c>
      <c r="V154" t="str">
        <f>IF(Sistema!V154="","",Sistema!V154)</f>
        <v/>
      </c>
      <c r="W154" t="str">
        <f>IF(Sistema!W154="","",Sistema!W154)</f>
        <v/>
      </c>
      <c r="X154" s="6">
        <v>1</v>
      </c>
      <c r="Z154" t="str">
        <f>IF(Sistema!Z154="","",Sistema!Z154)</f>
        <v/>
      </c>
      <c r="AA154" t="str">
        <f>IF(Sistema!AA154="","",Sistema!AA154)</f>
        <v/>
      </c>
      <c r="AB154" t="str">
        <f>IF(Sistema!AB154="","",IF(OR(ISNUMBER(SEARCH("MKP",E154)),ISNUMBER(SEARCH("MKP",C154))),"Marketplace &gt; "&amp;Sistema!AB154,Sistema!AB154))</f>
        <v/>
      </c>
      <c r="AC154" t="str">
        <f>IF(Sistema!AC154="","",Sistema!AC154)</f>
        <v/>
      </c>
      <c r="AE154" t="str">
        <f>IF(Sistema!AE154="","",Sistema!AE154)</f>
        <v/>
      </c>
      <c r="AH154" t="str">
        <f>IF(Sistema!AH154="","",Sistema!AH154)</f>
        <v/>
      </c>
      <c r="AQ154" t="str">
        <f>IF(Sistema!AQ154="","",Sistema!AQ154)</f>
        <v/>
      </c>
      <c r="AR154" t="str">
        <f>IF(Sistema!AR154="","",Sistema!AR154)</f>
        <v/>
      </c>
      <c r="AS154" t="str">
        <f>IF(Sistema!AS154="","",Sistema!AS154)</f>
        <v/>
      </c>
      <c r="AT154" t="str">
        <f>IF(Sistema!AT154="","",Sistema!AT154)</f>
        <v/>
      </c>
      <c r="AU154" t="str">
        <f>IF(Sistema!AU154="","",Sistema!AU154)</f>
        <v/>
      </c>
      <c r="AV154" t="str">
        <f>IF(Sistema!AV154="","",Sistema!AV154)</f>
        <v/>
      </c>
      <c r="AW154" t="str">
        <f>IF(Sistema!AW154="","",Sistema!AW154)</f>
        <v/>
      </c>
      <c r="AX154" t="str">
        <f>IF(Sistema!AX154="","",Sistema!AX154)</f>
        <v/>
      </c>
      <c r="AY154" t="str">
        <f>IF(Sistema!AY154="","",Sistema!AY154)</f>
        <v/>
      </c>
      <c r="AZ154" t="str">
        <f>IF(Sistema!AZ154="","",Sistema!AZ154)</f>
        <v/>
      </c>
      <c r="BA154" t="str">
        <f>IF(Sistema!BA154="","",Sistema!BA154)</f>
        <v/>
      </c>
      <c r="BB154" t="str">
        <f>IF(Sistema!BB154="","",Sistema!BB154)</f>
        <v/>
      </c>
      <c r="BC154" t="str">
        <f>IF(Sistema!BC154="","",Sistema!BC154)</f>
        <v/>
      </c>
      <c r="BD154" t="str">
        <f>IF(Sistema!BD154="","",Sistema!BD154)</f>
        <v/>
      </c>
      <c r="BE154" t="str">
        <f>IF(Sistema!BE154="","",Sistema!BE154)</f>
        <v/>
      </c>
      <c r="BF154" t="str">
        <f>IF(Sistema!BF154="","",Sistema!BF154)</f>
        <v/>
      </c>
      <c r="BG154" t="str">
        <f>IF(Sistema!BG154="","",Sistema!BG154)</f>
        <v/>
      </c>
      <c r="BH154" t="str">
        <f>IF(Sistema!BH154="","",Sistema!BH154)</f>
        <v/>
      </c>
      <c r="BI154" t="str">
        <f>IF(Sistema!BI154="","",Sistema!BI154)</f>
        <v/>
      </c>
      <c r="BJ154" t="str">
        <f>IF(Sistema!BJ154="","",Sistema!BJ154)</f>
        <v/>
      </c>
      <c r="BK154" t="str">
        <f>IF(Sistema!BK154="","",Sistema!BK154)</f>
        <v/>
      </c>
      <c r="BL154" t="str">
        <f>IF(Sistema!BL154="","",Sistema!BL154)</f>
        <v/>
      </c>
      <c r="BM154" t="str">
        <f>IF(Sistema!BM154="","",Sistema!BM154)</f>
        <v/>
      </c>
      <c r="BN154" t="str">
        <f>IF(Sistema!BN154="","",Sistema!BN154)</f>
        <v/>
      </c>
      <c r="BO154" t="str">
        <f>IF(Sistema!BO154="","",Sistema!BO154)</f>
        <v/>
      </c>
      <c r="BP154" t="str">
        <f>IF(Sistema!BP154="","",Sistema!BP154)</f>
        <v/>
      </c>
      <c r="BQ154" t="str">
        <f>IF(Sistema!BQ154="","",Sistema!BQ154)</f>
        <v/>
      </c>
      <c r="BR154" t="str">
        <f>IF(Sistema!BR154="","",Sistema!BR154)</f>
        <v/>
      </c>
      <c r="BS154" t="str">
        <f>IF(Sistema!BS154="","",Sistema!BS154)</f>
        <v/>
      </c>
      <c r="BT154" t="str">
        <f>IF(Sistema!BT154="","",Sistema!BT154)</f>
        <v/>
      </c>
      <c r="BU154" t="str">
        <f>IF(Sistema!BU154="","",Sistema!BU154)</f>
        <v/>
      </c>
      <c r="BV154" t="str">
        <f>IF(Sistema!BV154="","",Sistema!BV154)</f>
        <v/>
      </c>
      <c r="BW154" t="str">
        <f>IF(Sistema!BW154="","",Sistema!BW154)</f>
        <v/>
      </c>
      <c r="BX154" t="str">
        <f>IF(Sistema!BX154="","",Sistema!BX154)</f>
        <v/>
      </c>
      <c r="BY154" t="str">
        <f>IF(Sistema!BY154="","",Sistema!BY154)</f>
        <v/>
      </c>
      <c r="BZ154" t="str">
        <f>IF(Sistema!BZ154="","",Sistema!BZ154)</f>
        <v/>
      </c>
      <c r="CA154" t="str">
        <f>IF(Sistema!CA154="","",Sistema!CA154)</f>
        <v/>
      </c>
      <c r="CB154" t="str">
        <f>IF(Sistema!CB154="","",Sistema!CB154)</f>
        <v/>
      </c>
      <c r="CC154" t="str">
        <f>IF(Sistema!CC154="","",Sistema!CC154)</f>
        <v/>
      </c>
      <c r="CD154" t="str">
        <f>IF(Sistema!CD154="","",Sistema!CD154)</f>
        <v/>
      </c>
    </row>
    <row r="155" spans="1:82" x14ac:dyDescent="0.25">
      <c r="A155" t="str">
        <f>IF(Sistema!A155="","",Sistema!A155)</f>
        <v/>
      </c>
      <c r="B155" t="str">
        <f>IF(Sistema!B155="","",Sistema!B155)</f>
        <v/>
      </c>
      <c r="C155" t="str">
        <f>IF(Sistema!C155="","",Sistema!C155)</f>
        <v/>
      </c>
      <c r="D155" t="str">
        <f>IF(Sistema!D155="","",Sistema!D155)</f>
        <v/>
      </c>
      <c r="E155" t="str">
        <f>IF(Sistema!E155="","",Sistema!E155)</f>
        <v/>
      </c>
      <c r="F155">
        <f>IF(P155&gt;0,1,IF(Sistema!F155=0,-1,1))</f>
        <v>-1</v>
      </c>
      <c r="G155">
        <f>Sistema!G155</f>
        <v>0</v>
      </c>
      <c r="H155" t="str">
        <f>IF(OR(R155="notify",R155=1),"visible",IF(OR(Sistema!F155=-1,Sistema!F155=0,ISNUMBER(SEARCH("PCK",E155))),"hidden",IF(P155&gt;0,"visible","hidden")))</f>
        <v>hidden</v>
      </c>
      <c r="I155" t="str">
        <f>IF(B155="simple",IF(P155&gt;0,"",IF(R155="notify",Info!C$2,"")),IF(B155="variable",IF(P155&gt;0,"",IF(R155="notify",Info!C$4,"")),""))</f>
        <v/>
      </c>
      <c r="J155" t="str">
        <f>IF(Sistema!J155="","",Sistema!J155)</f>
        <v/>
      </c>
      <c r="M155" t="str">
        <f>IF(Sistema!M155="","",Sistema!M155)</f>
        <v/>
      </c>
      <c r="N155" s="6" t="s">
        <v>1557</v>
      </c>
      <c r="O155" s="6">
        <v>1</v>
      </c>
      <c r="P155">
        <f>Sistema!P155</f>
        <v>0</v>
      </c>
      <c r="Q155">
        <f>Sistema!Q155</f>
        <v>0</v>
      </c>
      <c r="R155">
        <f>IF(Sistema!R155=1,"notify",Sistema!R155)</f>
        <v>0</v>
      </c>
      <c r="T155" t="str">
        <f>IF(Sistema!T155="","",Sistema!T155)</f>
        <v/>
      </c>
      <c r="U155" t="str">
        <f>IF(Sistema!U155="","",Sistema!U155)</f>
        <v/>
      </c>
      <c r="V155" t="str">
        <f>IF(Sistema!V155="","",Sistema!V155)</f>
        <v/>
      </c>
      <c r="W155" t="str">
        <f>IF(Sistema!W155="","",Sistema!W155)</f>
        <v/>
      </c>
      <c r="X155" s="6">
        <v>1</v>
      </c>
      <c r="Z155" t="str">
        <f>IF(Sistema!Z155="","",Sistema!Z155)</f>
        <v/>
      </c>
      <c r="AA155" t="str">
        <f>IF(Sistema!AA155="","",Sistema!AA155)</f>
        <v/>
      </c>
      <c r="AB155" t="str">
        <f>IF(Sistema!AB155="","",IF(OR(ISNUMBER(SEARCH("MKP",E155)),ISNUMBER(SEARCH("MKP",C155))),"Marketplace &gt; "&amp;Sistema!AB155,Sistema!AB155))</f>
        <v/>
      </c>
      <c r="AC155" t="str">
        <f>IF(Sistema!AC155="","",Sistema!AC155)</f>
        <v/>
      </c>
      <c r="AE155" t="str">
        <f>IF(Sistema!AE155="","",Sistema!AE155)</f>
        <v/>
      </c>
      <c r="AH155" t="str">
        <f>IF(Sistema!AH155="","",Sistema!AH155)</f>
        <v/>
      </c>
      <c r="AQ155" t="str">
        <f>IF(Sistema!AQ155="","",Sistema!AQ155)</f>
        <v/>
      </c>
      <c r="AR155" t="str">
        <f>IF(Sistema!AR155="","",Sistema!AR155)</f>
        <v/>
      </c>
      <c r="AS155" t="str">
        <f>IF(Sistema!AS155="","",Sistema!AS155)</f>
        <v/>
      </c>
      <c r="AT155" t="str">
        <f>IF(Sistema!AT155="","",Sistema!AT155)</f>
        <v/>
      </c>
      <c r="AU155" t="str">
        <f>IF(Sistema!AU155="","",Sistema!AU155)</f>
        <v/>
      </c>
      <c r="AV155" t="str">
        <f>IF(Sistema!AV155="","",Sistema!AV155)</f>
        <v/>
      </c>
      <c r="AW155" t="str">
        <f>IF(Sistema!AW155="","",Sistema!AW155)</f>
        <v/>
      </c>
      <c r="AX155" t="str">
        <f>IF(Sistema!AX155="","",Sistema!AX155)</f>
        <v/>
      </c>
      <c r="AY155" t="str">
        <f>IF(Sistema!AY155="","",Sistema!AY155)</f>
        <v/>
      </c>
      <c r="AZ155" t="str">
        <f>IF(Sistema!AZ155="","",Sistema!AZ155)</f>
        <v/>
      </c>
      <c r="BA155" t="str">
        <f>IF(Sistema!BA155="","",Sistema!BA155)</f>
        <v/>
      </c>
      <c r="BB155" t="str">
        <f>IF(Sistema!BB155="","",Sistema!BB155)</f>
        <v/>
      </c>
      <c r="BC155" t="str">
        <f>IF(Sistema!BC155="","",Sistema!BC155)</f>
        <v/>
      </c>
      <c r="BD155" t="str">
        <f>IF(Sistema!BD155="","",Sistema!BD155)</f>
        <v/>
      </c>
      <c r="BE155" t="str">
        <f>IF(Sistema!BE155="","",Sistema!BE155)</f>
        <v/>
      </c>
      <c r="BF155" t="str">
        <f>IF(Sistema!BF155="","",Sistema!BF155)</f>
        <v/>
      </c>
      <c r="BG155" t="str">
        <f>IF(Sistema!BG155="","",Sistema!BG155)</f>
        <v/>
      </c>
      <c r="BH155" t="str">
        <f>IF(Sistema!BH155="","",Sistema!BH155)</f>
        <v/>
      </c>
      <c r="BI155" t="str">
        <f>IF(Sistema!BI155="","",Sistema!BI155)</f>
        <v/>
      </c>
      <c r="BJ155" t="str">
        <f>IF(Sistema!BJ155="","",Sistema!BJ155)</f>
        <v/>
      </c>
      <c r="BK155" t="str">
        <f>IF(Sistema!BK155="","",Sistema!BK155)</f>
        <v/>
      </c>
      <c r="BL155" t="str">
        <f>IF(Sistema!BL155="","",Sistema!BL155)</f>
        <v/>
      </c>
      <c r="BM155" t="str">
        <f>IF(Sistema!BM155="","",Sistema!BM155)</f>
        <v/>
      </c>
      <c r="BN155" t="str">
        <f>IF(Sistema!BN155="","",Sistema!BN155)</f>
        <v/>
      </c>
      <c r="BO155" t="str">
        <f>IF(Sistema!BO155="","",Sistema!BO155)</f>
        <v/>
      </c>
      <c r="BP155" t="str">
        <f>IF(Sistema!BP155="","",Sistema!BP155)</f>
        <v/>
      </c>
      <c r="BQ155" t="str">
        <f>IF(Sistema!BQ155="","",Sistema!BQ155)</f>
        <v/>
      </c>
      <c r="BR155" t="str">
        <f>IF(Sistema!BR155="","",Sistema!BR155)</f>
        <v/>
      </c>
      <c r="BS155" t="str">
        <f>IF(Sistema!BS155="","",Sistema!BS155)</f>
        <v/>
      </c>
      <c r="BT155" t="str">
        <f>IF(Sistema!BT155="","",Sistema!BT155)</f>
        <v/>
      </c>
      <c r="BU155" t="str">
        <f>IF(Sistema!BU155="","",Sistema!BU155)</f>
        <v/>
      </c>
      <c r="BV155" t="str">
        <f>IF(Sistema!BV155="","",Sistema!BV155)</f>
        <v/>
      </c>
      <c r="BW155" t="str">
        <f>IF(Sistema!BW155="","",Sistema!BW155)</f>
        <v/>
      </c>
      <c r="BX155" t="str">
        <f>IF(Sistema!BX155="","",Sistema!BX155)</f>
        <v/>
      </c>
      <c r="BY155" t="str">
        <f>IF(Sistema!BY155="","",Sistema!BY155)</f>
        <v/>
      </c>
      <c r="BZ155" t="str">
        <f>IF(Sistema!BZ155="","",Sistema!BZ155)</f>
        <v/>
      </c>
      <c r="CA155" t="str">
        <f>IF(Sistema!CA155="","",Sistema!CA155)</f>
        <v/>
      </c>
      <c r="CB155" t="str">
        <f>IF(Sistema!CB155="","",Sistema!CB155)</f>
        <v/>
      </c>
      <c r="CC155" t="str">
        <f>IF(Sistema!CC155="","",Sistema!CC155)</f>
        <v/>
      </c>
      <c r="CD155" t="str">
        <f>IF(Sistema!CD155="","",Sistema!CD155)</f>
        <v/>
      </c>
    </row>
    <row r="156" spans="1:82" x14ac:dyDescent="0.25">
      <c r="A156" t="str">
        <f>IF(Sistema!A156="","",Sistema!A156)</f>
        <v/>
      </c>
      <c r="B156" t="str">
        <f>IF(Sistema!B156="","",Sistema!B156)</f>
        <v/>
      </c>
      <c r="C156" t="str">
        <f>IF(Sistema!C156="","",Sistema!C156)</f>
        <v/>
      </c>
      <c r="D156" t="str">
        <f>IF(Sistema!D156="","",Sistema!D156)</f>
        <v/>
      </c>
      <c r="E156" t="str">
        <f>IF(Sistema!E156="","",Sistema!E156)</f>
        <v/>
      </c>
      <c r="F156">
        <f>IF(P156&gt;0,1,IF(Sistema!F156=0,-1,1))</f>
        <v>-1</v>
      </c>
      <c r="G156">
        <f>Sistema!G156</f>
        <v>0</v>
      </c>
      <c r="H156" t="str">
        <f>IF(OR(R156="notify",R156=1),"visible",IF(OR(Sistema!F156=-1,Sistema!F156=0,ISNUMBER(SEARCH("PCK",E156))),"hidden",IF(P156&gt;0,"visible","hidden")))</f>
        <v>hidden</v>
      </c>
      <c r="I156" t="str">
        <f>IF(B156="simple",IF(P156&gt;0,"",IF(R156="notify",Info!C$2,"")),IF(B156="variable",IF(P156&gt;0,"",IF(R156="notify",Info!C$4,"")),""))</f>
        <v/>
      </c>
      <c r="J156" t="str">
        <f>IF(Sistema!J156="","",Sistema!J156)</f>
        <v/>
      </c>
      <c r="M156" t="str">
        <f>IF(Sistema!M156="","",Sistema!M156)</f>
        <v/>
      </c>
      <c r="N156" s="6" t="s">
        <v>1557</v>
      </c>
      <c r="O156" s="6">
        <v>1</v>
      </c>
      <c r="P156">
        <f>Sistema!P156</f>
        <v>0</v>
      </c>
      <c r="Q156">
        <f>Sistema!Q156</f>
        <v>0</v>
      </c>
      <c r="R156">
        <f>IF(Sistema!R156=1,"notify",Sistema!R156)</f>
        <v>0</v>
      </c>
      <c r="T156" t="str">
        <f>IF(Sistema!T156="","",Sistema!T156)</f>
        <v/>
      </c>
      <c r="U156" t="str">
        <f>IF(Sistema!U156="","",Sistema!U156)</f>
        <v/>
      </c>
      <c r="V156" t="str">
        <f>IF(Sistema!V156="","",Sistema!V156)</f>
        <v/>
      </c>
      <c r="W156" t="str">
        <f>IF(Sistema!W156="","",Sistema!W156)</f>
        <v/>
      </c>
      <c r="X156" s="6">
        <v>1</v>
      </c>
      <c r="Z156" t="str">
        <f>IF(Sistema!Z156="","",Sistema!Z156)</f>
        <v/>
      </c>
      <c r="AA156" t="str">
        <f>IF(Sistema!AA156="","",Sistema!AA156)</f>
        <v/>
      </c>
      <c r="AB156" t="str">
        <f>IF(Sistema!AB156="","",IF(OR(ISNUMBER(SEARCH("MKP",E156)),ISNUMBER(SEARCH("MKP",C156))),"Marketplace &gt; "&amp;Sistema!AB156,Sistema!AB156))</f>
        <v/>
      </c>
      <c r="AC156" t="str">
        <f>IF(Sistema!AC156="","",Sistema!AC156)</f>
        <v/>
      </c>
      <c r="AE156" t="str">
        <f>IF(Sistema!AE156="","",Sistema!AE156)</f>
        <v/>
      </c>
      <c r="AH156" t="str">
        <f>IF(Sistema!AH156="","",Sistema!AH156)</f>
        <v/>
      </c>
      <c r="AQ156" t="str">
        <f>IF(Sistema!AQ156="","",Sistema!AQ156)</f>
        <v/>
      </c>
      <c r="AR156" t="str">
        <f>IF(Sistema!AR156="","",Sistema!AR156)</f>
        <v/>
      </c>
      <c r="AS156" t="str">
        <f>IF(Sistema!AS156="","",Sistema!AS156)</f>
        <v/>
      </c>
      <c r="AT156" t="str">
        <f>IF(Sistema!AT156="","",Sistema!AT156)</f>
        <v/>
      </c>
      <c r="AU156" t="str">
        <f>IF(Sistema!AU156="","",Sistema!AU156)</f>
        <v/>
      </c>
      <c r="AV156" t="str">
        <f>IF(Sistema!AV156="","",Sistema!AV156)</f>
        <v/>
      </c>
      <c r="AW156" t="str">
        <f>IF(Sistema!AW156="","",Sistema!AW156)</f>
        <v/>
      </c>
      <c r="AX156" t="str">
        <f>IF(Sistema!AX156="","",Sistema!AX156)</f>
        <v/>
      </c>
      <c r="AY156" t="str">
        <f>IF(Sistema!AY156="","",Sistema!AY156)</f>
        <v/>
      </c>
      <c r="AZ156" t="str">
        <f>IF(Sistema!AZ156="","",Sistema!AZ156)</f>
        <v/>
      </c>
      <c r="BA156" t="str">
        <f>IF(Sistema!BA156="","",Sistema!BA156)</f>
        <v/>
      </c>
      <c r="BB156" t="str">
        <f>IF(Sistema!BB156="","",Sistema!BB156)</f>
        <v/>
      </c>
      <c r="BC156" t="str">
        <f>IF(Sistema!BC156="","",Sistema!BC156)</f>
        <v/>
      </c>
      <c r="BD156" t="str">
        <f>IF(Sistema!BD156="","",Sistema!BD156)</f>
        <v/>
      </c>
      <c r="BE156" t="str">
        <f>IF(Sistema!BE156="","",Sistema!BE156)</f>
        <v/>
      </c>
      <c r="BF156" t="str">
        <f>IF(Sistema!BF156="","",Sistema!BF156)</f>
        <v/>
      </c>
      <c r="BG156" t="str">
        <f>IF(Sistema!BG156="","",Sistema!BG156)</f>
        <v/>
      </c>
      <c r="BH156" t="str">
        <f>IF(Sistema!BH156="","",Sistema!BH156)</f>
        <v/>
      </c>
      <c r="BI156" t="str">
        <f>IF(Sistema!BI156="","",Sistema!BI156)</f>
        <v/>
      </c>
      <c r="BJ156" t="str">
        <f>IF(Sistema!BJ156="","",Sistema!BJ156)</f>
        <v/>
      </c>
      <c r="BK156" t="str">
        <f>IF(Sistema!BK156="","",Sistema!BK156)</f>
        <v/>
      </c>
      <c r="BL156" t="str">
        <f>IF(Sistema!BL156="","",Sistema!BL156)</f>
        <v/>
      </c>
      <c r="BM156" t="str">
        <f>IF(Sistema!BM156="","",Sistema!BM156)</f>
        <v/>
      </c>
      <c r="BN156" t="str">
        <f>IF(Sistema!BN156="","",Sistema!BN156)</f>
        <v/>
      </c>
      <c r="BO156" t="str">
        <f>IF(Sistema!BO156="","",Sistema!BO156)</f>
        <v/>
      </c>
      <c r="BP156" t="str">
        <f>IF(Sistema!BP156="","",Sistema!BP156)</f>
        <v/>
      </c>
      <c r="BQ156" t="str">
        <f>IF(Sistema!BQ156="","",Sistema!BQ156)</f>
        <v/>
      </c>
      <c r="BR156" t="str">
        <f>IF(Sistema!BR156="","",Sistema!BR156)</f>
        <v/>
      </c>
      <c r="BS156" t="str">
        <f>IF(Sistema!BS156="","",Sistema!BS156)</f>
        <v/>
      </c>
      <c r="BT156" t="str">
        <f>IF(Sistema!BT156="","",Sistema!BT156)</f>
        <v/>
      </c>
      <c r="BU156" t="str">
        <f>IF(Sistema!BU156="","",Sistema!BU156)</f>
        <v/>
      </c>
      <c r="BV156" t="str">
        <f>IF(Sistema!BV156="","",Sistema!BV156)</f>
        <v/>
      </c>
      <c r="BW156" t="str">
        <f>IF(Sistema!BW156="","",Sistema!BW156)</f>
        <v/>
      </c>
      <c r="BX156" t="str">
        <f>IF(Sistema!BX156="","",Sistema!BX156)</f>
        <v/>
      </c>
      <c r="BY156" t="str">
        <f>IF(Sistema!BY156="","",Sistema!BY156)</f>
        <v/>
      </c>
      <c r="BZ156" t="str">
        <f>IF(Sistema!BZ156="","",Sistema!BZ156)</f>
        <v/>
      </c>
      <c r="CA156" t="str">
        <f>IF(Sistema!CA156="","",Sistema!CA156)</f>
        <v/>
      </c>
      <c r="CB156" t="str">
        <f>IF(Sistema!CB156="","",Sistema!CB156)</f>
        <v/>
      </c>
      <c r="CC156" t="str">
        <f>IF(Sistema!CC156="","",Sistema!CC156)</f>
        <v/>
      </c>
      <c r="CD156" t="str">
        <f>IF(Sistema!CD156="","",Sistema!CD156)</f>
        <v/>
      </c>
    </row>
    <row r="157" spans="1:82" x14ac:dyDescent="0.25">
      <c r="A157" t="str">
        <f>IF(Sistema!A157="","",Sistema!A157)</f>
        <v/>
      </c>
      <c r="B157" t="str">
        <f>IF(Sistema!B157="","",Sistema!B157)</f>
        <v/>
      </c>
      <c r="C157" t="str">
        <f>IF(Sistema!C157="","",Sistema!C157)</f>
        <v/>
      </c>
      <c r="D157" t="str">
        <f>IF(Sistema!D157="","",Sistema!D157)</f>
        <v/>
      </c>
      <c r="E157" t="str">
        <f>IF(Sistema!E157="","",Sistema!E157)</f>
        <v/>
      </c>
      <c r="F157">
        <f>IF(P157&gt;0,1,IF(Sistema!F157=0,-1,1))</f>
        <v>-1</v>
      </c>
      <c r="G157">
        <f>Sistema!G157</f>
        <v>0</v>
      </c>
      <c r="H157" t="str">
        <f>IF(OR(R157="notify",R157=1),"visible",IF(OR(Sistema!F157=-1,Sistema!F157=0,ISNUMBER(SEARCH("PCK",E157))),"hidden",IF(P157&gt;0,"visible","hidden")))</f>
        <v>hidden</v>
      </c>
      <c r="I157" t="str">
        <f>IF(B157="simple",IF(P157&gt;0,"",IF(R157="notify",Info!C$2,"")),IF(B157="variable",IF(P157&gt;0,"",IF(R157="notify",Info!C$4,"")),""))</f>
        <v/>
      </c>
      <c r="J157" t="str">
        <f>IF(Sistema!J157="","",Sistema!J157)</f>
        <v/>
      </c>
      <c r="M157" t="str">
        <f>IF(Sistema!M157="","",Sistema!M157)</f>
        <v/>
      </c>
      <c r="N157" s="6" t="s">
        <v>1557</v>
      </c>
      <c r="O157" s="6">
        <v>1</v>
      </c>
      <c r="P157">
        <f>Sistema!P157</f>
        <v>0</v>
      </c>
      <c r="Q157">
        <f>Sistema!Q157</f>
        <v>0</v>
      </c>
      <c r="R157">
        <f>IF(Sistema!R157=1,"notify",Sistema!R157)</f>
        <v>0</v>
      </c>
      <c r="T157" t="str">
        <f>IF(Sistema!T157="","",Sistema!T157)</f>
        <v/>
      </c>
      <c r="U157" t="str">
        <f>IF(Sistema!U157="","",Sistema!U157)</f>
        <v/>
      </c>
      <c r="V157" t="str">
        <f>IF(Sistema!V157="","",Sistema!V157)</f>
        <v/>
      </c>
      <c r="W157" t="str">
        <f>IF(Sistema!W157="","",Sistema!W157)</f>
        <v/>
      </c>
      <c r="X157" s="6">
        <v>1</v>
      </c>
      <c r="Z157" t="str">
        <f>IF(Sistema!Z157="","",Sistema!Z157)</f>
        <v/>
      </c>
      <c r="AA157" t="str">
        <f>IF(Sistema!AA157="","",Sistema!AA157)</f>
        <v/>
      </c>
      <c r="AB157" t="str">
        <f>IF(Sistema!AB157="","",IF(OR(ISNUMBER(SEARCH("MKP",E157)),ISNUMBER(SEARCH("MKP",C157))),"Marketplace &gt; "&amp;Sistema!AB157,Sistema!AB157))</f>
        <v/>
      </c>
      <c r="AC157" t="str">
        <f>IF(Sistema!AC157="","",Sistema!AC157)</f>
        <v/>
      </c>
      <c r="AE157" t="str">
        <f>IF(Sistema!AE157="","",Sistema!AE157)</f>
        <v/>
      </c>
      <c r="AH157" t="str">
        <f>IF(Sistema!AH157="","",Sistema!AH157)</f>
        <v/>
      </c>
      <c r="AQ157" t="str">
        <f>IF(Sistema!AQ157="","",Sistema!AQ157)</f>
        <v/>
      </c>
      <c r="AR157" t="str">
        <f>IF(Sistema!AR157="","",Sistema!AR157)</f>
        <v/>
      </c>
      <c r="AS157" t="str">
        <f>IF(Sistema!AS157="","",Sistema!AS157)</f>
        <v/>
      </c>
      <c r="AT157" t="str">
        <f>IF(Sistema!AT157="","",Sistema!AT157)</f>
        <v/>
      </c>
      <c r="AU157" t="str">
        <f>IF(Sistema!AU157="","",Sistema!AU157)</f>
        <v/>
      </c>
      <c r="AV157" t="str">
        <f>IF(Sistema!AV157="","",Sistema!AV157)</f>
        <v/>
      </c>
      <c r="AW157" t="str">
        <f>IF(Sistema!AW157="","",Sistema!AW157)</f>
        <v/>
      </c>
      <c r="AX157" t="str">
        <f>IF(Sistema!AX157="","",Sistema!AX157)</f>
        <v/>
      </c>
      <c r="AY157" t="str">
        <f>IF(Sistema!AY157="","",Sistema!AY157)</f>
        <v/>
      </c>
      <c r="AZ157" t="str">
        <f>IF(Sistema!AZ157="","",Sistema!AZ157)</f>
        <v/>
      </c>
      <c r="BA157" t="str">
        <f>IF(Sistema!BA157="","",Sistema!BA157)</f>
        <v/>
      </c>
      <c r="BB157" t="str">
        <f>IF(Sistema!BB157="","",Sistema!BB157)</f>
        <v/>
      </c>
      <c r="BC157" t="str">
        <f>IF(Sistema!BC157="","",Sistema!BC157)</f>
        <v/>
      </c>
      <c r="BD157" t="str">
        <f>IF(Sistema!BD157="","",Sistema!BD157)</f>
        <v/>
      </c>
      <c r="BE157" t="str">
        <f>IF(Sistema!BE157="","",Sistema!BE157)</f>
        <v/>
      </c>
      <c r="BF157" t="str">
        <f>IF(Sistema!BF157="","",Sistema!BF157)</f>
        <v/>
      </c>
      <c r="BG157" t="str">
        <f>IF(Sistema!BG157="","",Sistema!BG157)</f>
        <v/>
      </c>
      <c r="BH157" t="str">
        <f>IF(Sistema!BH157="","",Sistema!BH157)</f>
        <v/>
      </c>
      <c r="BI157" t="str">
        <f>IF(Sistema!BI157="","",Sistema!BI157)</f>
        <v/>
      </c>
      <c r="BJ157" t="str">
        <f>IF(Sistema!BJ157="","",Sistema!BJ157)</f>
        <v/>
      </c>
      <c r="BK157" t="str">
        <f>IF(Sistema!BK157="","",Sistema!BK157)</f>
        <v/>
      </c>
      <c r="BL157" t="str">
        <f>IF(Sistema!BL157="","",Sistema!BL157)</f>
        <v/>
      </c>
      <c r="BM157" t="str">
        <f>IF(Sistema!BM157="","",Sistema!BM157)</f>
        <v/>
      </c>
      <c r="BN157" t="str">
        <f>IF(Sistema!BN157="","",Sistema!BN157)</f>
        <v/>
      </c>
      <c r="BO157" t="str">
        <f>IF(Sistema!BO157="","",Sistema!BO157)</f>
        <v/>
      </c>
      <c r="BP157" t="str">
        <f>IF(Sistema!BP157="","",Sistema!BP157)</f>
        <v/>
      </c>
      <c r="BQ157" t="str">
        <f>IF(Sistema!BQ157="","",Sistema!BQ157)</f>
        <v/>
      </c>
      <c r="BR157" t="str">
        <f>IF(Sistema!BR157="","",Sistema!BR157)</f>
        <v/>
      </c>
      <c r="BS157" t="str">
        <f>IF(Sistema!BS157="","",Sistema!BS157)</f>
        <v/>
      </c>
      <c r="BT157" t="str">
        <f>IF(Sistema!BT157="","",Sistema!BT157)</f>
        <v/>
      </c>
      <c r="BU157" t="str">
        <f>IF(Sistema!BU157="","",Sistema!BU157)</f>
        <v/>
      </c>
      <c r="BV157" t="str">
        <f>IF(Sistema!BV157="","",Sistema!BV157)</f>
        <v/>
      </c>
      <c r="BW157" t="str">
        <f>IF(Sistema!BW157="","",Sistema!BW157)</f>
        <v/>
      </c>
      <c r="BX157" t="str">
        <f>IF(Sistema!BX157="","",Sistema!BX157)</f>
        <v/>
      </c>
      <c r="BY157" t="str">
        <f>IF(Sistema!BY157="","",Sistema!BY157)</f>
        <v/>
      </c>
      <c r="BZ157" t="str">
        <f>IF(Sistema!BZ157="","",Sistema!BZ157)</f>
        <v/>
      </c>
      <c r="CA157" t="str">
        <f>IF(Sistema!CA157="","",Sistema!CA157)</f>
        <v/>
      </c>
      <c r="CB157" t="str">
        <f>IF(Sistema!CB157="","",Sistema!CB157)</f>
        <v/>
      </c>
      <c r="CC157" t="str">
        <f>IF(Sistema!CC157="","",Sistema!CC157)</f>
        <v/>
      </c>
      <c r="CD157" t="str">
        <f>IF(Sistema!CD157="","",Sistema!CD157)</f>
        <v/>
      </c>
    </row>
    <row r="158" spans="1:82" x14ac:dyDescent="0.25">
      <c r="A158" t="str">
        <f>IF(Sistema!A158="","",Sistema!A158)</f>
        <v/>
      </c>
      <c r="B158" t="str">
        <f>IF(Sistema!B158="","",Sistema!B158)</f>
        <v/>
      </c>
      <c r="C158" t="str">
        <f>IF(Sistema!C158="","",Sistema!C158)</f>
        <v/>
      </c>
      <c r="D158" t="str">
        <f>IF(Sistema!D158="","",Sistema!D158)</f>
        <v/>
      </c>
      <c r="E158" t="str">
        <f>IF(Sistema!E158="","",Sistema!E158)</f>
        <v/>
      </c>
      <c r="F158">
        <f>IF(P158&gt;0,1,IF(Sistema!F158=0,-1,1))</f>
        <v>-1</v>
      </c>
      <c r="G158">
        <f>Sistema!G158</f>
        <v>0</v>
      </c>
      <c r="H158" t="str">
        <f>IF(OR(R158="notify",R158=1),"visible",IF(OR(Sistema!F158=-1,Sistema!F158=0,ISNUMBER(SEARCH("PCK",E158))),"hidden",IF(P158&gt;0,"visible","hidden")))</f>
        <v>hidden</v>
      </c>
      <c r="I158" t="str">
        <f>IF(B158="simple",IF(P158&gt;0,"",IF(R158="notify",Info!C$2,"")),IF(B158="variable",IF(P158&gt;0,"",IF(R158="notify",Info!C$4,"")),""))</f>
        <v/>
      </c>
      <c r="J158" t="str">
        <f>IF(Sistema!J158="","",Sistema!J158)</f>
        <v/>
      </c>
      <c r="M158" t="str">
        <f>IF(Sistema!M158="","",Sistema!M158)</f>
        <v/>
      </c>
      <c r="N158" s="6" t="s">
        <v>1557</v>
      </c>
      <c r="O158" s="6">
        <v>1</v>
      </c>
      <c r="P158">
        <f>Sistema!P158</f>
        <v>0</v>
      </c>
      <c r="Q158">
        <f>Sistema!Q158</f>
        <v>0</v>
      </c>
      <c r="R158">
        <f>IF(Sistema!R158=1,"notify",Sistema!R158)</f>
        <v>0</v>
      </c>
      <c r="T158" t="str">
        <f>IF(Sistema!T158="","",Sistema!T158)</f>
        <v/>
      </c>
      <c r="U158" t="str">
        <f>IF(Sistema!U158="","",Sistema!U158)</f>
        <v/>
      </c>
      <c r="V158" t="str">
        <f>IF(Sistema!V158="","",Sistema!V158)</f>
        <v/>
      </c>
      <c r="W158" t="str">
        <f>IF(Sistema!W158="","",Sistema!W158)</f>
        <v/>
      </c>
      <c r="X158" s="6">
        <v>1</v>
      </c>
      <c r="Z158" t="str">
        <f>IF(Sistema!Z158="","",Sistema!Z158)</f>
        <v/>
      </c>
      <c r="AA158" t="str">
        <f>IF(Sistema!AA158="","",Sistema!AA158)</f>
        <v/>
      </c>
      <c r="AB158" t="str">
        <f>IF(Sistema!AB158="","",IF(OR(ISNUMBER(SEARCH("MKP",E158)),ISNUMBER(SEARCH("MKP",C158))),"Marketplace &gt; "&amp;Sistema!AB158,Sistema!AB158))</f>
        <v/>
      </c>
      <c r="AC158" t="str">
        <f>IF(Sistema!AC158="","",Sistema!AC158)</f>
        <v/>
      </c>
      <c r="AE158" t="str">
        <f>IF(Sistema!AE158="","",Sistema!AE158)</f>
        <v/>
      </c>
      <c r="AH158" t="str">
        <f>IF(Sistema!AH158="","",Sistema!AH158)</f>
        <v/>
      </c>
      <c r="AQ158" t="str">
        <f>IF(Sistema!AQ158="","",Sistema!AQ158)</f>
        <v/>
      </c>
      <c r="AR158" t="str">
        <f>IF(Sistema!AR158="","",Sistema!AR158)</f>
        <v/>
      </c>
      <c r="AS158" t="str">
        <f>IF(Sistema!AS158="","",Sistema!AS158)</f>
        <v/>
      </c>
      <c r="AT158" t="str">
        <f>IF(Sistema!AT158="","",Sistema!AT158)</f>
        <v/>
      </c>
      <c r="AU158" t="str">
        <f>IF(Sistema!AU158="","",Sistema!AU158)</f>
        <v/>
      </c>
      <c r="AV158" t="str">
        <f>IF(Sistema!AV158="","",Sistema!AV158)</f>
        <v/>
      </c>
      <c r="AW158" t="str">
        <f>IF(Sistema!AW158="","",Sistema!AW158)</f>
        <v/>
      </c>
      <c r="AX158" t="str">
        <f>IF(Sistema!AX158="","",Sistema!AX158)</f>
        <v/>
      </c>
      <c r="AY158" t="str">
        <f>IF(Sistema!AY158="","",Sistema!AY158)</f>
        <v/>
      </c>
      <c r="AZ158" t="str">
        <f>IF(Sistema!AZ158="","",Sistema!AZ158)</f>
        <v/>
      </c>
      <c r="BA158" t="str">
        <f>IF(Sistema!BA158="","",Sistema!BA158)</f>
        <v/>
      </c>
      <c r="BB158" t="str">
        <f>IF(Sistema!BB158="","",Sistema!BB158)</f>
        <v/>
      </c>
      <c r="BC158" t="str">
        <f>IF(Sistema!BC158="","",Sistema!BC158)</f>
        <v/>
      </c>
      <c r="BD158" t="str">
        <f>IF(Sistema!BD158="","",Sistema!BD158)</f>
        <v/>
      </c>
      <c r="BE158" t="str">
        <f>IF(Sistema!BE158="","",Sistema!BE158)</f>
        <v/>
      </c>
      <c r="BF158" t="str">
        <f>IF(Sistema!BF158="","",Sistema!BF158)</f>
        <v/>
      </c>
      <c r="BG158" t="str">
        <f>IF(Sistema!BG158="","",Sistema!BG158)</f>
        <v/>
      </c>
      <c r="BH158" t="str">
        <f>IF(Sistema!BH158="","",Sistema!BH158)</f>
        <v/>
      </c>
      <c r="BI158" t="str">
        <f>IF(Sistema!BI158="","",Sistema!BI158)</f>
        <v/>
      </c>
      <c r="BJ158" t="str">
        <f>IF(Sistema!BJ158="","",Sistema!BJ158)</f>
        <v/>
      </c>
      <c r="BK158" t="str">
        <f>IF(Sistema!BK158="","",Sistema!BK158)</f>
        <v/>
      </c>
      <c r="BL158" t="str">
        <f>IF(Sistema!BL158="","",Sistema!BL158)</f>
        <v/>
      </c>
      <c r="BM158" t="str">
        <f>IF(Sistema!BM158="","",Sistema!BM158)</f>
        <v/>
      </c>
      <c r="BN158" t="str">
        <f>IF(Sistema!BN158="","",Sistema!BN158)</f>
        <v/>
      </c>
      <c r="BO158" t="str">
        <f>IF(Sistema!BO158="","",Sistema!BO158)</f>
        <v/>
      </c>
      <c r="BP158" t="str">
        <f>IF(Sistema!BP158="","",Sistema!BP158)</f>
        <v/>
      </c>
      <c r="BQ158" t="str">
        <f>IF(Sistema!BQ158="","",Sistema!BQ158)</f>
        <v/>
      </c>
      <c r="BR158" t="str">
        <f>IF(Sistema!BR158="","",Sistema!BR158)</f>
        <v/>
      </c>
      <c r="BS158" t="str">
        <f>IF(Sistema!BS158="","",Sistema!BS158)</f>
        <v/>
      </c>
      <c r="BT158" t="str">
        <f>IF(Sistema!BT158="","",Sistema!BT158)</f>
        <v/>
      </c>
      <c r="BU158" t="str">
        <f>IF(Sistema!BU158="","",Sistema!BU158)</f>
        <v/>
      </c>
      <c r="BV158" t="str">
        <f>IF(Sistema!BV158="","",Sistema!BV158)</f>
        <v/>
      </c>
      <c r="BW158" t="str">
        <f>IF(Sistema!BW158="","",Sistema!BW158)</f>
        <v/>
      </c>
      <c r="BX158" t="str">
        <f>IF(Sistema!BX158="","",Sistema!BX158)</f>
        <v/>
      </c>
      <c r="BY158" t="str">
        <f>IF(Sistema!BY158="","",Sistema!BY158)</f>
        <v/>
      </c>
      <c r="BZ158" t="str">
        <f>IF(Sistema!BZ158="","",Sistema!BZ158)</f>
        <v/>
      </c>
      <c r="CA158" t="str">
        <f>IF(Sistema!CA158="","",Sistema!CA158)</f>
        <v/>
      </c>
      <c r="CB158" t="str">
        <f>IF(Sistema!CB158="","",Sistema!CB158)</f>
        <v/>
      </c>
      <c r="CC158" t="str">
        <f>IF(Sistema!CC158="","",Sistema!CC158)</f>
        <v/>
      </c>
      <c r="CD158" t="str">
        <f>IF(Sistema!CD158="","",Sistema!CD158)</f>
        <v/>
      </c>
    </row>
    <row r="159" spans="1:82" x14ac:dyDescent="0.25">
      <c r="A159" t="str">
        <f>IF(Sistema!A159="","",Sistema!A159)</f>
        <v/>
      </c>
      <c r="B159" t="str">
        <f>IF(Sistema!B159="","",Sistema!B159)</f>
        <v/>
      </c>
      <c r="C159" t="str">
        <f>IF(Sistema!C159="","",Sistema!C159)</f>
        <v/>
      </c>
      <c r="D159" t="str">
        <f>IF(Sistema!D159="","",Sistema!D159)</f>
        <v/>
      </c>
      <c r="E159" t="str">
        <f>IF(Sistema!E159="","",Sistema!E159)</f>
        <v/>
      </c>
      <c r="F159">
        <f>IF(P159&gt;0,1,IF(Sistema!F159=0,-1,1))</f>
        <v>-1</v>
      </c>
      <c r="G159">
        <f>Sistema!G159</f>
        <v>0</v>
      </c>
      <c r="H159" t="str">
        <f>IF(OR(R159="notify",R159=1),"visible",IF(OR(Sistema!F159=-1,Sistema!F159=0,ISNUMBER(SEARCH("PCK",E159))),"hidden",IF(P159&gt;0,"visible","hidden")))</f>
        <v>hidden</v>
      </c>
      <c r="I159" t="str">
        <f>IF(B159="simple",IF(P159&gt;0,"",IF(R159="notify",Info!C$2,"")),IF(B159="variable",IF(P159&gt;0,"",IF(R159="notify",Info!C$4,"")),""))</f>
        <v/>
      </c>
      <c r="J159" t="str">
        <f>IF(Sistema!J159="","",Sistema!J159)</f>
        <v/>
      </c>
      <c r="M159" t="str">
        <f>IF(Sistema!M159="","",Sistema!M159)</f>
        <v/>
      </c>
      <c r="N159" s="6" t="s">
        <v>1557</v>
      </c>
      <c r="O159" s="6">
        <v>1</v>
      </c>
      <c r="P159">
        <f>Sistema!P159</f>
        <v>0</v>
      </c>
      <c r="Q159">
        <f>Sistema!Q159</f>
        <v>0</v>
      </c>
      <c r="R159">
        <f>IF(Sistema!R159=1,"notify",Sistema!R159)</f>
        <v>0</v>
      </c>
      <c r="T159" t="str">
        <f>IF(Sistema!T159="","",Sistema!T159)</f>
        <v/>
      </c>
      <c r="U159" t="str">
        <f>IF(Sistema!U159="","",Sistema!U159)</f>
        <v/>
      </c>
      <c r="V159" t="str">
        <f>IF(Sistema!V159="","",Sistema!V159)</f>
        <v/>
      </c>
      <c r="W159" t="str">
        <f>IF(Sistema!W159="","",Sistema!W159)</f>
        <v/>
      </c>
      <c r="X159" s="6">
        <v>1</v>
      </c>
      <c r="Z159" t="str">
        <f>IF(Sistema!Z159="","",Sistema!Z159)</f>
        <v/>
      </c>
      <c r="AA159" t="str">
        <f>IF(Sistema!AA159="","",Sistema!AA159)</f>
        <v/>
      </c>
      <c r="AB159" t="str">
        <f>IF(Sistema!AB159="","",IF(OR(ISNUMBER(SEARCH("MKP",E159)),ISNUMBER(SEARCH("MKP",C159))),"Marketplace &gt; "&amp;Sistema!AB159,Sistema!AB159))</f>
        <v/>
      </c>
      <c r="AC159" t="str">
        <f>IF(Sistema!AC159="","",Sistema!AC159)</f>
        <v/>
      </c>
      <c r="AE159" t="str">
        <f>IF(Sistema!AE159="","",Sistema!AE159)</f>
        <v/>
      </c>
      <c r="AH159" t="str">
        <f>IF(Sistema!AH159="","",Sistema!AH159)</f>
        <v/>
      </c>
      <c r="AQ159" t="str">
        <f>IF(Sistema!AQ159="","",Sistema!AQ159)</f>
        <v/>
      </c>
      <c r="AR159" t="str">
        <f>IF(Sistema!AR159="","",Sistema!AR159)</f>
        <v/>
      </c>
      <c r="AS159" t="str">
        <f>IF(Sistema!AS159="","",Sistema!AS159)</f>
        <v/>
      </c>
      <c r="AT159" t="str">
        <f>IF(Sistema!AT159="","",Sistema!AT159)</f>
        <v/>
      </c>
      <c r="AU159" t="str">
        <f>IF(Sistema!AU159="","",Sistema!AU159)</f>
        <v/>
      </c>
      <c r="AV159" t="str">
        <f>IF(Sistema!AV159="","",Sistema!AV159)</f>
        <v/>
      </c>
      <c r="AW159" t="str">
        <f>IF(Sistema!AW159="","",Sistema!AW159)</f>
        <v/>
      </c>
      <c r="AX159" t="str">
        <f>IF(Sistema!AX159="","",Sistema!AX159)</f>
        <v/>
      </c>
      <c r="AY159" t="str">
        <f>IF(Sistema!AY159="","",Sistema!AY159)</f>
        <v/>
      </c>
      <c r="AZ159" t="str">
        <f>IF(Sistema!AZ159="","",Sistema!AZ159)</f>
        <v/>
      </c>
      <c r="BA159" t="str">
        <f>IF(Sistema!BA159="","",Sistema!BA159)</f>
        <v/>
      </c>
      <c r="BB159" t="str">
        <f>IF(Sistema!BB159="","",Sistema!BB159)</f>
        <v/>
      </c>
      <c r="BC159" t="str">
        <f>IF(Sistema!BC159="","",Sistema!BC159)</f>
        <v/>
      </c>
      <c r="BD159" t="str">
        <f>IF(Sistema!BD159="","",Sistema!BD159)</f>
        <v/>
      </c>
      <c r="BE159" t="str">
        <f>IF(Sistema!BE159="","",Sistema!BE159)</f>
        <v/>
      </c>
      <c r="BF159" t="str">
        <f>IF(Sistema!BF159="","",Sistema!BF159)</f>
        <v/>
      </c>
      <c r="BG159" t="str">
        <f>IF(Sistema!BG159="","",Sistema!BG159)</f>
        <v/>
      </c>
      <c r="BH159" t="str">
        <f>IF(Sistema!BH159="","",Sistema!BH159)</f>
        <v/>
      </c>
      <c r="BI159" t="str">
        <f>IF(Sistema!BI159="","",Sistema!BI159)</f>
        <v/>
      </c>
      <c r="BJ159" t="str">
        <f>IF(Sistema!BJ159="","",Sistema!BJ159)</f>
        <v/>
      </c>
      <c r="BK159" t="str">
        <f>IF(Sistema!BK159="","",Sistema!BK159)</f>
        <v/>
      </c>
      <c r="BL159" t="str">
        <f>IF(Sistema!BL159="","",Sistema!BL159)</f>
        <v/>
      </c>
      <c r="BM159" t="str">
        <f>IF(Sistema!BM159="","",Sistema!BM159)</f>
        <v/>
      </c>
      <c r="BN159" t="str">
        <f>IF(Sistema!BN159="","",Sistema!BN159)</f>
        <v/>
      </c>
      <c r="BO159" t="str">
        <f>IF(Sistema!BO159="","",Sistema!BO159)</f>
        <v/>
      </c>
      <c r="BP159" t="str">
        <f>IF(Sistema!BP159="","",Sistema!BP159)</f>
        <v/>
      </c>
      <c r="BQ159" t="str">
        <f>IF(Sistema!BQ159="","",Sistema!BQ159)</f>
        <v/>
      </c>
      <c r="BR159" t="str">
        <f>IF(Sistema!BR159="","",Sistema!BR159)</f>
        <v/>
      </c>
      <c r="BS159" t="str">
        <f>IF(Sistema!BS159="","",Sistema!BS159)</f>
        <v/>
      </c>
      <c r="BT159" t="str">
        <f>IF(Sistema!BT159="","",Sistema!BT159)</f>
        <v/>
      </c>
      <c r="BU159" t="str">
        <f>IF(Sistema!BU159="","",Sistema!BU159)</f>
        <v/>
      </c>
      <c r="BV159" t="str">
        <f>IF(Sistema!BV159="","",Sistema!BV159)</f>
        <v/>
      </c>
      <c r="BW159" t="str">
        <f>IF(Sistema!BW159="","",Sistema!BW159)</f>
        <v/>
      </c>
      <c r="BX159" t="str">
        <f>IF(Sistema!BX159="","",Sistema!BX159)</f>
        <v/>
      </c>
      <c r="BY159" t="str">
        <f>IF(Sistema!BY159="","",Sistema!BY159)</f>
        <v/>
      </c>
      <c r="BZ159" t="str">
        <f>IF(Sistema!BZ159="","",Sistema!BZ159)</f>
        <v/>
      </c>
      <c r="CA159" t="str">
        <f>IF(Sistema!CA159="","",Sistema!CA159)</f>
        <v/>
      </c>
      <c r="CB159" t="str">
        <f>IF(Sistema!CB159="","",Sistema!CB159)</f>
        <v/>
      </c>
      <c r="CC159" t="str">
        <f>IF(Sistema!CC159="","",Sistema!CC159)</f>
        <v/>
      </c>
      <c r="CD159" t="str">
        <f>IF(Sistema!CD159="","",Sistema!CD159)</f>
        <v/>
      </c>
    </row>
    <row r="160" spans="1:82" x14ac:dyDescent="0.25">
      <c r="A160" t="str">
        <f>IF(Sistema!A160="","",Sistema!A160)</f>
        <v/>
      </c>
      <c r="B160" t="str">
        <f>IF(Sistema!B160="","",Sistema!B160)</f>
        <v/>
      </c>
      <c r="C160" t="str">
        <f>IF(Sistema!C160="","",Sistema!C160)</f>
        <v/>
      </c>
      <c r="D160" t="str">
        <f>IF(Sistema!D160="","",Sistema!D160)</f>
        <v/>
      </c>
      <c r="E160" t="str">
        <f>IF(Sistema!E160="","",Sistema!E160)</f>
        <v/>
      </c>
      <c r="F160">
        <f>IF(P160&gt;0,1,IF(Sistema!F160=0,-1,1))</f>
        <v>-1</v>
      </c>
      <c r="G160">
        <f>Sistema!G160</f>
        <v>0</v>
      </c>
      <c r="H160" t="str">
        <f>IF(OR(R160="notify",R160=1),"visible",IF(OR(Sistema!F160=-1,Sistema!F160=0,ISNUMBER(SEARCH("PCK",E160))),"hidden",IF(P160&gt;0,"visible","hidden")))</f>
        <v>hidden</v>
      </c>
      <c r="I160" t="str">
        <f>IF(B160="simple",IF(P160&gt;0,"",IF(R160="notify",Info!C$2,"")),IF(B160="variable",IF(P160&gt;0,"",IF(R160="notify",Info!C$4,"")),""))</f>
        <v/>
      </c>
      <c r="J160" t="str">
        <f>IF(Sistema!J160="","",Sistema!J160)</f>
        <v/>
      </c>
      <c r="M160" t="str">
        <f>IF(Sistema!M160="","",Sistema!M160)</f>
        <v/>
      </c>
      <c r="N160" s="6" t="s">
        <v>1557</v>
      </c>
      <c r="O160" s="6">
        <v>1</v>
      </c>
      <c r="P160">
        <f>Sistema!P160</f>
        <v>0</v>
      </c>
      <c r="Q160">
        <f>Sistema!Q160</f>
        <v>0</v>
      </c>
      <c r="R160">
        <f>IF(Sistema!R160=1,"notify",Sistema!R160)</f>
        <v>0</v>
      </c>
      <c r="T160" t="str">
        <f>IF(Sistema!T160="","",Sistema!T160)</f>
        <v/>
      </c>
      <c r="U160" t="str">
        <f>IF(Sistema!U160="","",Sistema!U160)</f>
        <v/>
      </c>
      <c r="V160" t="str">
        <f>IF(Sistema!V160="","",Sistema!V160)</f>
        <v/>
      </c>
      <c r="W160" t="str">
        <f>IF(Sistema!W160="","",Sistema!W160)</f>
        <v/>
      </c>
      <c r="X160" s="6">
        <v>1</v>
      </c>
      <c r="Z160" t="str">
        <f>IF(Sistema!Z160="","",Sistema!Z160)</f>
        <v/>
      </c>
      <c r="AA160" t="str">
        <f>IF(Sistema!AA160="","",Sistema!AA160)</f>
        <v/>
      </c>
      <c r="AB160" t="str">
        <f>IF(Sistema!AB160="","",IF(OR(ISNUMBER(SEARCH("MKP",E160)),ISNUMBER(SEARCH("MKP",C160))),"Marketplace &gt; "&amp;Sistema!AB160,Sistema!AB160))</f>
        <v/>
      </c>
      <c r="AC160" t="str">
        <f>IF(Sistema!AC160="","",Sistema!AC160)</f>
        <v/>
      </c>
      <c r="AE160" t="str">
        <f>IF(Sistema!AE160="","",Sistema!AE160)</f>
        <v/>
      </c>
      <c r="AH160" t="str">
        <f>IF(Sistema!AH160="","",Sistema!AH160)</f>
        <v/>
      </c>
      <c r="AQ160" t="str">
        <f>IF(Sistema!AQ160="","",Sistema!AQ160)</f>
        <v/>
      </c>
      <c r="AR160" t="str">
        <f>IF(Sistema!AR160="","",Sistema!AR160)</f>
        <v/>
      </c>
      <c r="AS160" t="str">
        <f>IF(Sistema!AS160="","",Sistema!AS160)</f>
        <v/>
      </c>
      <c r="AT160" t="str">
        <f>IF(Sistema!AT160="","",Sistema!AT160)</f>
        <v/>
      </c>
      <c r="AU160" t="str">
        <f>IF(Sistema!AU160="","",Sistema!AU160)</f>
        <v/>
      </c>
      <c r="AV160" t="str">
        <f>IF(Sistema!AV160="","",Sistema!AV160)</f>
        <v/>
      </c>
      <c r="AW160" t="str">
        <f>IF(Sistema!AW160="","",Sistema!AW160)</f>
        <v/>
      </c>
      <c r="AX160" t="str">
        <f>IF(Sistema!AX160="","",Sistema!AX160)</f>
        <v/>
      </c>
      <c r="AY160" t="str">
        <f>IF(Sistema!AY160="","",Sistema!AY160)</f>
        <v/>
      </c>
      <c r="AZ160" t="str">
        <f>IF(Sistema!AZ160="","",Sistema!AZ160)</f>
        <v/>
      </c>
      <c r="BA160" t="str">
        <f>IF(Sistema!BA160="","",Sistema!BA160)</f>
        <v/>
      </c>
      <c r="BB160" t="str">
        <f>IF(Sistema!BB160="","",Sistema!BB160)</f>
        <v/>
      </c>
      <c r="BC160" t="str">
        <f>IF(Sistema!BC160="","",Sistema!BC160)</f>
        <v/>
      </c>
      <c r="BD160" t="str">
        <f>IF(Sistema!BD160="","",Sistema!BD160)</f>
        <v/>
      </c>
      <c r="BE160" t="str">
        <f>IF(Sistema!BE160="","",Sistema!BE160)</f>
        <v/>
      </c>
      <c r="BF160" t="str">
        <f>IF(Sistema!BF160="","",Sistema!BF160)</f>
        <v/>
      </c>
      <c r="BG160" t="str">
        <f>IF(Sistema!BG160="","",Sistema!BG160)</f>
        <v/>
      </c>
      <c r="BH160" t="str">
        <f>IF(Sistema!BH160="","",Sistema!BH160)</f>
        <v/>
      </c>
      <c r="BI160" t="str">
        <f>IF(Sistema!BI160="","",Sistema!BI160)</f>
        <v/>
      </c>
      <c r="BJ160" t="str">
        <f>IF(Sistema!BJ160="","",Sistema!BJ160)</f>
        <v/>
      </c>
      <c r="BK160" t="str">
        <f>IF(Sistema!BK160="","",Sistema!BK160)</f>
        <v/>
      </c>
      <c r="BL160" t="str">
        <f>IF(Sistema!BL160="","",Sistema!BL160)</f>
        <v/>
      </c>
      <c r="BM160" t="str">
        <f>IF(Sistema!BM160="","",Sistema!BM160)</f>
        <v/>
      </c>
      <c r="BN160" t="str">
        <f>IF(Sistema!BN160="","",Sistema!BN160)</f>
        <v/>
      </c>
      <c r="BO160" t="str">
        <f>IF(Sistema!BO160="","",Sistema!BO160)</f>
        <v/>
      </c>
      <c r="BP160" t="str">
        <f>IF(Sistema!BP160="","",Sistema!BP160)</f>
        <v/>
      </c>
      <c r="BQ160" t="str">
        <f>IF(Sistema!BQ160="","",Sistema!BQ160)</f>
        <v/>
      </c>
      <c r="BR160" t="str">
        <f>IF(Sistema!BR160="","",Sistema!BR160)</f>
        <v/>
      </c>
      <c r="BS160" t="str">
        <f>IF(Sistema!BS160="","",Sistema!BS160)</f>
        <v/>
      </c>
      <c r="BT160" t="str">
        <f>IF(Sistema!BT160="","",Sistema!BT160)</f>
        <v/>
      </c>
      <c r="BU160" t="str">
        <f>IF(Sistema!BU160="","",Sistema!BU160)</f>
        <v/>
      </c>
      <c r="BV160" t="str">
        <f>IF(Sistema!BV160="","",Sistema!BV160)</f>
        <v/>
      </c>
      <c r="BW160" t="str">
        <f>IF(Sistema!BW160="","",Sistema!BW160)</f>
        <v/>
      </c>
      <c r="BX160" t="str">
        <f>IF(Sistema!BX160="","",Sistema!BX160)</f>
        <v/>
      </c>
      <c r="BY160" t="str">
        <f>IF(Sistema!BY160="","",Sistema!BY160)</f>
        <v/>
      </c>
      <c r="BZ160" t="str">
        <f>IF(Sistema!BZ160="","",Sistema!BZ160)</f>
        <v/>
      </c>
      <c r="CA160" t="str">
        <f>IF(Sistema!CA160="","",Sistema!CA160)</f>
        <v/>
      </c>
      <c r="CB160" t="str">
        <f>IF(Sistema!CB160="","",Sistema!CB160)</f>
        <v/>
      </c>
      <c r="CC160" t="str">
        <f>IF(Sistema!CC160="","",Sistema!CC160)</f>
        <v/>
      </c>
      <c r="CD160" t="str">
        <f>IF(Sistema!CD160="","",Sistema!CD160)</f>
        <v/>
      </c>
    </row>
    <row r="161" spans="1:82" x14ac:dyDescent="0.25">
      <c r="A161" t="str">
        <f>IF(Sistema!A161="","",Sistema!A161)</f>
        <v/>
      </c>
      <c r="B161" t="str">
        <f>IF(Sistema!B161="","",Sistema!B161)</f>
        <v/>
      </c>
      <c r="C161" t="str">
        <f>IF(Sistema!C161="","",Sistema!C161)</f>
        <v/>
      </c>
      <c r="D161" t="str">
        <f>IF(Sistema!D161="","",Sistema!D161)</f>
        <v/>
      </c>
      <c r="E161" t="str">
        <f>IF(Sistema!E161="","",Sistema!E161)</f>
        <v/>
      </c>
      <c r="F161">
        <f>IF(P161&gt;0,1,IF(Sistema!F161=0,-1,1))</f>
        <v>-1</v>
      </c>
      <c r="G161">
        <f>Sistema!G161</f>
        <v>0</v>
      </c>
      <c r="H161" t="str">
        <f>IF(OR(R161="notify",R161=1),"visible",IF(OR(Sistema!F161=-1,Sistema!F161=0,ISNUMBER(SEARCH("PCK",E161))),"hidden",IF(P161&gt;0,"visible","hidden")))</f>
        <v>hidden</v>
      </c>
      <c r="I161" t="str">
        <f>IF(B161="simple",IF(P161&gt;0,"",IF(R161="notify",Info!C$2,"")),IF(B161="variable",IF(P161&gt;0,"",IF(R161="notify",Info!C$4,"")),""))</f>
        <v/>
      </c>
      <c r="J161" t="str">
        <f>IF(Sistema!J161="","",Sistema!J161)</f>
        <v/>
      </c>
      <c r="M161" t="str">
        <f>IF(Sistema!M161="","",Sistema!M161)</f>
        <v/>
      </c>
      <c r="N161" s="6" t="s">
        <v>1557</v>
      </c>
      <c r="O161" s="6">
        <v>1</v>
      </c>
      <c r="P161">
        <f>Sistema!P161</f>
        <v>0</v>
      </c>
      <c r="Q161">
        <f>Sistema!Q161</f>
        <v>0</v>
      </c>
      <c r="R161">
        <f>IF(Sistema!R161=1,"notify",Sistema!R161)</f>
        <v>0</v>
      </c>
      <c r="T161" t="str">
        <f>IF(Sistema!T161="","",Sistema!T161)</f>
        <v/>
      </c>
      <c r="U161" t="str">
        <f>IF(Sistema!U161="","",Sistema!U161)</f>
        <v/>
      </c>
      <c r="V161" t="str">
        <f>IF(Sistema!V161="","",Sistema!V161)</f>
        <v/>
      </c>
      <c r="W161" t="str">
        <f>IF(Sistema!W161="","",Sistema!W161)</f>
        <v/>
      </c>
      <c r="X161" s="6">
        <v>1</v>
      </c>
      <c r="Z161" t="str">
        <f>IF(Sistema!Z161="","",Sistema!Z161)</f>
        <v/>
      </c>
      <c r="AA161" t="str">
        <f>IF(Sistema!AA161="","",Sistema!AA161)</f>
        <v/>
      </c>
      <c r="AB161" t="str">
        <f>IF(Sistema!AB161="","",IF(OR(ISNUMBER(SEARCH("MKP",E161)),ISNUMBER(SEARCH("MKP",C161))),"Marketplace &gt; "&amp;Sistema!AB161,Sistema!AB161))</f>
        <v/>
      </c>
      <c r="AC161" t="str">
        <f>IF(Sistema!AC161="","",Sistema!AC161)</f>
        <v/>
      </c>
      <c r="AE161" t="str">
        <f>IF(Sistema!AE161="","",Sistema!AE161)</f>
        <v/>
      </c>
      <c r="AH161" t="str">
        <f>IF(Sistema!AH161="","",Sistema!AH161)</f>
        <v/>
      </c>
      <c r="AQ161" t="str">
        <f>IF(Sistema!AQ161="","",Sistema!AQ161)</f>
        <v/>
      </c>
      <c r="AR161" t="str">
        <f>IF(Sistema!AR161="","",Sistema!AR161)</f>
        <v/>
      </c>
      <c r="AS161" t="str">
        <f>IF(Sistema!AS161="","",Sistema!AS161)</f>
        <v/>
      </c>
      <c r="AT161" t="str">
        <f>IF(Sistema!AT161="","",Sistema!AT161)</f>
        <v/>
      </c>
      <c r="AU161" t="str">
        <f>IF(Sistema!AU161="","",Sistema!AU161)</f>
        <v/>
      </c>
      <c r="AV161" t="str">
        <f>IF(Sistema!AV161="","",Sistema!AV161)</f>
        <v/>
      </c>
      <c r="AW161" t="str">
        <f>IF(Sistema!AW161="","",Sistema!AW161)</f>
        <v/>
      </c>
      <c r="AX161" t="str">
        <f>IF(Sistema!AX161="","",Sistema!AX161)</f>
        <v/>
      </c>
      <c r="AY161" t="str">
        <f>IF(Sistema!AY161="","",Sistema!AY161)</f>
        <v/>
      </c>
      <c r="AZ161" t="str">
        <f>IF(Sistema!AZ161="","",Sistema!AZ161)</f>
        <v/>
      </c>
      <c r="BA161" t="str">
        <f>IF(Sistema!BA161="","",Sistema!BA161)</f>
        <v/>
      </c>
      <c r="BB161" t="str">
        <f>IF(Sistema!BB161="","",Sistema!BB161)</f>
        <v/>
      </c>
      <c r="BC161" t="str">
        <f>IF(Sistema!BC161="","",Sistema!BC161)</f>
        <v/>
      </c>
      <c r="BD161" t="str">
        <f>IF(Sistema!BD161="","",Sistema!BD161)</f>
        <v/>
      </c>
      <c r="BE161" t="str">
        <f>IF(Sistema!BE161="","",Sistema!BE161)</f>
        <v/>
      </c>
      <c r="BF161" t="str">
        <f>IF(Sistema!BF161="","",Sistema!BF161)</f>
        <v/>
      </c>
      <c r="BG161" t="str">
        <f>IF(Sistema!BG161="","",Sistema!BG161)</f>
        <v/>
      </c>
      <c r="BH161" t="str">
        <f>IF(Sistema!BH161="","",Sistema!BH161)</f>
        <v/>
      </c>
      <c r="BI161" t="str">
        <f>IF(Sistema!BI161="","",Sistema!BI161)</f>
        <v/>
      </c>
      <c r="BJ161" t="str">
        <f>IF(Sistema!BJ161="","",Sistema!BJ161)</f>
        <v/>
      </c>
      <c r="BK161" t="str">
        <f>IF(Sistema!BK161="","",Sistema!BK161)</f>
        <v/>
      </c>
      <c r="BL161" t="str">
        <f>IF(Sistema!BL161="","",Sistema!BL161)</f>
        <v/>
      </c>
      <c r="BM161" t="str">
        <f>IF(Sistema!BM161="","",Sistema!BM161)</f>
        <v/>
      </c>
      <c r="BN161" t="str">
        <f>IF(Sistema!BN161="","",Sistema!BN161)</f>
        <v/>
      </c>
      <c r="BO161" t="str">
        <f>IF(Sistema!BO161="","",Sistema!BO161)</f>
        <v/>
      </c>
      <c r="BP161" t="str">
        <f>IF(Sistema!BP161="","",Sistema!BP161)</f>
        <v/>
      </c>
      <c r="BQ161" t="str">
        <f>IF(Sistema!BQ161="","",Sistema!BQ161)</f>
        <v/>
      </c>
      <c r="BR161" t="str">
        <f>IF(Sistema!BR161="","",Sistema!BR161)</f>
        <v/>
      </c>
      <c r="BS161" t="str">
        <f>IF(Sistema!BS161="","",Sistema!BS161)</f>
        <v/>
      </c>
      <c r="BT161" t="str">
        <f>IF(Sistema!BT161="","",Sistema!BT161)</f>
        <v/>
      </c>
      <c r="BU161" t="str">
        <f>IF(Sistema!BU161="","",Sistema!BU161)</f>
        <v/>
      </c>
      <c r="BV161" t="str">
        <f>IF(Sistema!BV161="","",Sistema!BV161)</f>
        <v/>
      </c>
      <c r="BW161" t="str">
        <f>IF(Sistema!BW161="","",Sistema!BW161)</f>
        <v/>
      </c>
      <c r="BX161" t="str">
        <f>IF(Sistema!BX161="","",Sistema!BX161)</f>
        <v/>
      </c>
      <c r="BY161" t="str">
        <f>IF(Sistema!BY161="","",Sistema!BY161)</f>
        <v/>
      </c>
      <c r="BZ161" t="str">
        <f>IF(Sistema!BZ161="","",Sistema!BZ161)</f>
        <v/>
      </c>
      <c r="CA161" t="str">
        <f>IF(Sistema!CA161="","",Sistema!CA161)</f>
        <v/>
      </c>
      <c r="CB161" t="str">
        <f>IF(Sistema!CB161="","",Sistema!CB161)</f>
        <v/>
      </c>
      <c r="CC161" t="str">
        <f>IF(Sistema!CC161="","",Sistema!CC161)</f>
        <v/>
      </c>
      <c r="CD161" t="str">
        <f>IF(Sistema!CD161="","",Sistema!CD161)</f>
        <v/>
      </c>
    </row>
    <row r="162" spans="1:82" x14ac:dyDescent="0.25">
      <c r="A162" t="str">
        <f>IF(Sistema!A162="","",Sistema!A162)</f>
        <v/>
      </c>
      <c r="B162" t="str">
        <f>IF(Sistema!B162="","",Sistema!B162)</f>
        <v/>
      </c>
      <c r="C162" t="str">
        <f>IF(Sistema!C162="","",Sistema!C162)</f>
        <v/>
      </c>
      <c r="D162" t="str">
        <f>IF(Sistema!D162="","",Sistema!D162)</f>
        <v/>
      </c>
      <c r="E162" t="str">
        <f>IF(Sistema!E162="","",Sistema!E162)</f>
        <v/>
      </c>
      <c r="F162">
        <f>IF(P162&gt;0,1,IF(Sistema!F162=0,-1,1))</f>
        <v>-1</v>
      </c>
      <c r="G162">
        <f>Sistema!G162</f>
        <v>0</v>
      </c>
      <c r="H162" t="str">
        <f>IF(OR(R162="notify",R162=1),"visible",IF(OR(Sistema!F162=-1,Sistema!F162=0,ISNUMBER(SEARCH("PCK",E162))),"hidden",IF(P162&gt;0,"visible","hidden")))</f>
        <v>hidden</v>
      </c>
      <c r="I162" t="str">
        <f>IF(B162="simple",IF(P162&gt;0,"",IF(R162="notify",Info!C$2,"")),IF(B162="variable",IF(P162&gt;0,"",IF(R162="notify",Info!C$4,"")),""))</f>
        <v/>
      </c>
      <c r="J162" t="str">
        <f>IF(Sistema!J162="","",Sistema!J162)</f>
        <v/>
      </c>
      <c r="M162" t="str">
        <f>IF(Sistema!M162="","",Sistema!M162)</f>
        <v/>
      </c>
      <c r="N162" s="6" t="s">
        <v>1557</v>
      </c>
      <c r="O162" s="6">
        <v>1</v>
      </c>
      <c r="P162">
        <f>Sistema!P162</f>
        <v>0</v>
      </c>
      <c r="Q162">
        <f>Sistema!Q162</f>
        <v>0</v>
      </c>
      <c r="R162">
        <f>IF(Sistema!R162=1,"notify",Sistema!R162)</f>
        <v>0</v>
      </c>
      <c r="T162" t="str">
        <f>IF(Sistema!T162="","",Sistema!T162)</f>
        <v/>
      </c>
      <c r="U162" t="str">
        <f>IF(Sistema!U162="","",Sistema!U162)</f>
        <v/>
      </c>
      <c r="V162" t="str">
        <f>IF(Sistema!V162="","",Sistema!V162)</f>
        <v/>
      </c>
      <c r="W162" t="str">
        <f>IF(Sistema!W162="","",Sistema!W162)</f>
        <v/>
      </c>
      <c r="X162" s="6">
        <v>1</v>
      </c>
      <c r="Z162" t="str">
        <f>IF(Sistema!Z162="","",Sistema!Z162)</f>
        <v/>
      </c>
      <c r="AA162" t="str">
        <f>IF(Sistema!AA162="","",Sistema!AA162)</f>
        <v/>
      </c>
      <c r="AB162" t="str">
        <f>IF(Sistema!AB162="","",IF(OR(ISNUMBER(SEARCH("MKP",E162)),ISNUMBER(SEARCH("MKP",C162))),"Marketplace &gt; "&amp;Sistema!AB162,Sistema!AB162))</f>
        <v/>
      </c>
      <c r="AC162" t="str">
        <f>IF(Sistema!AC162="","",Sistema!AC162)</f>
        <v/>
      </c>
      <c r="AE162" t="str">
        <f>IF(Sistema!AE162="","",Sistema!AE162)</f>
        <v/>
      </c>
      <c r="AH162" t="str">
        <f>IF(Sistema!AH162="","",Sistema!AH162)</f>
        <v/>
      </c>
      <c r="AQ162" t="str">
        <f>IF(Sistema!AQ162="","",Sistema!AQ162)</f>
        <v/>
      </c>
      <c r="AR162" t="str">
        <f>IF(Sistema!AR162="","",Sistema!AR162)</f>
        <v/>
      </c>
      <c r="AS162" t="str">
        <f>IF(Sistema!AS162="","",Sistema!AS162)</f>
        <v/>
      </c>
      <c r="AT162" t="str">
        <f>IF(Sistema!AT162="","",Sistema!AT162)</f>
        <v/>
      </c>
      <c r="AU162" t="str">
        <f>IF(Sistema!AU162="","",Sistema!AU162)</f>
        <v/>
      </c>
      <c r="AV162" t="str">
        <f>IF(Sistema!AV162="","",Sistema!AV162)</f>
        <v/>
      </c>
      <c r="AW162" t="str">
        <f>IF(Sistema!AW162="","",Sistema!AW162)</f>
        <v/>
      </c>
      <c r="AX162" t="str">
        <f>IF(Sistema!AX162="","",Sistema!AX162)</f>
        <v/>
      </c>
      <c r="AY162" t="str">
        <f>IF(Sistema!AY162="","",Sistema!AY162)</f>
        <v/>
      </c>
      <c r="AZ162" t="str">
        <f>IF(Sistema!AZ162="","",Sistema!AZ162)</f>
        <v/>
      </c>
      <c r="BA162" t="str">
        <f>IF(Sistema!BA162="","",Sistema!BA162)</f>
        <v/>
      </c>
      <c r="BB162" t="str">
        <f>IF(Sistema!BB162="","",Sistema!BB162)</f>
        <v/>
      </c>
      <c r="BC162" t="str">
        <f>IF(Sistema!BC162="","",Sistema!BC162)</f>
        <v/>
      </c>
      <c r="BD162" t="str">
        <f>IF(Sistema!BD162="","",Sistema!BD162)</f>
        <v/>
      </c>
      <c r="BE162" t="str">
        <f>IF(Sistema!BE162="","",Sistema!BE162)</f>
        <v/>
      </c>
      <c r="BF162" t="str">
        <f>IF(Sistema!BF162="","",Sistema!BF162)</f>
        <v/>
      </c>
      <c r="BG162" t="str">
        <f>IF(Sistema!BG162="","",Sistema!BG162)</f>
        <v/>
      </c>
      <c r="BH162" t="str">
        <f>IF(Sistema!BH162="","",Sistema!BH162)</f>
        <v/>
      </c>
      <c r="BI162" t="str">
        <f>IF(Sistema!BI162="","",Sistema!BI162)</f>
        <v/>
      </c>
      <c r="BJ162" t="str">
        <f>IF(Sistema!BJ162="","",Sistema!BJ162)</f>
        <v/>
      </c>
      <c r="BK162" t="str">
        <f>IF(Sistema!BK162="","",Sistema!BK162)</f>
        <v/>
      </c>
      <c r="BL162" t="str">
        <f>IF(Sistema!BL162="","",Sistema!BL162)</f>
        <v/>
      </c>
      <c r="BM162" t="str">
        <f>IF(Sistema!BM162="","",Sistema!BM162)</f>
        <v/>
      </c>
      <c r="BN162" t="str">
        <f>IF(Sistema!BN162="","",Sistema!BN162)</f>
        <v/>
      </c>
      <c r="BO162" t="str">
        <f>IF(Sistema!BO162="","",Sistema!BO162)</f>
        <v/>
      </c>
      <c r="BP162" t="str">
        <f>IF(Sistema!BP162="","",Sistema!BP162)</f>
        <v/>
      </c>
      <c r="BQ162" t="str">
        <f>IF(Sistema!BQ162="","",Sistema!BQ162)</f>
        <v/>
      </c>
      <c r="BR162" t="str">
        <f>IF(Sistema!BR162="","",Sistema!BR162)</f>
        <v/>
      </c>
      <c r="BS162" t="str">
        <f>IF(Sistema!BS162="","",Sistema!BS162)</f>
        <v/>
      </c>
      <c r="BT162" t="str">
        <f>IF(Sistema!BT162="","",Sistema!BT162)</f>
        <v/>
      </c>
      <c r="BU162" t="str">
        <f>IF(Sistema!BU162="","",Sistema!BU162)</f>
        <v/>
      </c>
      <c r="BV162" t="str">
        <f>IF(Sistema!BV162="","",Sistema!BV162)</f>
        <v/>
      </c>
      <c r="BW162" t="str">
        <f>IF(Sistema!BW162="","",Sistema!BW162)</f>
        <v/>
      </c>
      <c r="BX162" t="str">
        <f>IF(Sistema!BX162="","",Sistema!BX162)</f>
        <v/>
      </c>
      <c r="BY162" t="str">
        <f>IF(Sistema!BY162="","",Sistema!BY162)</f>
        <v/>
      </c>
      <c r="BZ162" t="str">
        <f>IF(Sistema!BZ162="","",Sistema!BZ162)</f>
        <v/>
      </c>
      <c r="CA162" t="str">
        <f>IF(Sistema!CA162="","",Sistema!CA162)</f>
        <v/>
      </c>
      <c r="CB162" t="str">
        <f>IF(Sistema!CB162="","",Sistema!CB162)</f>
        <v/>
      </c>
      <c r="CC162" t="str">
        <f>IF(Sistema!CC162="","",Sistema!CC162)</f>
        <v/>
      </c>
      <c r="CD162" t="str">
        <f>IF(Sistema!CD162="","",Sistema!CD162)</f>
        <v/>
      </c>
    </row>
    <row r="163" spans="1:82" x14ac:dyDescent="0.25">
      <c r="A163" t="str">
        <f>IF(Sistema!A163="","",Sistema!A163)</f>
        <v/>
      </c>
      <c r="B163" t="str">
        <f>IF(Sistema!B163="","",Sistema!B163)</f>
        <v/>
      </c>
      <c r="C163" t="str">
        <f>IF(Sistema!C163="","",Sistema!C163)</f>
        <v/>
      </c>
      <c r="D163" t="str">
        <f>IF(Sistema!D163="","",Sistema!D163)</f>
        <v/>
      </c>
      <c r="E163" t="str">
        <f>IF(Sistema!E163="","",Sistema!E163)</f>
        <v/>
      </c>
      <c r="F163">
        <f>IF(P163&gt;0,1,IF(Sistema!F163=0,-1,1))</f>
        <v>-1</v>
      </c>
      <c r="G163">
        <f>Sistema!G163</f>
        <v>0</v>
      </c>
      <c r="H163" t="str">
        <f>IF(OR(R163="notify",R163=1),"visible",IF(OR(Sistema!F163=-1,Sistema!F163=0,ISNUMBER(SEARCH("PCK",E163))),"hidden",IF(P163&gt;0,"visible","hidden")))</f>
        <v>hidden</v>
      </c>
      <c r="I163" t="str">
        <f>IF(B163="simple",IF(P163&gt;0,"",IF(R163="notify",Info!C$2,"")),IF(B163="variable",IF(P163&gt;0,"",IF(R163="notify",Info!C$4,"")),""))</f>
        <v/>
      </c>
      <c r="J163" t="str">
        <f>IF(Sistema!J163="","",Sistema!J163)</f>
        <v/>
      </c>
      <c r="M163" t="str">
        <f>IF(Sistema!M163="","",Sistema!M163)</f>
        <v/>
      </c>
      <c r="N163" s="6" t="s">
        <v>1557</v>
      </c>
      <c r="O163" s="6">
        <v>1</v>
      </c>
      <c r="P163">
        <f>Sistema!P163</f>
        <v>0</v>
      </c>
      <c r="Q163">
        <f>Sistema!Q163</f>
        <v>0</v>
      </c>
      <c r="R163">
        <f>IF(Sistema!R163=1,"notify",Sistema!R163)</f>
        <v>0</v>
      </c>
      <c r="T163" t="str">
        <f>IF(Sistema!T163="","",Sistema!T163)</f>
        <v/>
      </c>
      <c r="U163" t="str">
        <f>IF(Sistema!U163="","",Sistema!U163)</f>
        <v/>
      </c>
      <c r="V163" t="str">
        <f>IF(Sistema!V163="","",Sistema!V163)</f>
        <v/>
      </c>
      <c r="W163" t="str">
        <f>IF(Sistema!W163="","",Sistema!W163)</f>
        <v/>
      </c>
      <c r="X163" s="6">
        <v>1</v>
      </c>
      <c r="Z163" t="str">
        <f>IF(Sistema!Z163="","",Sistema!Z163)</f>
        <v/>
      </c>
      <c r="AA163" t="str">
        <f>IF(Sistema!AA163="","",Sistema!AA163)</f>
        <v/>
      </c>
      <c r="AB163" t="str">
        <f>IF(Sistema!AB163="","",IF(OR(ISNUMBER(SEARCH("MKP",E163)),ISNUMBER(SEARCH("MKP",C163))),"Marketplace &gt; "&amp;Sistema!AB163,Sistema!AB163))</f>
        <v/>
      </c>
      <c r="AC163" t="str">
        <f>IF(Sistema!AC163="","",Sistema!AC163)</f>
        <v/>
      </c>
      <c r="AE163" t="str">
        <f>IF(Sistema!AE163="","",Sistema!AE163)</f>
        <v/>
      </c>
      <c r="AH163" t="str">
        <f>IF(Sistema!AH163="","",Sistema!AH163)</f>
        <v/>
      </c>
      <c r="AQ163" t="str">
        <f>IF(Sistema!AQ163="","",Sistema!AQ163)</f>
        <v/>
      </c>
      <c r="AR163" t="str">
        <f>IF(Sistema!AR163="","",Sistema!AR163)</f>
        <v/>
      </c>
      <c r="AS163" t="str">
        <f>IF(Sistema!AS163="","",Sistema!AS163)</f>
        <v/>
      </c>
      <c r="AT163" t="str">
        <f>IF(Sistema!AT163="","",Sistema!AT163)</f>
        <v/>
      </c>
      <c r="AU163" t="str">
        <f>IF(Sistema!AU163="","",Sistema!AU163)</f>
        <v/>
      </c>
      <c r="AV163" t="str">
        <f>IF(Sistema!AV163="","",Sistema!AV163)</f>
        <v/>
      </c>
      <c r="AW163" t="str">
        <f>IF(Sistema!AW163="","",Sistema!AW163)</f>
        <v/>
      </c>
      <c r="AX163" t="str">
        <f>IF(Sistema!AX163="","",Sistema!AX163)</f>
        <v/>
      </c>
      <c r="AY163" t="str">
        <f>IF(Sistema!AY163="","",Sistema!AY163)</f>
        <v/>
      </c>
      <c r="AZ163" t="str">
        <f>IF(Sistema!AZ163="","",Sistema!AZ163)</f>
        <v/>
      </c>
      <c r="BA163" t="str">
        <f>IF(Sistema!BA163="","",Sistema!BA163)</f>
        <v/>
      </c>
      <c r="BB163" t="str">
        <f>IF(Sistema!BB163="","",Sistema!BB163)</f>
        <v/>
      </c>
      <c r="BC163" t="str">
        <f>IF(Sistema!BC163="","",Sistema!BC163)</f>
        <v/>
      </c>
      <c r="BD163" t="str">
        <f>IF(Sistema!BD163="","",Sistema!BD163)</f>
        <v/>
      </c>
      <c r="BE163" t="str">
        <f>IF(Sistema!BE163="","",Sistema!BE163)</f>
        <v/>
      </c>
      <c r="BF163" t="str">
        <f>IF(Sistema!BF163="","",Sistema!BF163)</f>
        <v/>
      </c>
      <c r="BG163" t="str">
        <f>IF(Sistema!BG163="","",Sistema!BG163)</f>
        <v/>
      </c>
      <c r="BH163" t="str">
        <f>IF(Sistema!BH163="","",Sistema!BH163)</f>
        <v/>
      </c>
      <c r="BI163" t="str">
        <f>IF(Sistema!BI163="","",Sistema!BI163)</f>
        <v/>
      </c>
      <c r="BJ163" t="str">
        <f>IF(Sistema!BJ163="","",Sistema!BJ163)</f>
        <v/>
      </c>
      <c r="BK163" t="str">
        <f>IF(Sistema!BK163="","",Sistema!BK163)</f>
        <v/>
      </c>
      <c r="BL163" t="str">
        <f>IF(Sistema!BL163="","",Sistema!BL163)</f>
        <v/>
      </c>
      <c r="BM163" t="str">
        <f>IF(Sistema!BM163="","",Sistema!BM163)</f>
        <v/>
      </c>
      <c r="BN163" t="str">
        <f>IF(Sistema!BN163="","",Sistema!BN163)</f>
        <v/>
      </c>
      <c r="BO163" t="str">
        <f>IF(Sistema!BO163="","",Sistema!BO163)</f>
        <v/>
      </c>
      <c r="BP163" t="str">
        <f>IF(Sistema!BP163="","",Sistema!BP163)</f>
        <v/>
      </c>
      <c r="BQ163" t="str">
        <f>IF(Sistema!BQ163="","",Sistema!BQ163)</f>
        <v/>
      </c>
      <c r="BR163" t="str">
        <f>IF(Sistema!BR163="","",Sistema!BR163)</f>
        <v/>
      </c>
      <c r="BS163" t="str">
        <f>IF(Sistema!BS163="","",Sistema!BS163)</f>
        <v/>
      </c>
      <c r="BT163" t="str">
        <f>IF(Sistema!BT163="","",Sistema!BT163)</f>
        <v/>
      </c>
      <c r="BU163" t="str">
        <f>IF(Sistema!BU163="","",Sistema!BU163)</f>
        <v/>
      </c>
      <c r="BV163" t="str">
        <f>IF(Sistema!BV163="","",Sistema!BV163)</f>
        <v/>
      </c>
      <c r="BW163" t="str">
        <f>IF(Sistema!BW163="","",Sistema!BW163)</f>
        <v/>
      </c>
      <c r="BX163" t="str">
        <f>IF(Sistema!BX163="","",Sistema!BX163)</f>
        <v/>
      </c>
      <c r="BY163" t="str">
        <f>IF(Sistema!BY163="","",Sistema!BY163)</f>
        <v/>
      </c>
      <c r="BZ163" t="str">
        <f>IF(Sistema!BZ163="","",Sistema!BZ163)</f>
        <v/>
      </c>
      <c r="CA163" t="str">
        <f>IF(Sistema!CA163="","",Sistema!CA163)</f>
        <v/>
      </c>
      <c r="CB163" t="str">
        <f>IF(Sistema!CB163="","",Sistema!CB163)</f>
        <v/>
      </c>
      <c r="CC163" t="str">
        <f>IF(Sistema!CC163="","",Sistema!CC163)</f>
        <v/>
      </c>
      <c r="CD163" t="str">
        <f>IF(Sistema!CD163="","",Sistema!CD163)</f>
        <v/>
      </c>
    </row>
    <row r="164" spans="1:82" x14ac:dyDescent="0.25">
      <c r="A164" t="str">
        <f>IF(Sistema!A164="","",Sistema!A164)</f>
        <v/>
      </c>
      <c r="B164" t="str">
        <f>IF(Sistema!B164="","",Sistema!B164)</f>
        <v/>
      </c>
      <c r="C164" t="str">
        <f>IF(Sistema!C164="","",Sistema!C164)</f>
        <v/>
      </c>
      <c r="D164" t="str">
        <f>IF(Sistema!D164="","",Sistema!D164)</f>
        <v/>
      </c>
      <c r="E164" t="str">
        <f>IF(Sistema!E164="","",Sistema!E164)</f>
        <v/>
      </c>
      <c r="F164">
        <f>IF(P164&gt;0,1,IF(Sistema!F164=0,-1,1))</f>
        <v>-1</v>
      </c>
      <c r="G164">
        <f>Sistema!G164</f>
        <v>0</v>
      </c>
      <c r="H164" t="str">
        <f>IF(OR(R164="notify",R164=1),"visible",IF(OR(Sistema!F164=-1,Sistema!F164=0,ISNUMBER(SEARCH("PCK",E164))),"hidden",IF(P164&gt;0,"visible","hidden")))</f>
        <v>hidden</v>
      </c>
      <c r="I164" t="str">
        <f>IF(B164="simple",IF(P164&gt;0,"",IF(R164="notify",Info!C$2,"")),IF(B164="variable",IF(P164&gt;0,"",IF(R164="notify",Info!C$4,"")),""))</f>
        <v/>
      </c>
      <c r="J164" t="str">
        <f>IF(Sistema!J164="","",Sistema!J164)</f>
        <v/>
      </c>
      <c r="M164" t="str">
        <f>IF(Sistema!M164="","",Sistema!M164)</f>
        <v/>
      </c>
      <c r="N164" s="6" t="s">
        <v>1557</v>
      </c>
      <c r="O164" s="6">
        <v>1</v>
      </c>
      <c r="P164">
        <f>Sistema!P164</f>
        <v>0</v>
      </c>
      <c r="Q164">
        <f>Sistema!Q164</f>
        <v>0</v>
      </c>
      <c r="R164">
        <f>IF(Sistema!R164=1,"notify",Sistema!R164)</f>
        <v>0</v>
      </c>
      <c r="T164" t="str">
        <f>IF(Sistema!T164="","",Sistema!T164)</f>
        <v/>
      </c>
      <c r="U164" t="str">
        <f>IF(Sistema!U164="","",Sistema!U164)</f>
        <v/>
      </c>
      <c r="V164" t="str">
        <f>IF(Sistema!V164="","",Sistema!V164)</f>
        <v/>
      </c>
      <c r="W164" t="str">
        <f>IF(Sistema!W164="","",Sistema!W164)</f>
        <v/>
      </c>
      <c r="X164" s="6">
        <v>1</v>
      </c>
      <c r="Z164" t="str">
        <f>IF(Sistema!Z164="","",Sistema!Z164)</f>
        <v/>
      </c>
      <c r="AA164" t="str">
        <f>IF(Sistema!AA164="","",Sistema!AA164)</f>
        <v/>
      </c>
      <c r="AB164" t="str">
        <f>IF(Sistema!AB164="","",IF(OR(ISNUMBER(SEARCH("MKP",E164)),ISNUMBER(SEARCH("MKP",C164))),"Marketplace &gt; "&amp;Sistema!AB164,Sistema!AB164))</f>
        <v/>
      </c>
      <c r="AC164" t="str">
        <f>IF(Sistema!AC164="","",Sistema!AC164)</f>
        <v/>
      </c>
      <c r="AE164" t="str">
        <f>IF(Sistema!AE164="","",Sistema!AE164)</f>
        <v/>
      </c>
      <c r="AH164" t="str">
        <f>IF(Sistema!AH164="","",Sistema!AH164)</f>
        <v/>
      </c>
      <c r="AQ164" t="str">
        <f>IF(Sistema!AQ164="","",Sistema!AQ164)</f>
        <v/>
      </c>
      <c r="AR164" t="str">
        <f>IF(Sistema!AR164="","",Sistema!AR164)</f>
        <v/>
      </c>
      <c r="AS164" t="str">
        <f>IF(Sistema!AS164="","",Sistema!AS164)</f>
        <v/>
      </c>
      <c r="AT164" t="str">
        <f>IF(Sistema!AT164="","",Sistema!AT164)</f>
        <v/>
      </c>
      <c r="AU164" t="str">
        <f>IF(Sistema!AU164="","",Sistema!AU164)</f>
        <v/>
      </c>
      <c r="AV164" t="str">
        <f>IF(Sistema!AV164="","",Sistema!AV164)</f>
        <v/>
      </c>
      <c r="AW164" t="str">
        <f>IF(Sistema!AW164="","",Sistema!AW164)</f>
        <v/>
      </c>
      <c r="AX164" t="str">
        <f>IF(Sistema!AX164="","",Sistema!AX164)</f>
        <v/>
      </c>
      <c r="AY164" t="str">
        <f>IF(Sistema!AY164="","",Sistema!AY164)</f>
        <v/>
      </c>
      <c r="AZ164" t="str">
        <f>IF(Sistema!AZ164="","",Sistema!AZ164)</f>
        <v/>
      </c>
      <c r="BA164" t="str">
        <f>IF(Sistema!BA164="","",Sistema!BA164)</f>
        <v/>
      </c>
      <c r="BB164" t="str">
        <f>IF(Sistema!BB164="","",Sistema!BB164)</f>
        <v/>
      </c>
      <c r="BC164" t="str">
        <f>IF(Sistema!BC164="","",Sistema!BC164)</f>
        <v/>
      </c>
      <c r="BD164" t="str">
        <f>IF(Sistema!BD164="","",Sistema!BD164)</f>
        <v/>
      </c>
      <c r="BE164" t="str">
        <f>IF(Sistema!BE164="","",Sistema!BE164)</f>
        <v/>
      </c>
      <c r="BF164" t="str">
        <f>IF(Sistema!BF164="","",Sistema!BF164)</f>
        <v/>
      </c>
      <c r="BG164" t="str">
        <f>IF(Sistema!BG164="","",Sistema!BG164)</f>
        <v/>
      </c>
      <c r="BH164" t="str">
        <f>IF(Sistema!BH164="","",Sistema!BH164)</f>
        <v/>
      </c>
      <c r="BI164" t="str">
        <f>IF(Sistema!BI164="","",Sistema!BI164)</f>
        <v/>
      </c>
      <c r="BJ164" t="str">
        <f>IF(Sistema!BJ164="","",Sistema!BJ164)</f>
        <v/>
      </c>
      <c r="BK164" t="str">
        <f>IF(Sistema!BK164="","",Sistema!BK164)</f>
        <v/>
      </c>
      <c r="BL164" t="str">
        <f>IF(Sistema!BL164="","",Sistema!BL164)</f>
        <v/>
      </c>
      <c r="BM164" t="str">
        <f>IF(Sistema!BM164="","",Sistema!BM164)</f>
        <v/>
      </c>
      <c r="BN164" t="str">
        <f>IF(Sistema!BN164="","",Sistema!BN164)</f>
        <v/>
      </c>
      <c r="BO164" t="str">
        <f>IF(Sistema!BO164="","",Sistema!BO164)</f>
        <v/>
      </c>
      <c r="BP164" t="str">
        <f>IF(Sistema!BP164="","",Sistema!BP164)</f>
        <v/>
      </c>
      <c r="BQ164" t="str">
        <f>IF(Sistema!BQ164="","",Sistema!BQ164)</f>
        <v/>
      </c>
      <c r="BR164" t="str">
        <f>IF(Sistema!BR164="","",Sistema!BR164)</f>
        <v/>
      </c>
      <c r="BS164" t="str">
        <f>IF(Sistema!BS164="","",Sistema!BS164)</f>
        <v/>
      </c>
      <c r="BT164" t="str">
        <f>IF(Sistema!BT164="","",Sistema!BT164)</f>
        <v/>
      </c>
      <c r="BU164" t="str">
        <f>IF(Sistema!BU164="","",Sistema!BU164)</f>
        <v/>
      </c>
      <c r="BV164" t="str">
        <f>IF(Sistema!BV164="","",Sistema!BV164)</f>
        <v/>
      </c>
      <c r="BW164" t="str">
        <f>IF(Sistema!BW164="","",Sistema!BW164)</f>
        <v/>
      </c>
      <c r="BX164" t="str">
        <f>IF(Sistema!BX164="","",Sistema!BX164)</f>
        <v/>
      </c>
      <c r="BY164" t="str">
        <f>IF(Sistema!BY164="","",Sistema!BY164)</f>
        <v/>
      </c>
      <c r="BZ164" t="str">
        <f>IF(Sistema!BZ164="","",Sistema!BZ164)</f>
        <v/>
      </c>
      <c r="CA164" t="str">
        <f>IF(Sistema!CA164="","",Sistema!CA164)</f>
        <v/>
      </c>
      <c r="CB164" t="str">
        <f>IF(Sistema!CB164="","",Sistema!CB164)</f>
        <v/>
      </c>
      <c r="CC164" t="str">
        <f>IF(Sistema!CC164="","",Sistema!CC164)</f>
        <v/>
      </c>
      <c r="CD164" t="str">
        <f>IF(Sistema!CD164="","",Sistema!CD164)</f>
        <v/>
      </c>
    </row>
    <row r="165" spans="1:82" x14ac:dyDescent="0.25">
      <c r="A165" t="str">
        <f>IF(Sistema!A165="","",Sistema!A165)</f>
        <v/>
      </c>
      <c r="B165" t="str">
        <f>IF(Sistema!B165="","",Sistema!B165)</f>
        <v/>
      </c>
      <c r="C165" t="str">
        <f>IF(Sistema!C165="","",Sistema!C165)</f>
        <v/>
      </c>
      <c r="D165" t="str">
        <f>IF(Sistema!D165="","",Sistema!D165)</f>
        <v/>
      </c>
      <c r="E165" t="str">
        <f>IF(Sistema!E165="","",Sistema!E165)</f>
        <v/>
      </c>
      <c r="F165">
        <f>IF(P165&gt;0,1,IF(Sistema!F165=0,-1,1))</f>
        <v>-1</v>
      </c>
      <c r="G165">
        <f>Sistema!G165</f>
        <v>0</v>
      </c>
      <c r="H165" t="str">
        <f>IF(OR(R165="notify",R165=1),"visible",IF(OR(Sistema!F165=-1,Sistema!F165=0,ISNUMBER(SEARCH("PCK",E165))),"hidden",IF(P165&gt;0,"visible","hidden")))</f>
        <v>hidden</v>
      </c>
      <c r="I165" t="str">
        <f>IF(B165="simple",IF(P165&gt;0,"",IF(R165="notify",Info!C$2,"")),IF(B165="variable",IF(P165&gt;0,"",IF(R165="notify",Info!C$4,"")),""))</f>
        <v/>
      </c>
      <c r="J165" t="str">
        <f>IF(Sistema!J165="","",Sistema!J165)</f>
        <v/>
      </c>
      <c r="M165" t="str">
        <f>IF(Sistema!M165="","",Sistema!M165)</f>
        <v/>
      </c>
      <c r="N165" s="6" t="s">
        <v>1557</v>
      </c>
      <c r="O165" s="6">
        <v>1</v>
      </c>
      <c r="P165">
        <f>Sistema!P165</f>
        <v>0</v>
      </c>
      <c r="Q165">
        <f>Sistema!Q165</f>
        <v>0</v>
      </c>
      <c r="R165">
        <f>IF(Sistema!R165=1,"notify",Sistema!R165)</f>
        <v>0</v>
      </c>
      <c r="T165" t="str">
        <f>IF(Sistema!T165="","",Sistema!T165)</f>
        <v/>
      </c>
      <c r="U165" t="str">
        <f>IF(Sistema!U165="","",Sistema!U165)</f>
        <v/>
      </c>
      <c r="V165" t="str">
        <f>IF(Sistema!V165="","",Sistema!V165)</f>
        <v/>
      </c>
      <c r="W165" t="str">
        <f>IF(Sistema!W165="","",Sistema!W165)</f>
        <v/>
      </c>
      <c r="X165" s="6">
        <v>1</v>
      </c>
      <c r="Z165" t="str">
        <f>IF(Sistema!Z165="","",Sistema!Z165)</f>
        <v/>
      </c>
      <c r="AA165" t="str">
        <f>IF(Sistema!AA165="","",Sistema!AA165)</f>
        <v/>
      </c>
      <c r="AB165" t="str">
        <f>IF(Sistema!AB165="","",IF(OR(ISNUMBER(SEARCH("MKP",E165)),ISNUMBER(SEARCH("MKP",C165))),"Marketplace &gt; "&amp;Sistema!AB165,Sistema!AB165))</f>
        <v/>
      </c>
      <c r="AC165" t="str">
        <f>IF(Sistema!AC165="","",Sistema!AC165)</f>
        <v/>
      </c>
      <c r="AE165" t="str">
        <f>IF(Sistema!AE165="","",Sistema!AE165)</f>
        <v/>
      </c>
      <c r="AH165" t="str">
        <f>IF(Sistema!AH165="","",Sistema!AH165)</f>
        <v/>
      </c>
      <c r="AQ165" t="str">
        <f>IF(Sistema!AQ165="","",Sistema!AQ165)</f>
        <v/>
      </c>
      <c r="AR165" t="str">
        <f>IF(Sistema!AR165="","",Sistema!AR165)</f>
        <v/>
      </c>
      <c r="AS165" t="str">
        <f>IF(Sistema!AS165="","",Sistema!AS165)</f>
        <v/>
      </c>
      <c r="AT165" t="str">
        <f>IF(Sistema!AT165="","",Sistema!AT165)</f>
        <v/>
      </c>
      <c r="AU165" t="str">
        <f>IF(Sistema!AU165="","",Sistema!AU165)</f>
        <v/>
      </c>
      <c r="AV165" t="str">
        <f>IF(Sistema!AV165="","",Sistema!AV165)</f>
        <v/>
      </c>
      <c r="AW165" t="str">
        <f>IF(Sistema!AW165="","",Sistema!AW165)</f>
        <v/>
      </c>
      <c r="AX165" t="str">
        <f>IF(Sistema!AX165="","",Sistema!AX165)</f>
        <v/>
      </c>
      <c r="AY165" t="str">
        <f>IF(Sistema!AY165="","",Sistema!AY165)</f>
        <v/>
      </c>
      <c r="AZ165" t="str">
        <f>IF(Sistema!AZ165="","",Sistema!AZ165)</f>
        <v/>
      </c>
      <c r="BA165" t="str">
        <f>IF(Sistema!BA165="","",Sistema!BA165)</f>
        <v/>
      </c>
      <c r="BB165" t="str">
        <f>IF(Sistema!BB165="","",Sistema!BB165)</f>
        <v/>
      </c>
      <c r="BC165" t="str">
        <f>IF(Sistema!BC165="","",Sistema!BC165)</f>
        <v/>
      </c>
      <c r="BD165" t="str">
        <f>IF(Sistema!BD165="","",Sistema!BD165)</f>
        <v/>
      </c>
      <c r="BE165" t="str">
        <f>IF(Sistema!BE165="","",Sistema!BE165)</f>
        <v/>
      </c>
      <c r="BF165" t="str">
        <f>IF(Sistema!BF165="","",Sistema!BF165)</f>
        <v/>
      </c>
      <c r="BG165" t="str">
        <f>IF(Sistema!BG165="","",Sistema!BG165)</f>
        <v/>
      </c>
      <c r="BH165" t="str">
        <f>IF(Sistema!BH165="","",Sistema!BH165)</f>
        <v/>
      </c>
      <c r="BI165" t="str">
        <f>IF(Sistema!BI165="","",Sistema!BI165)</f>
        <v/>
      </c>
      <c r="BJ165" t="str">
        <f>IF(Sistema!BJ165="","",Sistema!BJ165)</f>
        <v/>
      </c>
      <c r="BK165" t="str">
        <f>IF(Sistema!BK165="","",Sistema!BK165)</f>
        <v/>
      </c>
      <c r="BL165" t="str">
        <f>IF(Sistema!BL165="","",Sistema!BL165)</f>
        <v/>
      </c>
      <c r="BM165" t="str">
        <f>IF(Sistema!BM165="","",Sistema!BM165)</f>
        <v/>
      </c>
      <c r="BN165" t="str">
        <f>IF(Sistema!BN165="","",Sistema!BN165)</f>
        <v/>
      </c>
      <c r="BO165" t="str">
        <f>IF(Sistema!BO165="","",Sistema!BO165)</f>
        <v/>
      </c>
      <c r="BP165" t="str">
        <f>IF(Sistema!BP165="","",Sistema!BP165)</f>
        <v/>
      </c>
      <c r="BQ165" t="str">
        <f>IF(Sistema!BQ165="","",Sistema!BQ165)</f>
        <v/>
      </c>
      <c r="BR165" t="str">
        <f>IF(Sistema!BR165="","",Sistema!BR165)</f>
        <v/>
      </c>
      <c r="BS165" t="str">
        <f>IF(Sistema!BS165="","",Sistema!BS165)</f>
        <v/>
      </c>
      <c r="BT165" t="str">
        <f>IF(Sistema!BT165="","",Sistema!BT165)</f>
        <v/>
      </c>
      <c r="BU165" t="str">
        <f>IF(Sistema!BU165="","",Sistema!BU165)</f>
        <v/>
      </c>
      <c r="BV165" t="str">
        <f>IF(Sistema!BV165="","",Sistema!BV165)</f>
        <v/>
      </c>
      <c r="BW165" t="str">
        <f>IF(Sistema!BW165="","",Sistema!BW165)</f>
        <v/>
      </c>
      <c r="BX165" t="str">
        <f>IF(Sistema!BX165="","",Sistema!BX165)</f>
        <v/>
      </c>
      <c r="BY165" t="str">
        <f>IF(Sistema!BY165="","",Sistema!BY165)</f>
        <v/>
      </c>
      <c r="BZ165" t="str">
        <f>IF(Sistema!BZ165="","",Sistema!BZ165)</f>
        <v/>
      </c>
      <c r="CA165" t="str">
        <f>IF(Sistema!CA165="","",Sistema!CA165)</f>
        <v/>
      </c>
      <c r="CB165" t="str">
        <f>IF(Sistema!CB165="","",Sistema!CB165)</f>
        <v/>
      </c>
      <c r="CC165" t="str">
        <f>IF(Sistema!CC165="","",Sistema!CC165)</f>
        <v/>
      </c>
      <c r="CD165" t="str">
        <f>IF(Sistema!CD165="","",Sistema!CD165)</f>
        <v/>
      </c>
    </row>
    <row r="166" spans="1:82" x14ac:dyDescent="0.25">
      <c r="A166" t="str">
        <f>IF(Sistema!A166="","",Sistema!A166)</f>
        <v/>
      </c>
      <c r="B166" t="str">
        <f>IF(Sistema!B166="","",Sistema!B166)</f>
        <v/>
      </c>
      <c r="C166" t="str">
        <f>IF(Sistema!C166="","",Sistema!C166)</f>
        <v/>
      </c>
      <c r="D166" t="str">
        <f>IF(Sistema!D166="","",Sistema!D166)</f>
        <v/>
      </c>
      <c r="E166" t="str">
        <f>IF(Sistema!E166="","",Sistema!E166)</f>
        <v/>
      </c>
      <c r="F166">
        <f>IF(P166&gt;0,1,IF(Sistema!F166=0,-1,1))</f>
        <v>-1</v>
      </c>
      <c r="G166">
        <f>Sistema!G166</f>
        <v>0</v>
      </c>
      <c r="H166" t="str">
        <f>IF(OR(R166="notify",R166=1),"visible",IF(OR(Sistema!F166=-1,Sistema!F166=0,ISNUMBER(SEARCH("PCK",E166))),"hidden",IF(P166&gt;0,"visible","hidden")))</f>
        <v>hidden</v>
      </c>
      <c r="I166" t="str">
        <f>IF(B166="simple",IF(P166&gt;0,"",IF(R166="notify",Info!C$2,"")),IF(B166="variable",IF(P166&gt;0,"",IF(R166="notify",Info!C$4,"")),""))</f>
        <v/>
      </c>
      <c r="J166" t="str">
        <f>IF(Sistema!J166="","",Sistema!J166)</f>
        <v/>
      </c>
      <c r="M166" t="str">
        <f>IF(Sistema!M166="","",Sistema!M166)</f>
        <v/>
      </c>
      <c r="N166" s="6" t="s">
        <v>1557</v>
      </c>
      <c r="O166" s="6">
        <v>1</v>
      </c>
      <c r="P166">
        <f>Sistema!P166</f>
        <v>0</v>
      </c>
      <c r="Q166">
        <f>Sistema!Q166</f>
        <v>0</v>
      </c>
      <c r="R166">
        <f>IF(Sistema!R166=1,"notify",Sistema!R166)</f>
        <v>0</v>
      </c>
      <c r="T166" t="str">
        <f>IF(Sistema!T166="","",Sistema!T166)</f>
        <v/>
      </c>
      <c r="U166" t="str">
        <f>IF(Sistema!U166="","",Sistema!U166)</f>
        <v/>
      </c>
      <c r="V166" t="str">
        <f>IF(Sistema!V166="","",Sistema!V166)</f>
        <v/>
      </c>
      <c r="W166" t="str">
        <f>IF(Sistema!W166="","",Sistema!W166)</f>
        <v/>
      </c>
      <c r="X166" s="6">
        <v>1</v>
      </c>
      <c r="Z166" t="str">
        <f>IF(Sistema!Z166="","",Sistema!Z166)</f>
        <v/>
      </c>
      <c r="AA166" t="str">
        <f>IF(Sistema!AA166="","",Sistema!AA166)</f>
        <v/>
      </c>
      <c r="AB166" t="str">
        <f>IF(Sistema!AB166="","",IF(OR(ISNUMBER(SEARCH("MKP",E166)),ISNUMBER(SEARCH("MKP",C166))),"Marketplace &gt; "&amp;Sistema!AB166,Sistema!AB166))</f>
        <v/>
      </c>
      <c r="AC166" t="str">
        <f>IF(Sistema!AC166="","",Sistema!AC166)</f>
        <v/>
      </c>
      <c r="AE166" t="str">
        <f>IF(Sistema!AE166="","",Sistema!AE166)</f>
        <v/>
      </c>
      <c r="AH166" t="str">
        <f>IF(Sistema!AH166="","",Sistema!AH166)</f>
        <v/>
      </c>
      <c r="AQ166" t="str">
        <f>IF(Sistema!AQ166="","",Sistema!AQ166)</f>
        <v/>
      </c>
      <c r="AR166" t="str">
        <f>IF(Sistema!AR166="","",Sistema!AR166)</f>
        <v/>
      </c>
      <c r="AS166" t="str">
        <f>IF(Sistema!AS166="","",Sistema!AS166)</f>
        <v/>
      </c>
      <c r="AT166" t="str">
        <f>IF(Sistema!AT166="","",Sistema!AT166)</f>
        <v/>
      </c>
      <c r="AU166" t="str">
        <f>IF(Sistema!AU166="","",Sistema!AU166)</f>
        <v/>
      </c>
      <c r="AV166" t="str">
        <f>IF(Sistema!AV166="","",Sistema!AV166)</f>
        <v/>
      </c>
      <c r="AW166" t="str">
        <f>IF(Sistema!AW166="","",Sistema!AW166)</f>
        <v/>
      </c>
      <c r="AX166" t="str">
        <f>IF(Sistema!AX166="","",Sistema!AX166)</f>
        <v/>
      </c>
      <c r="AY166" t="str">
        <f>IF(Sistema!AY166="","",Sistema!AY166)</f>
        <v/>
      </c>
      <c r="AZ166" t="str">
        <f>IF(Sistema!AZ166="","",Sistema!AZ166)</f>
        <v/>
      </c>
      <c r="BA166" t="str">
        <f>IF(Sistema!BA166="","",Sistema!BA166)</f>
        <v/>
      </c>
      <c r="BB166" t="str">
        <f>IF(Sistema!BB166="","",Sistema!BB166)</f>
        <v/>
      </c>
      <c r="BC166" t="str">
        <f>IF(Sistema!BC166="","",Sistema!BC166)</f>
        <v/>
      </c>
      <c r="BD166" t="str">
        <f>IF(Sistema!BD166="","",Sistema!BD166)</f>
        <v/>
      </c>
      <c r="BE166" t="str">
        <f>IF(Sistema!BE166="","",Sistema!BE166)</f>
        <v/>
      </c>
      <c r="BF166" t="str">
        <f>IF(Sistema!BF166="","",Sistema!BF166)</f>
        <v/>
      </c>
      <c r="BG166" t="str">
        <f>IF(Sistema!BG166="","",Sistema!BG166)</f>
        <v/>
      </c>
      <c r="BH166" t="str">
        <f>IF(Sistema!BH166="","",Sistema!BH166)</f>
        <v/>
      </c>
      <c r="BI166" t="str">
        <f>IF(Sistema!BI166="","",Sistema!BI166)</f>
        <v/>
      </c>
      <c r="BJ166" t="str">
        <f>IF(Sistema!BJ166="","",Sistema!BJ166)</f>
        <v/>
      </c>
      <c r="BK166" t="str">
        <f>IF(Sistema!BK166="","",Sistema!BK166)</f>
        <v/>
      </c>
      <c r="BL166" t="str">
        <f>IF(Sistema!BL166="","",Sistema!BL166)</f>
        <v/>
      </c>
      <c r="BM166" t="str">
        <f>IF(Sistema!BM166="","",Sistema!BM166)</f>
        <v/>
      </c>
      <c r="BN166" t="str">
        <f>IF(Sistema!BN166="","",Sistema!BN166)</f>
        <v/>
      </c>
      <c r="BO166" t="str">
        <f>IF(Sistema!BO166="","",Sistema!BO166)</f>
        <v/>
      </c>
      <c r="BP166" t="str">
        <f>IF(Sistema!BP166="","",Sistema!BP166)</f>
        <v/>
      </c>
      <c r="BQ166" t="str">
        <f>IF(Sistema!BQ166="","",Sistema!BQ166)</f>
        <v/>
      </c>
      <c r="BR166" t="str">
        <f>IF(Sistema!BR166="","",Sistema!BR166)</f>
        <v/>
      </c>
      <c r="BS166" t="str">
        <f>IF(Sistema!BS166="","",Sistema!BS166)</f>
        <v/>
      </c>
      <c r="BT166" t="str">
        <f>IF(Sistema!BT166="","",Sistema!BT166)</f>
        <v/>
      </c>
      <c r="BU166" t="str">
        <f>IF(Sistema!BU166="","",Sistema!BU166)</f>
        <v/>
      </c>
      <c r="BV166" t="str">
        <f>IF(Sistema!BV166="","",Sistema!BV166)</f>
        <v/>
      </c>
      <c r="BW166" t="str">
        <f>IF(Sistema!BW166="","",Sistema!BW166)</f>
        <v/>
      </c>
      <c r="BX166" t="str">
        <f>IF(Sistema!BX166="","",Sistema!BX166)</f>
        <v/>
      </c>
      <c r="BY166" t="str">
        <f>IF(Sistema!BY166="","",Sistema!BY166)</f>
        <v/>
      </c>
      <c r="BZ166" t="str">
        <f>IF(Sistema!BZ166="","",Sistema!BZ166)</f>
        <v/>
      </c>
      <c r="CA166" t="str">
        <f>IF(Sistema!CA166="","",Sistema!CA166)</f>
        <v/>
      </c>
      <c r="CB166" t="str">
        <f>IF(Sistema!CB166="","",Sistema!CB166)</f>
        <v/>
      </c>
      <c r="CC166" t="str">
        <f>IF(Sistema!CC166="","",Sistema!CC166)</f>
        <v/>
      </c>
      <c r="CD166" t="str">
        <f>IF(Sistema!CD166="","",Sistema!CD166)</f>
        <v/>
      </c>
    </row>
    <row r="167" spans="1:82" x14ac:dyDescent="0.25">
      <c r="A167" t="str">
        <f>IF(Sistema!A167="","",Sistema!A167)</f>
        <v/>
      </c>
      <c r="B167" t="str">
        <f>IF(Sistema!B167="","",Sistema!B167)</f>
        <v/>
      </c>
      <c r="C167" t="str">
        <f>IF(Sistema!C167="","",Sistema!C167)</f>
        <v/>
      </c>
      <c r="D167" t="str">
        <f>IF(Sistema!D167="","",Sistema!D167)</f>
        <v/>
      </c>
      <c r="E167" t="str">
        <f>IF(Sistema!E167="","",Sistema!E167)</f>
        <v/>
      </c>
      <c r="F167">
        <f>IF(P167&gt;0,1,IF(Sistema!F167=0,-1,1))</f>
        <v>-1</v>
      </c>
      <c r="G167">
        <f>Sistema!G167</f>
        <v>0</v>
      </c>
      <c r="H167" t="str">
        <f>IF(OR(R167="notify",R167=1),"visible",IF(OR(Sistema!F167=-1,Sistema!F167=0,ISNUMBER(SEARCH("PCK",E167))),"hidden",IF(P167&gt;0,"visible","hidden")))</f>
        <v>hidden</v>
      </c>
      <c r="I167" t="str">
        <f>IF(B167="simple",IF(P167&gt;0,"",IF(R167="notify",Info!C$2,"")),IF(B167="variable",IF(P167&gt;0,"",IF(R167="notify",Info!C$4,"")),""))</f>
        <v/>
      </c>
      <c r="J167" t="str">
        <f>IF(Sistema!J167="","",Sistema!J167)</f>
        <v/>
      </c>
      <c r="M167" t="str">
        <f>IF(Sistema!M167="","",Sistema!M167)</f>
        <v/>
      </c>
      <c r="N167" s="6" t="s">
        <v>1557</v>
      </c>
      <c r="O167" s="6">
        <v>1</v>
      </c>
      <c r="P167">
        <f>Sistema!P167</f>
        <v>0</v>
      </c>
      <c r="Q167">
        <f>Sistema!Q167</f>
        <v>0</v>
      </c>
      <c r="R167">
        <f>IF(Sistema!R167=1,"notify",Sistema!R167)</f>
        <v>0</v>
      </c>
      <c r="T167" t="str">
        <f>IF(Sistema!T167="","",Sistema!T167)</f>
        <v/>
      </c>
      <c r="U167" t="str">
        <f>IF(Sistema!U167="","",Sistema!U167)</f>
        <v/>
      </c>
      <c r="V167" t="str">
        <f>IF(Sistema!V167="","",Sistema!V167)</f>
        <v/>
      </c>
      <c r="W167" t="str">
        <f>IF(Sistema!W167="","",Sistema!W167)</f>
        <v/>
      </c>
      <c r="X167" s="6">
        <v>1</v>
      </c>
      <c r="Z167" t="str">
        <f>IF(Sistema!Z167="","",Sistema!Z167)</f>
        <v/>
      </c>
      <c r="AA167" t="str">
        <f>IF(Sistema!AA167="","",Sistema!AA167)</f>
        <v/>
      </c>
      <c r="AB167" t="str">
        <f>IF(Sistema!AB167="","",IF(OR(ISNUMBER(SEARCH("MKP",E167)),ISNUMBER(SEARCH("MKP",C167))),"Marketplace &gt; "&amp;Sistema!AB167,Sistema!AB167))</f>
        <v/>
      </c>
      <c r="AC167" t="str">
        <f>IF(Sistema!AC167="","",Sistema!AC167)</f>
        <v/>
      </c>
      <c r="AE167" t="str">
        <f>IF(Sistema!AE167="","",Sistema!AE167)</f>
        <v/>
      </c>
      <c r="AH167" t="str">
        <f>IF(Sistema!AH167="","",Sistema!AH167)</f>
        <v/>
      </c>
      <c r="AQ167" t="str">
        <f>IF(Sistema!AQ167="","",Sistema!AQ167)</f>
        <v/>
      </c>
      <c r="AR167" t="str">
        <f>IF(Sistema!AR167="","",Sistema!AR167)</f>
        <v/>
      </c>
      <c r="AS167" t="str">
        <f>IF(Sistema!AS167="","",Sistema!AS167)</f>
        <v/>
      </c>
      <c r="AT167" t="str">
        <f>IF(Sistema!AT167="","",Sistema!AT167)</f>
        <v/>
      </c>
      <c r="AU167" t="str">
        <f>IF(Sistema!AU167="","",Sistema!AU167)</f>
        <v/>
      </c>
      <c r="AV167" t="str">
        <f>IF(Sistema!AV167="","",Sistema!AV167)</f>
        <v/>
      </c>
      <c r="AW167" t="str">
        <f>IF(Sistema!AW167="","",Sistema!AW167)</f>
        <v/>
      </c>
      <c r="AX167" t="str">
        <f>IF(Sistema!AX167="","",Sistema!AX167)</f>
        <v/>
      </c>
      <c r="AY167" t="str">
        <f>IF(Sistema!AY167="","",Sistema!AY167)</f>
        <v/>
      </c>
      <c r="AZ167" t="str">
        <f>IF(Sistema!AZ167="","",Sistema!AZ167)</f>
        <v/>
      </c>
      <c r="BA167" t="str">
        <f>IF(Sistema!BA167="","",Sistema!BA167)</f>
        <v/>
      </c>
      <c r="BB167" t="str">
        <f>IF(Sistema!BB167="","",Sistema!BB167)</f>
        <v/>
      </c>
      <c r="BC167" t="str">
        <f>IF(Sistema!BC167="","",Sistema!BC167)</f>
        <v/>
      </c>
      <c r="BD167" t="str">
        <f>IF(Sistema!BD167="","",Sistema!BD167)</f>
        <v/>
      </c>
      <c r="BE167" t="str">
        <f>IF(Sistema!BE167="","",Sistema!BE167)</f>
        <v/>
      </c>
      <c r="BF167" t="str">
        <f>IF(Sistema!BF167="","",Sistema!BF167)</f>
        <v/>
      </c>
      <c r="BG167" t="str">
        <f>IF(Sistema!BG167="","",Sistema!BG167)</f>
        <v/>
      </c>
      <c r="BH167" t="str">
        <f>IF(Sistema!BH167="","",Sistema!BH167)</f>
        <v/>
      </c>
      <c r="BI167" t="str">
        <f>IF(Sistema!BI167="","",Sistema!BI167)</f>
        <v/>
      </c>
      <c r="BJ167" t="str">
        <f>IF(Sistema!BJ167="","",Sistema!BJ167)</f>
        <v/>
      </c>
      <c r="BK167" t="str">
        <f>IF(Sistema!BK167="","",Sistema!BK167)</f>
        <v/>
      </c>
      <c r="BL167" t="str">
        <f>IF(Sistema!BL167="","",Sistema!BL167)</f>
        <v/>
      </c>
      <c r="BM167" t="str">
        <f>IF(Sistema!BM167="","",Sistema!BM167)</f>
        <v/>
      </c>
      <c r="BN167" t="str">
        <f>IF(Sistema!BN167="","",Sistema!BN167)</f>
        <v/>
      </c>
      <c r="BO167" t="str">
        <f>IF(Sistema!BO167="","",Sistema!BO167)</f>
        <v/>
      </c>
      <c r="BP167" t="str">
        <f>IF(Sistema!BP167="","",Sistema!BP167)</f>
        <v/>
      </c>
      <c r="BQ167" t="str">
        <f>IF(Sistema!BQ167="","",Sistema!BQ167)</f>
        <v/>
      </c>
      <c r="BR167" t="str">
        <f>IF(Sistema!BR167="","",Sistema!BR167)</f>
        <v/>
      </c>
      <c r="BS167" t="str">
        <f>IF(Sistema!BS167="","",Sistema!BS167)</f>
        <v/>
      </c>
      <c r="BT167" t="str">
        <f>IF(Sistema!BT167="","",Sistema!BT167)</f>
        <v/>
      </c>
      <c r="BU167" t="str">
        <f>IF(Sistema!BU167="","",Sistema!BU167)</f>
        <v/>
      </c>
      <c r="BV167" t="str">
        <f>IF(Sistema!BV167="","",Sistema!BV167)</f>
        <v/>
      </c>
      <c r="BW167" t="str">
        <f>IF(Sistema!BW167="","",Sistema!BW167)</f>
        <v/>
      </c>
      <c r="BX167" t="str">
        <f>IF(Sistema!BX167="","",Sistema!BX167)</f>
        <v/>
      </c>
      <c r="BY167" t="str">
        <f>IF(Sistema!BY167="","",Sistema!BY167)</f>
        <v/>
      </c>
      <c r="BZ167" t="str">
        <f>IF(Sistema!BZ167="","",Sistema!BZ167)</f>
        <v/>
      </c>
      <c r="CA167" t="str">
        <f>IF(Sistema!CA167="","",Sistema!CA167)</f>
        <v/>
      </c>
      <c r="CB167" t="str">
        <f>IF(Sistema!CB167="","",Sistema!CB167)</f>
        <v/>
      </c>
      <c r="CC167" t="str">
        <f>IF(Sistema!CC167="","",Sistema!CC167)</f>
        <v/>
      </c>
      <c r="CD167" t="str">
        <f>IF(Sistema!CD167="","",Sistema!CD167)</f>
        <v/>
      </c>
    </row>
    <row r="168" spans="1:82" x14ac:dyDescent="0.25">
      <c r="A168" t="str">
        <f>IF(Sistema!A168="","",Sistema!A168)</f>
        <v/>
      </c>
      <c r="B168" t="str">
        <f>IF(Sistema!B168="","",Sistema!B168)</f>
        <v/>
      </c>
      <c r="C168" t="str">
        <f>IF(Sistema!C168="","",Sistema!C168)</f>
        <v/>
      </c>
      <c r="D168" t="str">
        <f>IF(Sistema!D168="","",Sistema!D168)</f>
        <v/>
      </c>
      <c r="E168" t="str">
        <f>IF(Sistema!E168="","",Sistema!E168)</f>
        <v/>
      </c>
      <c r="F168">
        <f>IF(P168&gt;0,1,IF(Sistema!F168=0,-1,1))</f>
        <v>-1</v>
      </c>
      <c r="G168">
        <f>Sistema!G168</f>
        <v>0</v>
      </c>
      <c r="H168" t="str">
        <f>IF(OR(R168="notify",R168=1),"visible",IF(OR(Sistema!F168=-1,Sistema!F168=0,ISNUMBER(SEARCH("PCK",E168))),"hidden",IF(P168&gt;0,"visible","hidden")))</f>
        <v>hidden</v>
      </c>
      <c r="I168" t="str">
        <f>IF(B168="simple",IF(P168&gt;0,"",IF(R168="notify",Info!C$2,"")),IF(B168="variable",IF(P168&gt;0,"",IF(R168="notify",Info!C$4,"")),""))</f>
        <v/>
      </c>
      <c r="J168" t="str">
        <f>IF(Sistema!J168="","",Sistema!J168)</f>
        <v/>
      </c>
      <c r="M168" t="str">
        <f>IF(Sistema!M168="","",Sistema!M168)</f>
        <v/>
      </c>
      <c r="N168" s="6" t="s">
        <v>1557</v>
      </c>
      <c r="O168" s="6">
        <v>1</v>
      </c>
      <c r="P168">
        <f>Sistema!P168</f>
        <v>0</v>
      </c>
      <c r="Q168">
        <f>Sistema!Q168</f>
        <v>0</v>
      </c>
      <c r="R168">
        <f>IF(Sistema!R168=1,"notify",Sistema!R168)</f>
        <v>0</v>
      </c>
      <c r="T168" t="str">
        <f>IF(Sistema!T168="","",Sistema!T168)</f>
        <v/>
      </c>
      <c r="U168" t="str">
        <f>IF(Sistema!U168="","",Sistema!U168)</f>
        <v/>
      </c>
      <c r="V168" t="str">
        <f>IF(Sistema!V168="","",Sistema!V168)</f>
        <v/>
      </c>
      <c r="W168" t="str">
        <f>IF(Sistema!W168="","",Sistema!W168)</f>
        <v/>
      </c>
      <c r="X168" s="6">
        <v>1</v>
      </c>
      <c r="Z168" t="str">
        <f>IF(Sistema!Z168="","",Sistema!Z168)</f>
        <v/>
      </c>
      <c r="AA168" t="str">
        <f>IF(Sistema!AA168="","",Sistema!AA168)</f>
        <v/>
      </c>
      <c r="AB168" t="str">
        <f>IF(Sistema!AB168="","",IF(OR(ISNUMBER(SEARCH("MKP",E168)),ISNUMBER(SEARCH("MKP",C168))),"Marketplace &gt; "&amp;Sistema!AB168,Sistema!AB168))</f>
        <v/>
      </c>
      <c r="AC168" t="str">
        <f>IF(Sistema!AC168="","",Sistema!AC168)</f>
        <v/>
      </c>
      <c r="AE168" t="str">
        <f>IF(Sistema!AE168="","",Sistema!AE168)</f>
        <v/>
      </c>
      <c r="AH168" t="str">
        <f>IF(Sistema!AH168="","",Sistema!AH168)</f>
        <v/>
      </c>
      <c r="AQ168" t="str">
        <f>IF(Sistema!AQ168="","",Sistema!AQ168)</f>
        <v/>
      </c>
      <c r="AR168" t="str">
        <f>IF(Sistema!AR168="","",Sistema!AR168)</f>
        <v/>
      </c>
      <c r="AS168" t="str">
        <f>IF(Sistema!AS168="","",Sistema!AS168)</f>
        <v/>
      </c>
      <c r="AT168" t="str">
        <f>IF(Sistema!AT168="","",Sistema!AT168)</f>
        <v/>
      </c>
      <c r="AU168" t="str">
        <f>IF(Sistema!AU168="","",Sistema!AU168)</f>
        <v/>
      </c>
      <c r="AV168" t="str">
        <f>IF(Sistema!AV168="","",Sistema!AV168)</f>
        <v/>
      </c>
      <c r="AW168" t="str">
        <f>IF(Sistema!AW168="","",Sistema!AW168)</f>
        <v/>
      </c>
      <c r="AX168" t="str">
        <f>IF(Sistema!AX168="","",Sistema!AX168)</f>
        <v/>
      </c>
      <c r="AY168" t="str">
        <f>IF(Sistema!AY168="","",Sistema!AY168)</f>
        <v/>
      </c>
      <c r="AZ168" t="str">
        <f>IF(Sistema!AZ168="","",Sistema!AZ168)</f>
        <v/>
      </c>
      <c r="BA168" t="str">
        <f>IF(Sistema!BA168="","",Sistema!BA168)</f>
        <v/>
      </c>
      <c r="BB168" t="str">
        <f>IF(Sistema!BB168="","",Sistema!BB168)</f>
        <v/>
      </c>
      <c r="BC168" t="str">
        <f>IF(Sistema!BC168="","",Sistema!BC168)</f>
        <v/>
      </c>
      <c r="BD168" t="str">
        <f>IF(Sistema!BD168="","",Sistema!BD168)</f>
        <v/>
      </c>
      <c r="BE168" t="str">
        <f>IF(Sistema!BE168="","",Sistema!BE168)</f>
        <v/>
      </c>
      <c r="BF168" t="str">
        <f>IF(Sistema!BF168="","",Sistema!BF168)</f>
        <v/>
      </c>
      <c r="BG168" t="str">
        <f>IF(Sistema!BG168="","",Sistema!BG168)</f>
        <v/>
      </c>
      <c r="BH168" t="str">
        <f>IF(Sistema!BH168="","",Sistema!BH168)</f>
        <v/>
      </c>
      <c r="BI168" t="str">
        <f>IF(Sistema!BI168="","",Sistema!BI168)</f>
        <v/>
      </c>
      <c r="BJ168" t="str">
        <f>IF(Sistema!BJ168="","",Sistema!BJ168)</f>
        <v/>
      </c>
      <c r="BK168" t="str">
        <f>IF(Sistema!BK168="","",Sistema!BK168)</f>
        <v/>
      </c>
      <c r="BL168" t="str">
        <f>IF(Sistema!BL168="","",Sistema!BL168)</f>
        <v/>
      </c>
      <c r="BM168" t="str">
        <f>IF(Sistema!BM168="","",Sistema!BM168)</f>
        <v/>
      </c>
      <c r="BN168" t="str">
        <f>IF(Sistema!BN168="","",Sistema!BN168)</f>
        <v/>
      </c>
      <c r="BO168" t="str">
        <f>IF(Sistema!BO168="","",Sistema!BO168)</f>
        <v/>
      </c>
      <c r="BP168" t="str">
        <f>IF(Sistema!BP168="","",Sistema!BP168)</f>
        <v/>
      </c>
      <c r="BQ168" t="str">
        <f>IF(Sistema!BQ168="","",Sistema!BQ168)</f>
        <v/>
      </c>
      <c r="BR168" t="str">
        <f>IF(Sistema!BR168="","",Sistema!BR168)</f>
        <v/>
      </c>
      <c r="BS168" t="str">
        <f>IF(Sistema!BS168="","",Sistema!BS168)</f>
        <v/>
      </c>
      <c r="BT168" t="str">
        <f>IF(Sistema!BT168="","",Sistema!BT168)</f>
        <v/>
      </c>
      <c r="BU168" t="str">
        <f>IF(Sistema!BU168="","",Sistema!BU168)</f>
        <v/>
      </c>
      <c r="BV168" t="str">
        <f>IF(Sistema!BV168="","",Sistema!BV168)</f>
        <v/>
      </c>
      <c r="BW168" t="str">
        <f>IF(Sistema!BW168="","",Sistema!BW168)</f>
        <v/>
      </c>
      <c r="BX168" t="str">
        <f>IF(Sistema!BX168="","",Sistema!BX168)</f>
        <v/>
      </c>
      <c r="BY168" t="str">
        <f>IF(Sistema!BY168="","",Sistema!BY168)</f>
        <v/>
      </c>
      <c r="BZ168" t="str">
        <f>IF(Sistema!BZ168="","",Sistema!BZ168)</f>
        <v/>
      </c>
      <c r="CA168" t="str">
        <f>IF(Sistema!CA168="","",Sistema!CA168)</f>
        <v/>
      </c>
      <c r="CB168" t="str">
        <f>IF(Sistema!CB168="","",Sistema!CB168)</f>
        <v/>
      </c>
      <c r="CC168" t="str">
        <f>IF(Sistema!CC168="","",Sistema!CC168)</f>
        <v/>
      </c>
      <c r="CD168" t="str">
        <f>IF(Sistema!CD168="","",Sistema!CD168)</f>
        <v/>
      </c>
    </row>
    <row r="169" spans="1:82" x14ac:dyDescent="0.25">
      <c r="A169" t="str">
        <f>IF(Sistema!A169="","",Sistema!A169)</f>
        <v/>
      </c>
      <c r="B169" t="str">
        <f>IF(Sistema!B169="","",Sistema!B169)</f>
        <v/>
      </c>
      <c r="C169" t="str">
        <f>IF(Sistema!C169="","",Sistema!C169)</f>
        <v/>
      </c>
      <c r="D169" t="str">
        <f>IF(Sistema!D169="","",Sistema!D169)</f>
        <v/>
      </c>
      <c r="E169" t="str">
        <f>IF(Sistema!E169="","",Sistema!E169)</f>
        <v/>
      </c>
      <c r="F169">
        <f>IF(P169&gt;0,1,IF(Sistema!F169=0,-1,1))</f>
        <v>-1</v>
      </c>
      <c r="G169">
        <f>Sistema!G169</f>
        <v>0</v>
      </c>
      <c r="H169" t="str">
        <f>IF(OR(R169="notify",R169=1),"visible",IF(OR(Sistema!F169=-1,Sistema!F169=0,ISNUMBER(SEARCH("PCK",E169))),"hidden",IF(P169&gt;0,"visible","hidden")))</f>
        <v>hidden</v>
      </c>
      <c r="I169" t="str">
        <f>IF(B169="simple",IF(P169&gt;0,"",IF(R169="notify",Info!C$2,"")),IF(B169="variable",IF(P169&gt;0,"",IF(R169="notify",Info!C$4,"")),""))</f>
        <v/>
      </c>
      <c r="J169" t="str">
        <f>IF(Sistema!J169="","",Sistema!J169)</f>
        <v/>
      </c>
      <c r="M169" t="str">
        <f>IF(Sistema!M169="","",Sistema!M169)</f>
        <v/>
      </c>
      <c r="N169" s="6" t="s">
        <v>1557</v>
      </c>
      <c r="O169" s="6">
        <v>1</v>
      </c>
      <c r="P169">
        <f>Sistema!P169</f>
        <v>0</v>
      </c>
      <c r="Q169">
        <f>Sistema!Q169</f>
        <v>0</v>
      </c>
      <c r="R169">
        <f>IF(Sistema!R169=1,"notify",Sistema!R169)</f>
        <v>0</v>
      </c>
      <c r="T169" t="str">
        <f>IF(Sistema!T169="","",Sistema!T169)</f>
        <v/>
      </c>
      <c r="U169" t="str">
        <f>IF(Sistema!U169="","",Sistema!U169)</f>
        <v/>
      </c>
      <c r="V169" t="str">
        <f>IF(Sistema!V169="","",Sistema!V169)</f>
        <v/>
      </c>
      <c r="W169" t="str">
        <f>IF(Sistema!W169="","",Sistema!W169)</f>
        <v/>
      </c>
      <c r="X169" s="6">
        <v>1</v>
      </c>
      <c r="Z169" t="str">
        <f>IF(Sistema!Z169="","",Sistema!Z169)</f>
        <v/>
      </c>
      <c r="AA169" t="str">
        <f>IF(Sistema!AA169="","",Sistema!AA169)</f>
        <v/>
      </c>
      <c r="AB169" t="str">
        <f>IF(Sistema!AB169="","",IF(OR(ISNUMBER(SEARCH("MKP",E169)),ISNUMBER(SEARCH("MKP",C169))),"Marketplace &gt; "&amp;Sistema!AB169,Sistema!AB169))</f>
        <v/>
      </c>
      <c r="AC169" t="str">
        <f>IF(Sistema!AC169="","",Sistema!AC169)</f>
        <v/>
      </c>
      <c r="AE169" t="str">
        <f>IF(Sistema!AE169="","",Sistema!AE169)</f>
        <v/>
      </c>
      <c r="AH169" t="str">
        <f>IF(Sistema!AH169="","",Sistema!AH169)</f>
        <v/>
      </c>
      <c r="AQ169" t="str">
        <f>IF(Sistema!AQ169="","",Sistema!AQ169)</f>
        <v/>
      </c>
      <c r="AR169" t="str">
        <f>IF(Sistema!AR169="","",Sistema!AR169)</f>
        <v/>
      </c>
      <c r="AS169" t="str">
        <f>IF(Sistema!AS169="","",Sistema!AS169)</f>
        <v/>
      </c>
      <c r="AT169" t="str">
        <f>IF(Sistema!AT169="","",Sistema!AT169)</f>
        <v/>
      </c>
      <c r="AU169" t="str">
        <f>IF(Sistema!AU169="","",Sistema!AU169)</f>
        <v/>
      </c>
      <c r="AV169" t="str">
        <f>IF(Sistema!AV169="","",Sistema!AV169)</f>
        <v/>
      </c>
      <c r="AW169" t="str">
        <f>IF(Sistema!AW169="","",Sistema!AW169)</f>
        <v/>
      </c>
      <c r="AX169" t="str">
        <f>IF(Sistema!AX169="","",Sistema!AX169)</f>
        <v/>
      </c>
      <c r="AY169" t="str">
        <f>IF(Sistema!AY169="","",Sistema!AY169)</f>
        <v/>
      </c>
      <c r="AZ169" t="str">
        <f>IF(Sistema!AZ169="","",Sistema!AZ169)</f>
        <v/>
      </c>
      <c r="BA169" t="str">
        <f>IF(Sistema!BA169="","",Sistema!BA169)</f>
        <v/>
      </c>
      <c r="BB169" t="str">
        <f>IF(Sistema!BB169="","",Sistema!BB169)</f>
        <v/>
      </c>
      <c r="BC169" t="str">
        <f>IF(Sistema!BC169="","",Sistema!BC169)</f>
        <v/>
      </c>
      <c r="BD169" t="str">
        <f>IF(Sistema!BD169="","",Sistema!BD169)</f>
        <v/>
      </c>
      <c r="BE169" t="str">
        <f>IF(Sistema!BE169="","",Sistema!BE169)</f>
        <v/>
      </c>
      <c r="BF169" t="str">
        <f>IF(Sistema!BF169="","",Sistema!BF169)</f>
        <v/>
      </c>
      <c r="BG169" t="str">
        <f>IF(Sistema!BG169="","",Sistema!BG169)</f>
        <v/>
      </c>
      <c r="BH169" t="str">
        <f>IF(Sistema!BH169="","",Sistema!BH169)</f>
        <v/>
      </c>
      <c r="BI169" t="str">
        <f>IF(Sistema!BI169="","",Sistema!BI169)</f>
        <v/>
      </c>
      <c r="BJ169" t="str">
        <f>IF(Sistema!BJ169="","",Sistema!BJ169)</f>
        <v/>
      </c>
      <c r="BK169" t="str">
        <f>IF(Sistema!BK169="","",Sistema!BK169)</f>
        <v/>
      </c>
      <c r="BL169" t="str">
        <f>IF(Sistema!BL169="","",Sistema!BL169)</f>
        <v/>
      </c>
      <c r="BM169" t="str">
        <f>IF(Sistema!BM169="","",Sistema!BM169)</f>
        <v/>
      </c>
      <c r="BN169" t="str">
        <f>IF(Sistema!BN169="","",Sistema!BN169)</f>
        <v/>
      </c>
      <c r="BO169" t="str">
        <f>IF(Sistema!BO169="","",Sistema!BO169)</f>
        <v/>
      </c>
      <c r="BP169" t="str">
        <f>IF(Sistema!BP169="","",Sistema!BP169)</f>
        <v/>
      </c>
      <c r="BQ169" t="str">
        <f>IF(Sistema!BQ169="","",Sistema!BQ169)</f>
        <v/>
      </c>
      <c r="BR169" t="str">
        <f>IF(Sistema!BR169="","",Sistema!BR169)</f>
        <v/>
      </c>
      <c r="BS169" t="str">
        <f>IF(Sistema!BS169="","",Sistema!BS169)</f>
        <v/>
      </c>
      <c r="BT169" t="str">
        <f>IF(Sistema!BT169="","",Sistema!BT169)</f>
        <v/>
      </c>
      <c r="BU169" t="str">
        <f>IF(Sistema!BU169="","",Sistema!BU169)</f>
        <v/>
      </c>
      <c r="BV169" t="str">
        <f>IF(Sistema!BV169="","",Sistema!BV169)</f>
        <v/>
      </c>
      <c r="BW169" t="str">
        <f>IF(Sistema!BW169="","",Sistema!BW169)</f>
        <v/>
      </c>
      <c r="BX169" t="str">
        <f>IF(Sistema!BX169="","",Sistema!BX169)</f>
        <v/>
      </c>
      <c r="BY169" t="str">
        <f>IF(Sistema!BY169="","",Sistema!BY169)</f>
        <v/>
      </c>
      <c r="BZ169" t="str">
        <f>IF(Sistema!BZ169="","",Sistema!BZ169)</f>
        <v/>
      </c>
      <c r="CA169" t="str">
        <f>IF(Sistema!CA169="","",Sistema!CA169)</f>
        <v/>
      </c>
      <c r="CB169" t="str">
        <f>IF(Sistema!CB169="","",Sistema!CB169)</f>
        <v/>
      </c>
      <c r="CC169" t="str">
        <f>IF(Sistema!CC169="","",Sistema!CC169)</f>
        <v/>
      </c>
      <c r="CD169" t="str">
        <f>IF(Sistema!CD169="","",Sistema!CD169)</f>
        <v/>
      </c>
    </row>
    <row r="170" spans="1:82" x14ac:dyDescent="0.25">
      <c r="A170" t="str">
        <f>IF(Sistema!A170="","",Sistema!A170)</f>
        <v/>
      </c>
      <c r="B170" t="str">
        <f>IF(Sistema!B170="","",Sistema!B170)</f>
        <v/>
      </c>
      <c r="C170" t="str">
        <f>IF(Sistema!C170="","",Sistema!C170)</f>
        <v/>
      </c>
      <c r="D170" t="str">
        <f>IF(Sistema!D170="","",Sistema!D170)</f>
        <v/>
      </c>
      <c r="E170" t="str">
        <f>IF(Sistema!E170="","",Sistema!E170)</f>
        <v/>
      </c>
      <c r="F170">
        <f>IF(P170&gt;0,1,IF(Sistema!F170=0,-1,1))</f>
        <v>-1</v>
      </c>
      <c r="G170">
        <f>Sistema!G170</f>
        <v>0</v>
      </c>
      <c r="H170" t="str">
        <f>IF(OR(R170="notify",R170=1),"visible",IF(OR(Sistema!F170=-1,Sistema!F170=0,ISNUMBER(SEARCH("PCK",E170))),"hidden",IF(P170&gt;0,"visible","hidden")))</f>
        <v>hidden</v>
      </c>
      <c r="I170" t="str">
        <f>IF(B170="simple",IF(P170&gt;0,"",IF(R170="notify",Info!C$2,"")),IF(B170="variable",IF(P170&gt;0,"",IF(R170="notify",Info!C$4,"")),""))</f>
        <v/>
      </c>
      <c r="J170" t="str">
        <f>IF(Sistema!J170="","",Sistema!J170)</f>
        <v/>
      </c>
      <c r="M170" t="str">
        <f>IF(Sistema!M170="","",Sistema!M170)</f>
        <v/>
      </c>
      <c r="N170" s="6" t="s">
        <v>1557</v>
      </c>
      <c r="O170" s="6">
        <v>1</v>
      </c>
      <c r="P170">
        <f>Sistema!P170</f>
        <v>0</v>
      </c>
      <c r="Q170">
        <f>Sistema!Q170</f>
        <v>0</v>
      </c>
      <c r="R170">
        <f>IF(Sistema!R170=1,"notify",Sistema!R170)</f>
        <v>0</v>
      </c>
      <c r="T170" t="str">
        <f>IF(Sistema!T170="","",Sistema!T170)</f>
        <v/>
      </c>
      <c r="U170" t="str">
        <f>IF(Sistema!U170="","",Sistema!U170)</f>
        <v/>
      </c>
      <c r="V170" t="str">
        <f>IF(Sistema!V170="","",Sistema!V170)</f>
        <v/>
      </c>
      <c r="W170" t="str">
        <f>IF(Sistema!W170="","",Sistema!W170)</f>
        <v/>
      </c>
      <c r="X170" s="6">
        <v>1</v>
      </c>
      <c r="Z170" t="str">
        <f>IF(Sistema!Z170="","",Sistema!Z170)</f>
        <v/>
      </c>
      <c r="AA170" t="str">
        <f>IF(Sistema!AA170="","",Sistema!AA170)</f>
        <v/>
      </c>
      <c r="AB170" t="str">
        <f>IF(Sistema!AB170="","",IF(OR(ISNUMBER(SEARCH("MKP",E170)),ISNUMBER(SEARCH("MKP",C170))),"Marketplace &gt; "&amp;Sistema!AB170,Sistema!AB170))</f>
        <v/>
      </c>
      <c r="AC170" t="str">
        <f>IF(Sistema!AC170="","",Sistema!AC170)</f>
        <v/>
      </c>
      <c r="AE170" t="str">
        <f>IF(Sistema!AE170="","",Sistema!AE170)</f>
        <v/>
      </c>
      <c r="AH170" t="str">
        <f>IF(Sistema!AH170="","",Sistema!AH170)</f>
        <v/>
      </c>
      <c r="AQ170" t="str">
        <f>IF(Sistema!AQ170="","",Sistema!AQ170)</f>
        <v/>
      </c>
      <c r="AR170" t="str">
        <f>IF(Sistema!AR170="","",Sistema!AR170)</f>
        <v/>
      </c>
      <c r="AS170" t="str">
        <f>IF(Sistema!AS170="","",Sistema!AS170)</f>
        <v/>
      </c>
      <c r="AT170" t="str">
        <f>IF(Sistema!AT170="","",Sistema!AT170)</f>
        <v/>
      </c>
      <c r="AU170" t="str">
        <f>IF(Sistema!AU170="","",Sistema!AU170)</f>
        <v/>
      </c>
      <c r="AV170" t="str">
        <f>IF(Sistema!AV170="","",Sistema!AV170)</f>
        <v/>
      </c>
      <c r="AW170" t="str">
        <f>IF(Sistema!AW170="","",Sistema!AW170)</f>
        <v/>
      </c>
      <c r="AX170" t="str">
        <f>IF(Sistema!AX170="","",Sistema!AX170)</f>
        <v/>
      </c>
      <c r="AY170" t="str">
        <f>IF(Sistema!AY170="","",Sistema!AY170)</f>
        <v/>
      </c>
      <c r="AZ170" t="str">
        <f>IF(Sistema!AZ170="","",Sistema!AZ170)</f>
        <v/>
      </c>
      <c r="BA170" t="str">
        <f>IF(Sistema!BA170="","",Sistema!BA170)</f>
        <v/>
      </c>
      <c r="BB170" t="str">
        <f>IF(Sistema!BB170="","",Sistema!BB170)</f>
        <v/>
      </c>
      <c r="BC170" t="str">
        <f>IF(Sistema!BC170="","",Sistema!BC170)</f>
        <v/>
      </c>
      <c r="BD170" t="str">
        <f>IF(Sistema!BD170="","",Sistema!BD170)</f>
        <v/>
      </c>
      <c r="BE170" t="str">
        <f>IF(Sistema!BE170="","",Sistema!BE170)</f>
        <v/>
      </c>
      <c r="BF170" t="str">
        <f>IF(Sistema!BF170="","",Sistema!BF170)</f>
        <v/>
      </c>
      <c r="BG170" t="str">
        <f>IF(Sistema!BG170="","",Sistema!BG170)</f>
        <v/>
      </c>
      <c r="BH170" t="str">
        <f>IF(Sistema!BH170="","",Sistema!BH170)</f>
        <v/>
      </c>
      <c r="BI170" t="str">
        <f>IF(Sistema!BI170="","",Sistema!BI170)</f>
        <v/>
      </c>
      <c r="BJ170" t="str">
        <f>IF(Sistema!BJ170="","",Sistema!BJ170)</f>
        <v/>
      </c>
      <c r="BK170" t="str">
        <f>IF(Sistema!BK170="","",Sistema!BK170)</f>
        <v/>
      </c>
      <c r="BL170" t="str">
        <f>IF(Sistema!BL170="","",Sistema!BL170)</f>
        <v/>
      </c>
      <c r="BM170" t="str">
        <f>IF(Sistema!BM170="","",Sistema!BM170)</f>
        <v/>
      </c>
      <c r="BN170" t="str">
        <f>IF(Sistema!BN170="","",Sistema!BN170)</f>
        <v/>
      </c>
      <c r="BO170" t="str">
        <f>IF(Sistema!BO170="","",Sistema!BO170)</f>
        <v/>
      </c>
      <c r="BP170" t="str">
        <f>IF(Sistema!BP170="","",Sistema!BP170)</f>
        <v/>
      </c>
      <c r="BQ170" t="str">
        <f>IF(Sistema!BQ170="","",Sistema!BQ170)</f>
        <v/>
      </c>
      <c r="BR170" t="str">
        <f>IF(Sistema!BR170="","",Sistema!BR170)</f>
        <v/>
      </c>
      <c r="BS170" t="str">
        <f>IF(Sistema!BS170="","",Sistema!BS170)</f>
        <v/>
      </c>
      <c r="BT170" t="str">
        <f>IF(Sistema!BT170="","",Sistema!BT170)</f>
        <v/>
      </c>
      <c r="BU170" t="str">
        <f>IF(Sistema!BU170="","",Sistema!BU170)</f>
        <v/>
      </c>
      <c r="BV170" t="str">
        <f>IF(Sistema!BV170="","",Sistema!BV170)</f>
        <v/>
      </c>
      <c r="BW170" t="str">
        <f>IF(Sistema!BW170="","",Sistema!BW170)</f>
        <v/>
      </c>
      <c r="BX170" t="str">
        <f>IF(Sistema!BX170="","",Sistema!BX170)</f>
        <v/>
      </c>
      <c r="BY170" t="str">
        <f>IF(Sistema!BY170="","",Sistema!BY170)</f>
        <v/>
      </c>
      <c r="BZ170" t="str">
        <f>IF(Sistema!BZ170="","",Sistema!BZ170)</f>
        <v/>
      </c>
      <c r="CA170" t="str">
        <f>IF(Sistema!CA170="","",Sistema!CA170)</f>
        <v/>
      </c>
      <c r="CB170" t="str">
        <f>IF(Sistema!CB170="","",Sistema!CB170)</f>
        <v/>
      </c>
      <c r="CC170" t="str">
        <f>IF(Sistema!CC170="","",Sistema!CC170)</f>
        <v/>
      </c>
      <c r="CD170" t="str">
        <f>IF(Sistema!CD170="","",Sistema!CD170)</f>
        <v/>
      </c>
    </row>
    <row r="171" spans="1:82" x14ac:dyDescent="0.25">
      <c r="A171" t="str">
        <f>IF(Sistema!A171="","",Sistema!A171)</f>
        <v/>
      </c>
      <c r="B171" t="str">
        <f>IF(Sistema!B171="","",Sistema!B171)</f>
        <v/>
      </c>
      <c r="C171" t="str">
        <f>IF(Sistema!C171="","",Sistema!C171)</f>
        <v/>
      </c>
      <c r="D171" t="str">
        <f>IF(Sistema!D171="","",Sistema!D171)</f>
        <v/>
      </c>
      <c r="E171" t="str">
        <f>IF(Sistema!E171="","",Sistema!E171)</f>
        <v/>
      </c>
      <c r="F171">
        <f>IF(P171&gt;0,1,IF(Sistema!F171=0,-1,1))</f>
        <v>-1</v>
      </c>
      <c r="G171">
        <f>Sistema!G171</f>
        <v>0</v>
      </c>
      <c r="H171" t="str">
        <f>IF(OR(R171="notify",R171=1),"visible",IF(OR(Sistema!F171=-1,Sistema!F171=0,ISNUMBER(SEARCH("PCK",E171))),"hidden",IF(P171&gt;0,"visible","hidden")))</f>
        <v>hidden</v>
      </c>
      <c r="I171" t="str">
        <f>IF(B171="simple",IF(P171&gt;0,"",IF(R171="notify",Info!C$2,"")),IF(B171="variable",IF(P171&gt;0,"",IF(R171="notify",Info!C$4,"")),""))</f>
        <v/>
      </c>
      <c r="J171" t="str">
        <f>IF(Sistema!J171="","",Sistema!J171)</f>
        <v/>
      </c>
      <c r="M171" t="str">
        <f>IF(Sistema!M171="","",Sistema!M171)</f>
        <v/>
      </c>
      <c r="N171" s="6" t="s">
        <v>1557</v>
      </c>
      <c r="O171" s="6">
        <v>1</v>
      </c>
      <c r="P171">
        <f>Sistema!P171</f>
        <v>0</v>
      </c>
      <c r="Q171">
        <f>Sistema!Q171</f>
        <v>0</v>
      </c>
      <c r="R171">
        <f>IF(Sistema!R171=1,"notify",Sistema!R171)</f>
        <v>0</v>
      </c>
      <c r="T171" t="str">
        <f>IF(Sistema!T171="","",Sistema!T171)</f>
        <v/>
      </c>
      <c r="U171" t="str">
        <f>IF(Sistema!U171="","",Sistema!U171)</f>
        <v/>
      </c>
      <c r="V171" t="str">
        <f>IF(Sistema!V171="","",Sistema!V171)</f>
        <v/>
      </c>
      <c r="W171" t="str">
        <f>IF(Sistema!W171="","",Sistema!W171)</f>
        <v/>
      </c>
      <c r="X171" s="6">
        <v>1</v>
      </c>
      <c r="Z171" t="str">
        <f>IF(Sistema!Z171="","",Sistema!Z171)</f>
        <v/>
      </c>
      <c r="AA171" t="str">
        <f>IF(Sistema!AA171="","",Sistema!AA171)</f>
        <v/>
      </c>
      <c r="AB171" t="str">
        <f>IF(Sistema!AB171="","",IF(OR(ISNUMBER(SEARCH("MKP",E171)),ISNUMBER(SEARCH("MKP",C171))),"Marketplace &gt; "&amp;Sistema!AB171,Sistema!AB171))</f>
        <v/>
      </c>
      <c r="AC171" t="str">
        <f>IF(Sistema!AC171="","",Sistema!AC171)</f>
        <v/>
      </c>
      <c r="AE171" t="str">
        <f>IF(Sistema!AE171="","",Sistema!AE171)</f>
        <v/>
      </c>
      <c r="AH171" t="str">
        <f>IF(Sistema!AH171="","",Sistema!AH171)</f>
        <v/>
      </c>
      <c r="AQ171" t="str">
        <f>IF(Sistema!AQ171="","",Sistema!AQ171)</f>
        <v/>
      </c>
      <c r="AR171" t="str">
        <f>IF(Sistema!AR171="","",Sistema!AR171)</f>
        <v/>
      </c>
      <c r="AS171" t="str">
        <f>IF(Sistema!AS171="","",Sistema!AS171)</f>
        <v/>
      </c>
      <c r="AT171" t="str">
        <f>IF(Sistema!AT171="","",Sistema!AT171)</f>
        <v/>
      </c>
      <c r="AU171" t="str">
        <f>IF(Sistema!AU171="","",Sistema!AU171)</f>
        <v/>
      </c>
      <c r="AV171" t="str">
        <f>IF(Sistema!AV171="","",Sistema!AV171)</f>
        <v/>
      </c>
      <c r="AW171" t="str">
        <f>IF(Sistema!AW171="","",Sistema!AW171)</f>
        <v/>
      </c>
      <c r="AX171" t="str">
        <f>IF(Sistema!AX171="","",Sistema!AX171)</f>
        <v/>
      </c>
      <c r="AY171" t="str">
        <f>IF(Sistema!AY171="","",Sistema!AY171)</f>
        <v/>
      </c>
      <c r="AZ171" t="str">
        <f>IF(Sistema!AZ171="","",Sistema!AZ171)</f>
        <v/>
      </c>
      <c r="BA171" t="str">
        <f>IF(Sistema!BA171="","",Sistema!BA171)</f>
        <v/>
      </c>
      <c r="BB171" t="str">
        <f>IF(Sistema!BB171="","",Sistema!BB171)</f>
        <v/>
      </c>
      <c r="BC171" t="str">
        <f>IF(Sistema!BC171="","",Sistema!BC171)</f>
        <v/>
      </c>
      <c r="BD171" t="str">
        <f>IF(Sistema!BD171="","",Sistema!BD171)</f>
        <v/>
      </c>
      <c r="BE171" t="str">
        <f>IF(Sistema!BE171="","",Sistema!BE171)</f>
        <v/>
      </c>
      <c r="BF171" t="str">
        <f>IF(Sistema!BF171="","",Sistema!BF171)</f>
        <v/>
      </c>
      <c r="BG171" t="str">
        <f>IF(Sistema!BG171="","",Sistema!BG171)</f>
        <v/>
      </c>
      <c r="BH171" t="str">
        <f>IF(Sistema!BH171="","",Sistema!BH171)</f>
        <v/>
      </c>
      <c r="BI171" t="str">
        <f>IF(Sistema!BI171="","",Sistema!BI171)</f>
        <v/>
      </c>
      <c r="BJ171" t="str">
        <f>IF(Sistema!BJ171="","",Sistema!BJ171)</f>
        <v/>
      </c>
      <c r="BK171" t="str">
        <f>IF(Sistema!BK171="","",Sistema!BK171)</f>
        <v/>
      </c>
      <c r="BL171" t="str">
        <f>IF(Sistema!BL171="","",Sistema!BL171)</f>
        <v/>
      </c>
      <c r="BM171" t="str">
        <f>IF(Sistema!BM171="","",Sistema!BM171)</f>
        <v/>
      </c>
      <c r="BN171" t="str">
        <f>IF(Sistema!BN171="","",Sistema!BN171)</f>
        <v/>
      </c>
      <c r="BO171" t="str">
        <f>IF(Sistema!BO171="","",Sistema!BO171)</f>
        <v/>
      </c>
      <c r="BP171" t="str">
        <f>IF(Sistema!BP171="","",Sistema!BP171)</f>
        <v/>
      </c>
      <c r="BQ171" t="str">
        <f>IF(Sistema!BQ171="","",Sistema!BQ171)</f>
        <v/>
      </c>
      <c r="BR171" t="str">
        <f>IF(Sistema!BR171="","",Sistema!BR171)</f>
        <v/>
      </c>
      <c r="BS171" t="str">
        <f>IF(Sistema!BS171="","",Sistema!BS171)</f>
        <v/>
      </c>
      <c r="BT171" t="str">
        <f>IF(Sistema!BT171="","",Sistema!BT171)</f>
        <v/>
      </c>
      <c r="BU171" t="str">
        <f>IF(Sistema!BU171="","",Sistema!BU171)</f>
        <v/>
      </c>
      <c r="BV171" t="str">
        <f>IF(Sistema!BV171="","",Sistema!BV171)</f>
        <v/>
      </c>
      <c r="BW171" t="str">
        <f>IF(Sistema!BW171="","",Sistema!BW171)</f>
        <v/>
      </c>
      <c r="BX171" t="str">
        <f>IF(Sistema!BX171="","",Sistema!BX171)</f>
        <v/>
      </c>
      <c r="BY171" t="str">
        <f>IF(Sistema!BY171="","",Sistema!BY171)</f>
        <v/>
      </c>
      <c r="BZ171" t="str">
        <f>IF(Sistema!BZ171="","",Sistema!BZ171)</f>
        <v/>
      </c>
      <c r="CA171" t="str">
        <f>IF(Sistema!CA171="","",Sistema!CA171)</f>
        <v/>
      </c>
      <c r="CB171" t="str">
        <f>IF(Sistema!CB171="","",Sistema!CB171)</f>
        <v/>
      </c>
      <c r="CC171" t="str">
        <f>IF(Sistema!CC171="","",Sistema!CC171)</f>
        <v/>
      </c>
      <c r="CD171" t="str">
        <f>IF(Sistema!CD171="","",Sistema!CD171)</f>
        <v/>
      </c>
    </row>
    <row r="172" spans="1:82" x14ac:dyDescent="0.25">
      <c r="A172" t="str">
        <f>IF(Sistema!A172="","",Sistema!A172)</f>
        <v/>
      </c>
      <c r="B172" t="str">
        <f>IF(Sistema!B172="","",Sistema!B172)</f>
        <v/>
      </c>
      <c r="C172" t="str">
        <f>IF(Sistema!C172="","",Sistema!C172)</f>
        <v/>
      </c>
      <c r="D172" t="str">
        <f>IF(Sistema!D172="","",Sistema!D172)</f>
        <v/>
      </c>
      <c r="E172" t="str">
        <f>IF(Sistema!E172="","",Sistema!E172)</f>
        <v/>
      </c>
      <c r="F172">
        <f>IF(P172&gt;0,1,IF(Sistema!F172=0,-1,1))</f>
        <v>-1</v>
      </c>
      <c r="G172">
        <f>Sistema!G172</f>
        <v>0</v>
      </c>
      <c r="H172" t="str">
        <f>IF(OR(R172="notify",R172=1),"visible",IF(OR(Sistema!F172=-1,Sistema!F172=0,ISNUMBER(SEARCH("PCK",E172))),"hidden",IF(P172&gt;0,"visible","hidden")))</f>
        <v>hidden</v>
      </c>
      <c r="I172" t="str">
        <f>IF(B172="simple",IF(P172&gt;0,"",IF(R172="notify",Info!C$2,"")),IF(B172="variable",IF(P172&gt;0,"",IF(R172="notify",Info!C$4,"")),""))</f>
        <v/>
      </c>
      <c r="J172" t="str">
        <f>IF(Sistema!J172="","",Sistema!J172)</f>
        <v/>
      </c>
      <c r="M172" t="str">
        <f>IF(Sistema!M172="","",Sistema!M172)</f>
        <v/>
      </c>
      <c r="N172" s="6" t="s">
        <v>1557</v>
      </c>
      <c r="O172" s="6">
        <v>1</v>
      </c>
      <c r="P172">
        <f>Sistema!P172</f>
        <v>0</v>
      </c>
      <c r="Q172">
        <f>Sistema!Q172</f>
        <v>0</v>
      </c>
      <c r="R172">
        <f>IF(Sistema!R172=1,"notify",Sistema!R172)</f>
        <v>0</v>
      </c>
      <c r="T172" t="str">
        <f>IF(Sistema!T172="","",Sistema!T172)</f>
        <v/>
      </c>
      <c r="U172" t="str">
        <f>IF(Sistema!U172="","",Sistema!U172)</f>
        <v/>
      </c>
      <c r="V172" t="str">
        <f>IF(Sistema!V172="","",Sistema!V172)</f>
        <v/>
      </c>
      <c r="W172" t="str">
        <f>IF(Sistema!W172="","",Sistema!W172)</f>
        <v/>
      </c>
      <c r="X172" s="6">
        <v>1</v>
      </c>
      <c r="Z172" t="str">
        <f>IF(Sistema!Z172="","",Sistema!Z172)</f>
        <v/>
      </c>
      <c r="AA172" t="str">
        <f>IF(Sistema!AA172="","",Sistema!AA172)</f>
        <v/>
      </c>
      <c r="AB172" t="str">
        <f>IF(Sistema!AB172="","",IF(OR(ISNUMBER(SEARCH("MKP",E172)),ISNUMBER(SEARCH("MKP",C172))),"Marketplace &gt; "&amp;Sistema!AB172,Sistema!AB172))</f>
        <v/>
      </c>
      <c r="AC172" t="str">
        <f>IF(Sistema!AC172="","",Sistema!AC172)</f>
        <v/>
      </c>
      <c r="AE172" t="str">
        <f>IF(Sistema!AE172="","",Sistema!AE172)</f>
        <v/>
      </c>
      <c r="AH172" t="str">
        <f>IF(Sistema!AH172="","",Sistema!AH172)</f>
        <v/>
      </c>
      <c r="AQ172" t="str">
        <f>IF(Sistema!AQ172="","",Sistema!AQ172)</f>
        <v/>
      </c>
      <c r="AR172" t="str">
        <f>IF(Sistema!AR172="","",Sistema!AR172)</f>
        <v/>
      </c>
      <c r="AS172" t="str">
        <f>IF(Sistema!AS172="","",Sistema!AS172)</f>
        <v/>
      </c>
      <c r="AT172" t="str">
        <f>IF(Sistema!AT172="","",Sistema!AT172)</f>
        <v/>
      </c>
      <c r="AU172" t="str">
        <f>IF(Sistema!AU172="","",Sistema!AU172)</f>
        <v/>
      </c>
      <c r="AV172" t="str">
        <f>IF(Sistema!AV172="","",Sistema!AV172)</f>
        <v/>
      </c>
      <c r="AW172" t="str">
        <f>IF(Sistema!AW172="","",Sistema!AW172)</f>
        <v/>
      </c>
      <c r="AX172" t="str">
        <f>IF(Sistema!AX172="","",Sistema!AX172)</f>
        <v/>
      </c>
      <c r="AY172" t="str">
        <f>IF(Sistema!AY172="","",Sistema!AY172)</f>
        <v/>
      </c>
      <c r="AZ172" t="str">
        <f>IF(Sistema!AZ172="","",Sistema!AZ172)</f>
        <v/>
      </c>
      <c r="BA172" t="str">
        <f>IF(Sistema!BA172="","",Sistema!BA172)</f>
        <v/>
      </c>
      <c r="BB172" t="str">
        <f>IF(Sistema!BB172="","",Sistema!BB172)</f>
        <v/>
      </c>
      <c r="BC172" t="str">
        <f>IF(Sistema!BC172="","",Sistema!BC172)</f>
        <v/>
      </c>
      <c r="BD172" t="str">
        <f>IF(Sistema!BD172="","",Sistema!BD172)</f>
        <v/>
      </c>
      <c r="BE172" t="str">
        <f>IF(Sistema!BE172="","",Sistema!BE172)</f>
        <v/>
      </c>
      <c r="BF172" t="str">
        <f>IF(Sistema!BF172="","",Sistema!BF172)</f>
        <v/>
      </c>
      <c r="BG172" t="str">
        <f>IF(Sistema!BG172="","",Sistema!BG172)</f>
        <v/>
      </c>
      <c r="BH172" t="str">
        <f>IF(Sistema!BH172="","",Sistema!BH172)</f>
        <v/>
      </c>
      <c r="BI172" t="str">
        <f>IF(Sistema!BI172="","",Sistema!BI172)</f>
        <v/>
      </c>
      <c r="BJ172" t="str">
        <f>IF(Sistema!BJ172="","",Sistema!BJ172)</f>
        <v/>
      </c>
      <c r="BK172" t="str">
        <f>IF(Sistema!BK172="","",Sistema!BK172)</f>
        <v/>
      </c>
      <c r="BL172" t="str">
        <f>IF(Sistema!BL172="","",Sistema!BL172)</f>
        <v/>
      </c>
      <c r="BM172" t="str">
        <f>IF(Sistema!BM172="","",Sistema!BM172)</f>
        <v/>
      </c>
      <c r="BN172" t="str">
        <f>IF(Sistema!BN172="","",Sistema!BN172)</f>
        <v/>
      </c>
      <c r="BO172" t="str">
        <f>IF(Sistema!BO172="","",Sistema!BO172)</f>
        <v/>
      </c>
      <c r="BP172" t="str">
        <f>IF(Sistema!BP172="","",Sistema!BP172)</f>
        <v/>
      </c>
      <c r="BQ172" t="str">
        <f>IF(Sistema!BQ172="","",Sistema!BQ172)</f>
        <v/>
      </c>
      <c r="BR172" t="str">
        <f>IF(Sistema!BR172="","",Sistema!BR172)</f>
        <v/>
      </c>
      <c r="BS172" t="str">
        <f>IF(Sistema!BS172="","",Sistema!BS172)</f>
        <v/>
      </c>
      <c r="BT172" t="str">
        <f>IF(Sistema!BT172="","",Sistema!BT172)</f>
        <v/>
      </c>
      <c r="BU172" t="str">
        <f>IF(Sistema!BU172="","",Sistema!BU172)</f>
        <v/>
      </c>
      <c r="BV172" t="str">
        <f>IF(Sistema!BV172="","",Sistema!BV172)</f>
        <v/>
      </c>
      <c r="BW172" t="str">
        <f>IF(Sistema!BW172="","",Sistema!BW172)</f>
        <v/>
      </c>
      <c r="BX172" t="str">
        <f>IF(Sistema!BX172="","",Sistema!BX172)</f>
        <v/>
      </c>
      <c r="BY172" t="str">
        <f>IF(Sistema!BY172="","",Sistema!BY172)</f>
        <v/>
      </c>
      <c r="BZ172" t="str">
        <f>IF(Sistema!BZ172="","",Sistema!BZ172)</f>
        <v/>
      </c>
      <c r="CA172" t="str">
        <f>IF(Sistema!CA172="","",Sistema!CA172)</f>
        <v/>
      </c>
      <c r="CB172" t="str">
        <f>IF(Sistema!CB172="","",Sistema!CB172)</f>
        <v/>
      </c>
      <c r="CC172" t="str">
        <f>IF(Sistema!CC172="","",Sistema!CC172)</f>
        <v/>
      </c>
      <c r="CD172" t="str">
        <f>IF(Sistema!CD172="","",Sistema!CD172)</f>
        <v/>
      </c>
    </row>
    <row r="173" spans="1:82" x14ac:dyDescent="0.25">
      <c r="A173" t="str">
        <f>IF(Sistema!A173="","",Sistema!A173)</f>
        <v/>
      </c>
      <c r="B173" t="str">
        <f>IF(Sistema!B173="","",Sistema!B173)</f>
        <v/>
      </c>
      <c r="C173" t="str">
        <f>IF(Sistema!C173="","",Sistema!C173)</f>
        <v/>
      </c>
      <c r="D173" t="str">
        <f>IF(Sistema!D173="","",Sistema!D173)</f>
        <v/>
      </c>
      <c r="E173" t="str">
        <f>IF(Sistema!E173="","",Sistema!E173)</f>
        <v/>
      </c>
      <c r="F173">
        <f>IF(P173&gt;0,1,IF(Sistema!F173=0,-1,1))</f>
        <v>-1</v>
      </c>
      <c r="G173">
        <f>Sistema!G173</f>
        <v>0</v>
      </c>
      <c r="H173" t="str">
        <f>IF(OR(R173="notify",R173=1),"visible",IF(OR(Sistema!F173=-1,Sistema!F173=0,ISNUMBER(SEARCH("PCK",E173))),"hidden",IF(P173&gt;0,"visible","hidden")))</f>
        <v>hidden</v>
      </c>
      <c r="I173" t="str">
        <f>IF(B173="simple",IF(P173&gt;0,"",IF(R173="notify",Info!C$2,"")),IF(B173="variable",IF(P173&gt;0,"",IF(R173="notify",Info!C$4,"")),""))</f>
        <v/>
      </c>
      <c r="J173" t="str">
        <f>IF(Sistema!J173="","",Sistema!J173)</f>
        <v/>
      </c>
      <c r="M173" t="str">
        <f>IF(Sistema!M173="","",Sistema!M173)</f>
        <v/>
      </c>
      <c r="N173" s="6" t="s">
        <v>1557</v>
      </c>
      <c r="O173" s="6">
        <v>1</v>
      </c>
      <c r="P173">
        <f>Sistema!P173</f>
        <v>0</v>
      </c>
      <c r="Q173">
        <f>Sistema!Q173</f>
        <v>0</v>
      </c>
      <c r="R173">
        <f>IF(Sistema!R173=1,"notify",Sistema!R173)</f>
        <v>0</v>
      </c>
      <c r="T173" t="str">
        <f>IF(Sistema!T173="","",Sistema!T173)</f>
        <v/>
      </c>
      <c r="U173" t="str">
        <f>IF(Sistema!U173="","",Sistema!U173)</f>
        <v/>
      </c>
      <c r="V173" t="str">
        <f>IF(Sistema!V173="","",Sistema!V173)</f>
        <v/>
      </c>
      <c r="W173" t="str">
        <f>IF(Sistema!W173="","",Sistema!W173)</f>
        <v/>
      </c>
      <c r="X173" s="6">
        <v>1</v>
      </c>
      <c r="Z173" t="str">
        <f>IF(Sistema!Z173="","",Sistema!Z173)</f>
        <v/>
      </c>
      <c r="AA173" t="str">
        <f>IF(Sistema!AA173="","",Sistema!AA173)</f>
        <v/>
      </c>
      <c r="AB173" t="str">
        <f>IF(Sistema!AB173="","",IF(OR(ISNUMBER(SEARCH("MKP",E173)),ISNUMBER(SEARCH("MKP",C173))),"Marketplace &gt; "&amp;Sistema!AB173,Sistema!AB173))</f>
        <v/>
      </c>
      <c r="AC173" t="str">
        <f>IF(Sistema!AC173="","",Sistema!AC173)</f>
        <v/>
      </c>
      <c r="AE173" t="str">
        <f>IF(Sistema!AE173="","",Sistema!AE173)</f>
        <v/>
      </c>
      <c r="AH173" t="str">
        <f>IF(Sistema!AH173="","",Sistema!AH173)</f>
        <v/>
      </c>
      <c r="AQ173" t="str">
        <f>IF(Sistema!AQ173="","",Sistema!AQ173)</f>
        <v/>
      </c>
      <c r="AR173" t="str">
        <f>IF(Sistema!AR173="","",Sistema!AR173)</f>
        <v/>
      </c>
      <c r="AS173" t="str">
        <f>IF(Sistema!AS173="","",Sistema!AS173)</f>
        <v/>
      </c>
      <c r="AT173" t="str">
        <f>IF(Sistema!AT173="","",Sistema!AT173)</f>
        <v/>
      </c>
      <c r="AU173" t="str">
        <f>IF(Sistema!AU173="","",Sistema!AU173)</f>
        <v/>
      </c>
      <c r="AV173" t="str">
        <f>IF(Sistema!AV173="","",Sistema!AV173)</f>
        <v/>
      </c>
      <c r="AW173" t="str">
        <f>IF(Sistema!AW173="","",Sistema!AW173)</f>
        <v/>
      </c>
      <c r="AX173" t="str">
        <f>IF(Sistema!AX173="","",Sistema!AX173)</f>
        <v/>
      </c>
      <c r="AY173" t="str">
        <f>IF(Sistema!AY173="","",Sistema!AY173)</f>
        <v/>
      </c>
      <c r="AZ173" t="str">
        <f>IF(Sistema!AZ173="","",Sistema!AZ173)</f>
        <v/>
      </c>
      <c r="BA173" t="str">
        <f>IF(Sistema!BA173="","",Sistema!BA173)</f>
        <v/>
      </c>
      <c r="BB173" t="str">
        <f>IF(Sistema!BB173="","",Sistema!BB173)</f>
        <v/>
      </c>
      <c r="BC173" t="str">
        <f>IF(Sistema!BC173="","",Sistema!BC173)</f>
        <v/>
      </c>
      <c r="BD173" t="str">
        <f>IF(Sistema!BD173="","",Sistema!BD173)</f>
        <v/>
      </c>
      <c r="BE173" t="str">
        <f>IF(Sistema!BE173="","",Sistema!BE173)</f>
        <v/>
      </c>
      <c r="BF173" t="str">
        <f>IF(Sistema!BF173="","",Sistema!BF173)</f>
        <v/>
      </c>
      <c r="BG173" t="str">
        <f>IF(Sistema!BG173="","",Sistema!BG173)</f>
        <v/>
      </c>
      <c r="BH173" t="str">
        <f>IF(Sistema!BH173="","",Sistema!BH173)</f>
        <v/>
      </c>
      <c r="BI173" t="str">
        <f>IF(Sistema!BI173="","",Sistema!BI173)</f>
        <v/>
      </c>
      <c r="BJ173" t="str">
        <f>IF(Sistema!BJ173="","",Sistema!BJ173)</f>
        <v/>
      </c>
      <c r="BK173" t="str">
        <f>IF(Sistema!BK173="","",Sistema!BK173)</f>
        <v/>
      </c>
      <c r="BL173" t="str">
        <f>IF(Sistema!BL173="","",Sistema!BL173)</f>
        <v/>
      </c>
      <c r="BM173" t="str">
        <f>IF(Sistema!BM173="","",Sistema!BM173)</f>
        <v/>
      </c>
      <c r="BN173" t="str">
        <f>IF(Sistema!BN173="","",Sistema!BN173)</f>
        <v/>
      </c>
      <c r="BO173" t="str">
        <f>IF(Sistema!BO173="","",Sistema!BO173)</f>
        <v/>
      </c>
      <c r="BP173" t="str">
        <f>IF(Sistema!BP173="","",Sistema!BP173)</f>
        <v/>
      </c>
      <c r="BQ173" t="str">
        <f>IF(Sistema!BQ173="","",Sistema!BQ173)</f>
        <v/>
      </c>
      <c r="BR173" t="str">
        <f>IF(Sistema!BR173="","",Sistema!BR173)</f>
        <v/>
      </c>
      <c r="BS173" t="str">
        <f>IF(Sistema!BS173="","",Sistema!BS173)</f>
        <v/>
      </c>
      <c r="BT173" t="str">
        <f>IF(Sistema!BT173="","",Sistema!BT173)</f>
        <v/>
      </c>
      <c r="BU173" t="str">
        <f>IF(Sistema!BU173="","",Sistema!BU173)</f>
        <v/>
      </c>
      <c r="BV173" t="str">
        <f>IF(Sistema!BV173="","",Sistema!BV173)</f>
        <v/>
      </c>
      <c r="BW173" t="str">
        <f>IF(Sistema!BW173="","",Sistema!BW173)</f>
        <v/>
      </c>
      <c r="BX173" t="str">
        <f>IF(Sistema!BX173="","",Sistema!BX173)</f>
        <v/>
      </c>
      <c r="BY173" t="str">
        <f>IF(Sistema!BY173="","",Sistema!BY173)</f>
        <v/>
      </c>
      <c r="BZ173" t="str">
        <f>IF(Sistema!BZ173="","",Sistema!BZ173)</f>
        <v/>
      </c>
      <c r="CA173" t="str">
        <f>IF(Sistema!CA173="","",Sistema!CA173)</f>
        <v/>
      </c>
      <c r="CB173" t="str">
        <f>IF(Sistema!CB173="","",Sistema!CB173)</f>
        <v/>
      </c>
      <c r="CC173" t="str">
        <f>IF(Sistema!CC173="","",Sistema!CC173)</f>
        <v/>
      </c>
      <c r="CD173" t="str">
        <f>IF(Sistema!CD173="","",Sistema!CD173)</f>
        <v/>
      </c>
    </row>
    <row r="174" spans="1:82" x14ac:dyDescent="0.25">
      <c r="A174" t="str">
        <f>IF(Sistema!A174="","",Sistema!A174)</f>
        <v/>
      </c>
      <c r="B174" t="str">
        <f>IF(Sistema!B174="","",Sistema!B174)</f>
        <v/>
      </c>
      <c r="C174" t="str">
        <f>IF(Sistema!C174="","",Sistema!C174)</f>
        <v/>
      </c>
      <c r="D174" t="str">
        <f>IF(Sistema!D174="","",Sistema!D174)</f>
        <v/>
      </c>
      <c r="E174" t="str">
        <f>IF(Sistema!E174="","",Sistema!E174)</f>
        <v/>
      </c>
      <c r="F174">
        <f>IF(P174&gt;0,1,IF(Sistema!F174=0,-1,1))</f>
        <v>-1</v>
      </c>
      <c r="G174">
        <f>Sistema!G174</f>
        <v>0</v>
      </c>
      <c r="H174" t="str">
        <f>IF(OR(R174="notify",R174=1),"visible",IF(OR(Sistema!F174=-1,Sistema!F174=0,ISNUMBER(SEARCH("PCK",E174))),"hidden",IF(P174&gt;0,"visible","hidden")))</f>
        <v>hidden</v>
      </c>
      <c r="I174" t="str">
        <f>IF(B174="simple",IF(P174&gt;0,"",IF(R174="notify",Info!C$2,"")),IF(B174="variable",IF(P174&gt;0,"",IF(R174="notify",Info!C$4,"")),""))</f>
        <v/>
      </c>
      <c r="J174" t="str">
        <f>IF(Sistema!J174="","",Sistema!J174)</f>
        <v/>
      </c>
      <c r="M174" t="str">
        <f>IF(Sistema!M174="","",Sistema!M174)</f>
        <v/>
      </c>
      <c r="N174" s="6" t="s">
        <v>1557</v>
      </c>
      <c r="O174" s="6">
        <v>1</v>
      </c>
      <c r="P174">
        <f>Sistema!P174</f>
        <v>0</v>
      </c>
      <c r="Q174">
        <f>Sistema!Q174</f>
        <v>0</v>
      </c>
      <c r="R174">
        <f>IF(Sistema!R174=1,"notify",Sistema!R174)</f>
        <v>0</v>
      </c>
      <c r="T174" t="str">
        <f>IF(Sistema!T174="","",Sistema!T174)</f>
        <v/>
      </c>
      <c r="U174" t="str">
        <f>IF(Sistema!U174="","",Sistema!U174)</f>
        <v/>
      </c>
      <c r="V174" t="str">
        <f>IF(Sistema!V174="","",Sistema!V174)</f>
        <v/>
      </c>
      <c r="W174" t="str">
        <f>IF(Sistema!W174="","",Sistema!W174)</f>
        <v/>
      </c>
      <c r="X174" s="6">
        <v>1</v>
      </c>
      <c r="Z174" t="str">
        <f>IF(Sistema!Z174="","",Sistema!Z174)</f>
        <v/>
      </c>
      <c r="AA174" t="str">
        <f>IF(Sistema!AA174="","",Sistema!AA174)</f>
        <v/>
      </c>
      <c r="AB174" t="str">
        <f>IF(Sistema!AB174="","",IF(OR(ISNUMBER(SEARCH("MKP",E174)),ISNUMBER(SEARCH("MKP",C174))),"Marketplace &gt; "&amp;Sistema!AB174,Sistema!AB174))</f>
        <v/>
      </c>
      <c r="AC174" t="str">
        <f>IF(Sistema!AC174="","",Sistema!AC174)</f>
        <v/>
      </c>
      <c r="AE174" t="str">
        <f>IF(Sistema!AE174="","",Sistema!AE174)</f>
        <v/>
      </c>
      <c r="AH174" t="str">
        <f>IF(Sistema!AH174="","",Sistema!AH174)</f>
        <v/>
      </c>
      <c r="AQ174" t="str">
        <f>IF(Sistema!AQ174="","",Sistema!AQ174)</f>
        <v/>
      </c>
      <c r="AR174" t="str">
        <f>IF(Sistema!AR174="","",Sistema!AR174)</f>
        <v/>
      </c>
      <c r="AS174" t="str">
        <f>IF(Sistema!AS174="","",Sistema!AS174)</f>
        <v/>
      </c>
      <c r="AT174" t="str">
        <f>IF(Sistema!AT174="","",Sistema!AT174)</f>
        <v/>
      </c>
      <c r="AU174" t="str">
        <f>IF(Sistema!AU174="","",Sistema!AU174)</f>
        <v/>
      </c>
      <c r="AV174" t="str">
        <f>IF(Sistema!AV174="","",Sistema!AV174)</f>
        <v/>
      </c>
      <c r="AW174" t="str">
        <f>IF(Sistema!AW174="","",Sistema!AW174)</f>
        <v/>
      </c>
      <c r="AX174" t="str">
        <f>IF(Sistema!AX174="","",Sistema!AX174)</f>
        <v/>
      </c>
      <c r="AY174" t="str">
        <f>IF(Sistema!AY174="","",Sistema!AY174)</f>
        <v/>
      </c>
      <c r="AZ174" t="str">
        <f>IF(Sistema!AZ174="","",Sistema!AZ174)</f>
        <v/>
      </c>
      <c r="BA174" t="str">
        <f>IF(Sistema!BA174="","",Sistema!BA174)</f>
        <v/>
      </c>
      <c r="BB174" t="str">
        <f>IF(Sistema!BB174="","",Sistema!BB174)</f>
        <v/>
      </c>
      <c r="BC174" t="str">
        <f>IF(Sistema!BC174="","",Sistema!BC174)</f>
        <v/>
      </c>
      <c r="BD174" t="str">
        <f>IF(Sistema!BD174="","",Sistema!BD174)</f>
        <v/>
      </c>
      <c r="BE174" t="str">
        <f>IF(Sistema!BE174="","",Sistema!BE174)</f>
        <v/>
      </c>
      <c r="BF174" t="str">
        <f>IF(Sistema!BF174="","",Sistema!BF174)</f>
        <v/>
      </c>
      <c r="BG174" t="str">
        <f>IF(Sistema!BG174="","",Sistema!BG174)</f>
        <v/>
      </c>
      <c r="BH174" t="str">
        <f>IF(Sistema!BH174="","",Sistema!BH174)</f>
        <v/>
      </c>
      <c r="BI174" t="str">
        <f>IF(Sistema!BI174="","",Sistema!BI174)</f>
        <v/>
      </c>
      <c r="BJ174" t="str">
        <f>IF(Sistema!BJ174="","",Sistema!BJ174)</f>
        <v/>
      </c>
      <c r="BK174" t="str">
        <f>IF(Sistema!BK174="","",Sistema!BK174)</f>
        <v/>
      </c>
      <c r="BL174" t="str">
        <f>IF(Sistema!BL174="","",Sistema!BL174)</f>
        <v/>
      </c>
      <c r="BM174" t="str">
        <f>IF(Sistema!BM174="","",Sistema!BM174)</f>
        <v/>
      </c>
      <c r="BN174" t="str">
        <f>IF(Sistema!BN174="","",Sistema!BN174)</f>
        <v/>
      </c>
      <c r="BO174" t="str">
        <f>IF(Sistema!BO174="","",Sistema!BO174)</f>
        <v/>
      </c>
      <c r="BP174" t="str">
        <f>IF(Sistema!BP174="","",Sistema!BP174)</f>
        <v/>
      </c>
      <c r="BQ174" t="str">
        <f>IF(Sistema!BQ174="","",Sistema!BQ174)</f>
        <v/>
      </c>
      <c r="BR174" t="str">
        <f>IF(Sistema!BR174="","",Sistema!BR174)</f>
        <v/>
      </c>
      <c r="BS174" t="str">
        <f>IF(Sistema!BS174="","",Sistema!BS174)</f>
        <v/>
      </c>
      <c r="BT174" t="str">
        <f>IF(Sistema!BT174="","",Sistema!BT174)</f>
        <v/>
      </c>
      <c r="BU174" t="str">
        <f>IF(Sistema!BU174="","",Sistema!BU174)</f>
        <v/>
      </c>
      <c r="BV174" t="str">
        <f>IF(Sistema!BV174="","",Sistema!BV174)</f>
        <v/>
      </c>
      <c r="BW174" t="str">
        <f>IF(Sistema!BW174="","",Sistema!BW174)</f>
        <v/>
      </c>
      <c r="BX174" t="str">
        <f>IF(Sistema!BX174="","",Sistema!BX174)</f>
        <v/>
      </c>
      <c r="BY174" t="str">
        <f>IF(Sistema!BY174="","",Sistema!BY174)</f>
        <v/>
      </c>
      <c r="BZ174" t="str">
        <f>IF(Sistema!BZ174="","",Sistema!BZ174)</f>
        <v/>
      </c>
      <c r="CA174" t="str">
        <f>IF(Sistema!CA174="","",Sistema!CA174)</f>
        <v/>
      </c>
      <c r="CB174" t="str">
        <f>IF(Sistema!CB174="","",Sistema!CB174)</f>
        <v/>
      </c>
      <c r="CC174" t="str">
        <f>IF(Sistema!CC174="","",Sistema!CC174)</f>
        <v/>
      </c>
      <c r="CD174" t="str">
        <f>IF(Sistema!CD174="","",Sistema!CD174)</f>
        <v/>
      </c>
    </row>
    <row r="175" spans="1:82" x14ac:dyDescent="0.25">
      <c r="A175" t="str">
        <f>IF(Sistema!A175="","",Sistema!A175)</f>
        <v/>
      </c>
      <c r="B175" t="str">
        <f>IF(Sistema!B175="","",Sistema!B175)</f>
        <v/>
      </c>
      <c r="C175" t="str">
        <f>IF(Sistema!C175="","",Sistema!C175)</f>
        <v/>
      </c>
      <c r="D175" t="str">
        <f>IF(Sistema!D175="","",Sistema!D175)</f>
        <v/>
      </c>
      <c r="E175" t="str">
        <f>IF(Sistema!E175="","",Sistema!E175)</f>
        <v/>
      </c>
      <c r="F175">
        <f>IF(P175&gt;0,1,IF(Sistema!F175=0,-1,1))</f>
        <v>-1</v>
      </c>
      <c r="G175">
        <f>Sistema!G175</f>
        <v>0</v>
      </c>
      <c r="H175" t="str">
        <f>IF(OR(R175="notify",R175=1),"visible",IF(OR(Sistema!F175=-1,Sistema!F175=0,ISNUMBER(SEARCH("PCK",E175))),"hidden",IF(P175&gt;0,"visible","hidden")))</f>
        <v>hidden</v>
      </c>
      <c r="I175" t="str">
        <f>IF(B175="simple",IF(P175&gt;0,"",IF(R175="notify",Info!C$2,"")),IF(B175="variable",IF(P175&gt;0,"",IF(R175="notify",Info!C$4,"")),""))</f>
        <v/>
      </c>
      <c r="J175" t="str">
        <f>IF(Sistema!J175="","",Sistema!J175)</f>
        <v/>
      </c>
      <c r="M175" t="str">
        <f>IF(Sistema!M175="","",Sistema!M175)</f>
        <v/>
      </c>
      <c r="N175" s="6" t="s">
        <v>1557</v>
      </c>
      <c r="O175" s="6">
        <v>1</v>
      </c>
      <c r="P175">
        <f>Sistema!P175</f>
        <v>0</v>
      </c>
      <c r="Q175">
        <f>Sistema!Q175</f>
        <v>0</v>
      </c>
      <c r="R175">
        <f>IF(Sistema!R175=1,"notify",Sistema!R175)</f>
        <v>0</v>
      </c>
      <c r="T175" t="str">
        <f>IF(Sistema!T175="","",Sistema!T175)</f>
        <v/>
      </c>
      <c r="U175" t="str">
        <f>IF(Sistema!U175="","",Sistema!U175)</f>
        <v/>
      </c>
      <c r="V175" t="str">
        <f>IF(Sistema!V175="","",Sistema!V175)</f>
        <v/>
      </c>
      <c r="W175" t="str">
        <f>IF(Sistema!W175="","",Sistema!W175)</f>
        <v/>
      </c>
      <c r="X175" s="6">
        <v>1</v>
      </c>
      <c r="Z175" t="str">
        <f>IF(Sistema!Z175="","",Sistema!Z175)</f>
        <v/>
      </c>
      <c r="AA175" t="str">
        <f>IF(Sistema!AA175="","",Sistema!AA175)</f>
        <v/>
      </c>
      <c r="AB175" t="str">
        <f>IF(Sistema!AB175="","",IF(OR(ISNUMBER(SEARCH("MKP",E175)),ISNUMBER(SEARCH("MKP",C175))),"Marketplace &gt; "&amp;Sistema!AB175,Sistema!AB175))</f>
        <v/>
      </c>
      <c r="AC175" t="str">
        <f>IF(Sistema!AC175="","",Sistema!AC175)</f>
        <v/>
      </c>
      <c r="AE175" t="str">
        <f>IF(Sistema!AE175="","",Sistema!AE175)</f>
        <v/>
      </c>
      <c r="AH175" t="str">
        <f>IF(Sistema!AH175="","",Sistema!AH175)</f>
        <v/>
      </c>
      <c r="AQ175" t="str">
        <f>IF(Sistema!AQ175="","",Sistema!AQ175)</f>
        <v/>
      </c>
      <c r="AR175" t="str">
        <f>IF(Sistema!AR175="","",Sistema!AR175)</f>
        <v/>
      </c>
      <c r="AS175" t="str">
        <f>IF(Sistema!AS175="","",Sistema!AS175)</f>
        <v/>
      </c>
      <c r="AT175" t="str">
        <f>IF(Sistema!AT175="","",Sistema!AT175)</f>
        <v/>
      </c>
      <c r="AU175" t="str">
        <f>IF(Sistema!AU175="","",Sistema!AU175)</f>
        <v/>
      </c>
      <c r="AV175" t="str">
        <f>IF(Sistema!AV175="","",Sistema!AV175)</f>
        <v/>
      </c>
      <c r="AW175" t="str">
        <f>IF(Sistema!AW175="","",Sistema!AW175)</f>
        <v/>
      </c>
      <c r="AX175" t="str">
        <f>IF(Sistema!AX175="","",Sistema!AX175)</f>
        <v/>
      </c>
      <c r="AY175" t="str">
        <f>IF(Sistema!AY175="","",Sistema!AY175)</f>
        <v/>
      </c>
      <c r="AZ175" t="str">
        <f>IF(Sistema!AZ175="","",Sistema!AZ175)</f>
        <v/>
      </c>
      <c r="BA175" t="str">
        <f>IF(Sistema!BA175="","",Sistema!BA175)</f>
        <v/>
      </c>
      <c r="BB175" t="str">
        <f>IF(Sistema!BB175="","",Sistema!BB175)</f>
        <v/>
      </c>
      <c r="BC175" t="str">
        <f>IF(Sistema!BC175="","",Sistema!BC175)</f>
        <v/>
      </c>
      <c r="BD175" t="str">
        <f>IF(Sistema!BD175="","",Sistema!BD175)</f>
        <v/>
      </c>
      <c r="BE175" t="str">
        <f>IF(Sistema!BE175="","",Sistema!BE175)</f>
        <v/>
      </c>
      <c r="BF175" t="str">
        <f>IF(Sistema!BF175="","",Sistema!BF175)</f>
        <v/>
      </c>
      <c r="BG175" t="str">
        <f>IF(Sistema!BG175="","",Sistema!BG175)</f>
        <v/>
      </c>
      <c r="BH175" t="str">
        <f>IF(Sistema!BH175="","",Sistema!BH175)</f>
        <v/>
      </c>
      <c r="BI175" t="str">
        <f>IF(Sistema!BI175="","",Sistema!BI175)</f>
        <v/>
      </c>
      <c r="BJ175" t="str">
        <f>IF(Sistema!BJ175="","",Sistema!BJ175)</f>
        <v/>
      </c>
      <c r="BK175" t="str">
        <f>IF(Sistema!BK175="","",Sistema!BK175)</f>
        <v/>
      </c>
      <c r="BL175" t="str">
        <f>IF(Sistema!BL175="","",Sistema!BL175)</f>
        <v/>
      </c>
      <c r="BM175" t="str">
        <f>IF(Sistema!BM175="","",Sistema!BM175)</f>
        <v/>
      </c>
      <c r="BN175" t="str">
        <f>IF(Sistema!BN175="","",Sistema!BN175)</f>
        <v/>
      </c>
      <c r="BO175" t="str">
        <f>IF(Sistema!BO175="","",Sistema!BO175)</f>
        <v/>
      </c>
      <c r="BP175" t="str">
        <f>IF(Sistema!BP175="","",Sistema!BP175)</f>
        <v/>
      </c>
      <c r="BQ175" t="str">
        <f>IF(Sistema!BQ175="","",Sistema!BQ175)</f>
        <v/>
      </c>
      <c r="BR175" t="str">
        <f>IF(Sistema!BR175="","",Sistema!BR175)</f>
        <v/>
      </c>
      <c r="BS175" t="str">
        <f>IF(Sistema!BS175="","",Sistema!BS175)</f>
        <v/>
      </c>
      <c r="BT175" t="str">
        <f>IF(Sistema!BT175="","",Sistema!BT175)</f>
        <v/>
      </c>
      <c r="BU175" t="str">
        <f>IF(Sistema!BU175="","",Sistema!BU175)</f>
        <v/>
      </c>
      <c r="BV175" t="str">
        <f>IF(Sistema!BV175="","",Sistema!BV175)</f>
        <v/>
      </c>
      <c r="BW175" t="str">
        <f>IF(Sistema!BW175="","",Sistema!BW175)</f>
        <v/>
      </c>
      <c r="BX175" t="str">
        <f>IF(Sistema!BX175="","",Sistema!BX175)</f>
        <v/>
      </c>
      <c r="BY175" t="str">
        <f>IF(Sistema!BY175="","",Sistema!BY175)</f>
        <v/>
      </c>
      <c r="BZ175" t="str">
        <f>IF(Sistema!BZ175="","",Sistema!BZ175)</f>
        <v/>
      </c>
      <c r="CA175" t="str">
        <f>IF(Sistema!CA175="","",Sistema!CA175)</f>
        <v/>
      </c>
      <c r="CB175" t="str">
        <f>IF(Sistema!CB175="","",Sistema!CB175)</f>
        <v/>
      </c>
      <c r="CC175" t="str">
        <f>IF(Sistema!CC175="","",Sistema!CC175)</f>
        <v/>
      </c>
      <c r="CD175" t="str">
        <f>IF(Sistema!CD175="","",Sistema!CD175)</f>
        <v/>
      </c>
    </row>
    <row r="176" spans="1:82" x14ac:dyDescent="0.25">
      <c r="A176" t="str">
        <f>IF(Sistema!A176="","",Sistema!A176)</f>
        <v/>
      </c>
      <c r="B176" t="str">
        <f>IF(Sistema!B176="","",Sistema!B176)</f>
        <v/>
      </c>
      <c r="C176" t="str">
        <f>IF(Sistema!C176="","",Sistema!C176)</f>
        <v/>
      </c>
      <c r="D176" t="str">
        <f>IF(Sistema!D176="","",Sistema!D176)</f>
        <v/>
      </c>
      <c r="E176" t="str">
        <f>IF(Sistema!E176="","",Sistema!E176)</f>
        <v/>
      </c>
      <c r="F176">
        <f>IF(P176&gt;0,1,IF(Sistema!F176=0,-1,1))</f>
        <v>-1</v>
      </c>
      <c r="G176">
        <f>Sistema!G176</f>
        <v>0</v>
      </c>
      <c r="H176" t="str">
        <f>IF(OR(R176="notify",R176=1),"visible",IF(OR(Sistema!F176=-1,Sistema!F176=0,ISNUMBER(SEARCH("PCK",E176))),"hidden",IF(P176&gt;0,"visible","hidden")))</f>
        <v>hidden</v>
      </c>
      <c r="I176" t="str">
        <f>IF(B176="simple",IF(P176&gt;0,"",IF(R176="notify",Info!C$2,"")),IF(B176="variable",IF(P176&gt;0,"",IF(R176="notify",Info!C$4,"")),""))</f>
        <v/>
      </c>
      <c r="J176" t="str">
        <f>IF(Sistema!J176="","",Sistema!J176)</f>
        <v/>
      </c>
      <c r="M176" t="str">
        <f>IF(Sistema!M176="","",Sistema!M176)</f>
        <v/>
      </c>
      <c r="N176" s="6" t="s">
        <v>1557</v>
      </c>
      <c r="O176" s="6">
        <v>1</v>
      </c>
      <c r="P176">
        <f>Sistema!P176</f>
        <v>0</v>
      </c>
      <c r="Q176">
        <f>Sistema!Q176</f>
        <v>0</v>
      </c>
      <c r="R176">
        <f>IF(Sistema!R176=1,"notify",Sistema!R176)</f>
        <v>0</v>
      </c>
      <c r="T176" t="str">
        <f>IF(Sistema!T176="","",Sistema!T176)</f>
        <v/>
      </c>
      <c r="U176" t="str">
        <f>IF(Sistema!U176="","",Sistema!U176)</f>
        <v/>
      </c>
      <c r="V176" t="str">
        <f>IF(Sistema!V176="","",Sistema!V176)</f>
        <v/>
      </c>
      <c r="W176" t="str">
        <f>IF(Sistema!W176="","",Sistema!W176)</f>
        <v/>
      </c>
      <c r="X176" s="6">
        <v>1</v>
      </c>
      <c r="Z176" t="str">
        <f>IF(Sistema!Z176="","",Sistema!Z176)</f>
        <v/>
      </c>
      <c r="AA176" t="str">
        <f>IF(Sistema!AA176="","",Sistema!AA176)</f>
        <v/>
      </c>
      <c r="AB176" t="str">
        <f>IF(Sistema!AB176="","",IF(OR(ISNUMBER(SEARCH("MKP",E176)),ISNUMBER(SEARCH("MKP",C176))),"Marketplace &gt; "&amp;Sistema!AB176,Sistema!AB176))</f>
        <v/>
      </c>
      <c r="AC176" t="str">
        <f>IF(Sistema!AC176="","",Sistema!AC176)</f>
        <v/>
      </c>
      <c r="AE176" t="str">
        <f>IF(Sistema!AE176="","",Sistema!AE176)</f>
        <v/>
      </c>
      <c r="AH176" t="str">
        <f>IF(Sistema!AH176="","",Sistema!AH176)</f>
        <v/>
      </c>
      <c r="AQ176" t="str">
        <f>IF(Sistema!AQ176="","",Sistema!AQ176)</f>
        <v/>
      </c>
      <c r="AR176" t="str">
        <f>IF(Sistema!AR176="","",Sistema!AR176)</f>
        <v/>
      </c>
      <c r="AS176" t="str">
        <f>IF(Sistema!AS176="","",Sistema!AS176)</f>
        <v/>
      </c>
      <c r="AT176" t="str">
        <f>IF(Sistema!AT176="","",Sistema!AT176)</f>
        <v/>
      </c>
      <c r="AU176" t="str">
        <f>IF(Sistema!AU176="","",Sistema!AU176)</f>
        <v/>
      </c>
      <c r="AV176" t="str">
        <f>IF(Sistema!AV176="","",Sistema!AV176)</f>
        <v/>
      </c>
      <c r="AW176" t="str">
        <f>IF(Sistema!AW176="","",Sistema!AW176)</f>
        <v/>
      </c>
      <c r="AX176" t="str">
        <f>IF(Sistema!AX176="","",Sistema!AX176)</f>
        <v/>
      </c>
      <c r="AY176" t="str">
        <f>IF(Sistema!AY176="","",Sistema!AY176)</f>
        <v/>
      </c>
      <c r="AZ176" t="str">
        <f>IF(Sistema!AZ176="","",Sistema!AZ176)</f>
        <v/>
      </c>
      <c r="BA176" t="str">
        <f>IF(Sistema!BA176="","",Sistema!BA176)</f>
        <v/>
      </c>
      <c r="BB176" t="str">
        <f>IF(Sistema!BB176="","",Sistema!BB176)</f>
        <v/>
      </c>
      <c r="BC176" t="str">
        <f>IF(Sistema!BC176="","",Sistema!BC176)</f>
        <v/>
      </c>
      <c r="BD176" t="str">
        <f>IF(Sistema!BD176="","",Sistema!BD176)</f>
        <v/>
      </c>
      <c r="BE176" t="str">
        <f>IF(Sistema!BE176="","",Sistema!BE176)</f>
        <v/>
      </c>
      <c r="BF176" t="str">
        <f>IF(Sistema!BF176="","",Sistema!BF176)</f>
        <v/>
      </c>
      <c r="BG176" t="str">
        <f>IF(Sistema!BG176="","",Sistema!BG176)</f>
        <v/>
      </c>
      <c r="BH176" t="str">
        <f>IF(Sistema!BH176="","",Sistema!BH176)</f>
        <v/>
      </c>
      <c r="BI176" t="str">
        <f>IF(Sistema!BI176="","",Sistema!BI176)</f>
        <v/>
      </c>
      <c r="BJ176" t="str">
        <f>IF(Sistema!BJ176="","",Sistema!BJ176)</f>
        <v/>
      </c>
      <c r="BK176" t="str">
        <f>IF(Sistema!BK176="","",Sistema!BK176)</f>
        <v/>
      </c>
      <c r="BL176" t="str">
        <f>IF(Sistema!BL176="","",Sistema!BL176)</f>
        <v/>
      </c>
      <c r="BM176" t="str">
        <f>IF(Sistema!BM176="","",Sistema!BM176)</f>
        <v/>
      </c>
      <c r="BN176" t="str">
        <f>IF(Sistema!BN176="","",Sistema!BN176)</f>
        <v/>
      </c>
      <c r="BO176" t="str">
        <f>IF(Sistema!BO176="","",Sistema!BO176)</f>
        <v/>
      </c>
      <c r="BP176" t="str">
        <f>IF(Sistema!BP176="","",Sistema!BP176)</f>
        <v/>
      </c>
      <c r="BQ176" t="str">
        <f>IF(Sistema!BQ176="","",Sistema!BQ176)</f>
        <v/>
      </c>
      <c r="BR176" t="str">
        <f>IF(Sistema!BR176="","",Sistema!BR176)</f>
        <v/>
      </c>
      <c r="BS176" t="str">
        <f>IF(Sistema!BS176="","",Sistema!BS176)</f>
        <v/>
      </c>
      <c r="BT176" t="str">
        <f>IF(Sistema!BT176="","",Sistema!BT176)</f>
        <v/>
      </c>
      <c r="BU176" t="str">
        <f>IF(Sistema!BU176="","",Sistema!BU176)</f>
        <v/>
      </c>
      <c r="BV176" t="str">
        <f>IF(Sistema!BV176="","",Sistema!BV176)</f>
        <v/>
      </c>
      <c r="BW176" t="str">
        <f>IF(Sistema!BW176="","",Sistema!BW176)</f>
        <v/>
      </c>
      <c r="BX176" t="str">
        <f>IF(Sistema!BX176="","",Sistema!BX176)</f>
        <v/>
      </c>
      <c r="BY176" t="str">
        <f>IF(Sistema!BY176="","",Sistema!BY176)</f>
        <v/>
      </c>
      <c r="BZ176" t="str">
        <f>IF(Sistema!BZ176="","",Sistema!BZ176)</f>
        <v/>
      </c>
      <c r="CA176" t="str">
        <f>IF(Sistema!CA176="","",Sistema!CA176)</f>
        <v/>
      </c>
      <c r="CB176" t="str">
        <f>IF(Sistema!CB176="","",Sistema!CB176)</f>
        <v/>
      </c>
      <c r="CC176" t="str">
        <f>IF(Sistema!CC176="","",Sistema!CC176)</f>
        <v/>
      </c>
      <c r="CD176" t="str">
        <f>IF(Sistema!CD176="","",Sistema!CD176)</f>
        <v/>
      </c>
    </row>
    <row r="177" spans="1:82" x14ac:dyDescent="0.25">
      <c r="A177" t="str">
        <f>IF(Sistema!A177="","",Sistema!A177)</f>
        <v/>
      </c>
      <c r="B177" t="str">
        <f>IF(Sistema!B177="","",Sistema!B177)</f>
        <v/>
      </c>
      <c r="C177" t="str">
        <f>IF(Sistema!C177="","",Sistema!C177)</f>
        <v/>
      </c>
      <c r="D177" t="str">
        <f>IF(Sistema!D177="","",Sistema!D177)</f>
        <v/>
      </c>
      <c r="E177" t="str">
        <f>IF(Sistema!E177="","",Sistema!E177)</f>
        <v/>
      </c>
      <c r="F177">
        <f>IF(P177&gt;0,1,IF(Sistema!F177=0,-1,1))</f>
        <v>-1</v>
      </c>
      <c r="G177">
        <f>Sistema!G177</f>
        <v>0</v>
      </c>
      <c r="H177" t="str">
        <f>IF(OR(R177="notify",R177=1),"visible",IF(OR(Sistema!F177=-1,Sistema!F177=0,ISNUMBER(SEARCH("PCK",E177))),"hidden",IF(P177&gt;0,"visible","hidden")))</f>
        <v>hidden</v>
      </c>
      <c r="I177" t="str">
        <f>IF(B177="simple",IF(P177&gt;0,"",IF(R177="notify",Info!C$2,"")),IF(B177="variable",IF(P177&gt;0,"",IF(R177="notify",Info!C$4,"")),""))</f>
        <v/>
      </c>
      <c r="J177" t="str">
        <f>IF(Sistema!J177="","",Sistema!J177)</f>
        <v/>
      </c>
      <c r="M177" t="str">
        <f>IF(Sistema!M177="","",Sistema!M177)</f>
        <v/>
      </c>
      <c r="N177" s="6" t="s">
        <v>1557</v>
      </c>
      <c r="O177" s="6">
        <v>1</v>
      </c>
      <c r="P177">
        <f>Sistema!P177</f>
        <v>0</v>
      </c>
      <c r="Q177">
        <f>Sistema!Q177</f>
        <v>0</v>
      </c>
      <c r="R177">
        <f>IF(Sistema!R177=1,"notify",Sistema!R177)</f>
        <v>0</v>
      </c>
      <c r="T177" t="str">
        <f>IF(Sistema!T177="","",Sistema!T177)</f>
        <v/>
      </c>
      <c r="U177" t="str">
        <f>IF(Sistema!U177="","",Sistema!U177)</f>
        <v/>
      </c>
      <c r="V177" t="str">
        <f>IF(Sistema!V177="","",Sistema!V177)</f>
        <v/>
      </c>
      <c r="W177" t="str">
        <f>IF(Sistema!W177="","",Sistema!W177)</f>
        <v/>
      </c>
      <c r="X177" s="6">
        <v>1</v>
      </c>
      <c r="Z177" t="str">
        <f>IF(Sistema!Z177="","",Sistema!Z177)</f>
        <v/>
      </c>
      <c r="AA177" t="str">
        <f>IF(Sistema!AA177="","",Sistema!AA177)</f>
        <v/>
      </c>
      <c r="AB177" t="str">
        <f>IF(Sistema!AB177="","",IF(OR(ISNUMBER(SEARCH("MKP",E177)),ISNUMBER(SEARCH("MKP",C177))),"Marketplace &gt; "&amp;Sistema!AB177,Sistema!AB177))</f>
        <v/>
      </c>
      <c r="AC177" t="str">
        <f>IF(Sistema!AC177="","",Sistema!AC177)</f>
        <v/>
      </c>
      <c r="AE177" t="str">
        <f>IF(Sistema!AE177="","",Sistema!AE177)</f>
        <v/>
      </c>
      <c r="AH177" t="str">
        <f>IF(Sistema!AH177="","",Sistema!AH177)</f>
        <v/>
      </c>
      <c r="AQ177" t="str">
        <f>IF(Sistema!AQ177="","",Sistema!AQ177)</f>
        <v/>
      </c>
      <c r="AR177" t="str">
        <f>IF(Sistema!AR177="","",Sistema!AR177)</f>
        <v/>
      </c>
      <c r="AS177" t="str">
        <f>IF(Sistema!AS177="","",Sistema!AS177)</f>
        <v/>
      </c>
      <c r="AT177" t="str">
        <f>IF(Sistema!AT177="","",Sistema!AT177)</f>
        <v/>
      </c>
      <c r="AU177" t="str">
        <f>IF(Sistema!AU177="","",Sistema!AU177)</f>
        <v/>
      </c>
      <c r="AV177" t="str">
        <f>IF(Sistema!AV177="","",Sistema!AV177)</f>
        <v/>
      </c>
      <c r="AW177" t="str">
        <f>IF(Sistema!AW177="","",Sistema!AW177)</f>
        <v/>
      </c>
      <c r="AX177" t="str">
        <f>IF(Sistema!AX177="","",Sistema!AX177)</f>
        <v/>
      </c>
      <c r="AY177" t="str">
        <f>IF(Sistema!AY177="","",Sistema!AY177)</f>
        <v/>
      </c>
      <c r="AZ177" t="str">
        <f>IF(Sistema!AZ177="","",Sistema!AZ177)</f>
        <v/>
      </c>
      <c r="BA177" t="str">
        <f>IF(Sistema!BA177="","",Sistema!BA177)</f>
        <v/>
      </c>
      <c r="BB177" t="str">
        <f>IF(Sistema!BB177="","",Sistema!BB177)</f>
        <v/>
      </c>
      <c r="BC177" t="str">
        <f>IF(Sistema!BC177="","",Sistema!BC177)</f>
        <v/>
      </c>
      <c r="BD177" t="str">
        <f>IF(Sistema!BD177="","",Sistema!BD177)</f>
        <v/>
      </c>
      <c r="BE177" t="str">
        <f>IF(Sistema!BE177="","",Sistema!BE177)</f>
        <v/>
      </c>
      <c r="BF177" t="str">
        <f>IF(Sistema!BF177="","",Sistema!BF177)</f>
        <v/>
      </c>
      <c r="BG177" t="str">
        <f>IF(Sistema!BG177="","",Sistema!BG177)</f>
        <v/>
      </c>
      <c r="BH177" t="str">
        <f>IF(Sistema!BH177="","",Sistema!BH177)</f>
        <v/>
      </c>
      <c r="BI177" t="str">
        <f>IF(Sistema!BI177="","",Sistema!BI177)</f>
        <v/>
      </c>
      <c r="BJ177" t="str">
        <f>IF(Sistema!BJ177="","",Sistema!BJ177)</f>
        <v/>
      </c>
      <c r="BK177" t="str">
        <f>IF(Sistema!BK177="","",Sistema!BK177)</f>
        <v/>
      </c>
      <c r="BL177" t="str">
        <f>IF(Sistema!BL177="","",Sistema!BL177)</f>
        <v/>
      </c>
      <c r="BM177" t="str">
        <f>IF(Sistema!BM177="","",Sistema!BM177)</f>
        <v/>
      </c>
      <c r="BN177" t="str">
        <f>IF(Sistema!BN177="","",Sistema!BN177)</f>
        <v/>
      </c>
      <c r="BO177" t="str">
        <f>IF(Sistema!BO177="","",Sistema!BO177)</f>
        <v/>
      </c>
      <c r="BP177" t="str">
        <f>IF(Sistema!BP177="","",Sistema!BP177)</f>
        <v/>
      </c>
      <c r="BQ177" t="str">
        <f>IF(Sistema!BQ177="","",Sistema!BQ177)</f>
        <v/>
      </c>
      <c r="BR177" t="str">
        <f>IF(Sistema!BR177="","",Sistema!BR177)</f>
        <v/>
      </c>
      <c r="BS177" t="str">
        <f>IF(Sistema!BS177="","",Sistema!BS177)</f>
        <v/>
      </c>
      <c r="BT177" t="str">
        <f>IF(Sistema!BT177="","",Sistema!BT177)</f>
        <v/>
      </c>
      <c r="BU177" t="str">
        <f>IF(Sistema!BU177="","",Sistema!BU177)</f>
        <v/>
      </c>
      <c r="BV177" t="str">
        <f>IF(Sistema!BV177="","",Sistema!BV177)</f>
        <v/>
      </c>
      <c r="BW177" t="str">
        <f>IF(Sistema!BW177="","",Sistema!BW177)</f>
        <v/>
      </c>
      <c r="BX177" t="str">
        <f>IF(Sistema!BX177="","",Sistema!BX177)</f>
        <v/>
      </c>
      <c r="BY177" t="str">
        <f>IF(Sistema!BY177="","",Sistema!BY177)</f>
        <v/>
      </c>
      <c r="BZ177" t="str">
        <f>IF(Sistema!BZ177="","",Sistema!BZ177)</f>
        <v/>
      </c>
      <c r="CA177" t="str">
        <f>IF(Sistema!CA177="","",Sistema!CA177)</f>
        <v/>
      </c>
      <c r="CB177" t="str">
        <f>IF(Sistema!CB177="","",Sistema!CB177)</f>
        <v/>
      </c>
      <c r="CC177" t="str">
        <f>IF(Sistema!CC177="","",Sistema!CC177)</f>
        <v/>
      </c>
      <c r="CD177" t="str">
        <f>IF(Sistema!CD177="","",Sistema!CD177)</f>
        <v/>
      </c>
    </row>
    <row r="178" spans="1:82" x14ac:dyDescent="0.25">
      <c r="A178" t="str">
        <f>IF(Sistema!A178="","",Sistema!A178)</f>
        <v/>
      </c>
      <c r="B178" t="str">
        <f>IF(Sistema!B178="","",Sistema!B178)</f>
        <v/>
      </c>
      <c r="C178" t="str">
        <f>IF(Sistema!C178="","",Sistema!C178)</f>
        <v/>
      </c>
      <c r="D178" t="str">
        <f>IF(Sistema!D178="","",Sistema!D178)</f>
        <v/>
      </c>
      <c r="E178" t="str">
        <f>IF(Sistema!E178="","",Sistema!E178)</f>
        <v/>
      </c>
      <c r="F178">
        <f>IF(P178&gt;0,1,IF(Sistema!F178=0,-1,1))</f>
        <v>-1</v>
      </c>
      <c r="G178">
        <f>Sistema!G178</f>
        <v>0</v>
      </c>
      <c r="H178" t="str">
        <f>IF(OR(R178="notify",R178=1),"visible",IF(OR(Sistema!F178=-1,Sistema!F178=0,ISNUMBER(SEARCH("PCK",E178))),"hidden",IF(P178&gt;0,"visible","hidden")))</f>
        <v>hidden</v>
      </c>
      <c r="I178" t="str">
        <f>IF(B178="simple",IF(P178&gt;0,"",IF(R178="notify",Info!C$2,"")),IF(B178="variable",IF(P178&gt;0,"",IF(R178="notify",Info!C$4,"")),""))</f>
        <v/>
      </c>
      <c r="J178" t="str">
        <f>IF(Sistema!J178="","",Sistema!J178)</f>
        <v/>
      </c>
      <c r="M178" t="str">
        <f>IF(Sistema!M178="","",Sistema!M178)</f>
        <v/>
      </c>
      <c r="N178" s="6" t="s">
        <v>1557</v>
      </c>
      <c r="O178" s="6">
        <v>1</v>
      </c>
      <c r="P178">
        <f>Sistema!P178</f>
        <v>0</v>
      </c>
      <c r="Q178">
        <f>Sistema!Q178</f>
        <v>0</v>
      </c>
      <c r="R178">
        <f>IF(Sistema!R178=1,"notify",Sistema!R178)</f>
        <v>0</v>
      </c>
      <c r="T178" t="str">
        <f>IF(Sistema!T178="","",Sistema!T178)</f>
        <v/>
      </c>
      <c r="U178" t="str">
        <f>IF(Sistema!U178="","",Sistema!U178)</f>
        <v/>
      </c>
      <c r="V178" t="str">
        <f>IF(Sistema!V178="","",Sistema!V178)</f>
        <v/>
      </c>
      <c r="W178" t="str">
        <f>IF(Sistema!W178="","",Sistema!W178)</f>
        <v/>
      </c>
      <c r="X178" s="6">
        <v>1</v>
      </c>
      <c r="Z178" t="str">
        <f>IF(Sistema!Z178="","",Sistema!Z178)</f>
        <v/>
      </c>
      <c r="AA178" t="str">
        <f>IF(Sistema!AA178="","",Sistema!AA178)</f>
        <v/>
      </c>
      <c r="AB178" t="str">
        <f>IF(Sistema!AB178="","",IF(OR(ISNUMBER(SEARCH("MKP",E178)),ISNUMBER(SEARCH("MKP",C178))),"Marketplace &gt; "&amp;Sistema!AB178,Sistema!AB178))</f>
        <v/>
      </c>
      <c r="AC178" t="str">
        <f>IF(Sistema!AC178="","",Sistema!AC178)</f>
        <v/>
      </c>
      <c r="AE178" t="str">
        <f>IF(Sistema!AE178="","",Sistema!AE178)</f>
        <v/>
      </c>
      <c r="AH178" t="str">
        <f>IF(Sistema!AH178="","",Sistema!AH178)</f>
        <v/>
      </c>
      <c r="AQ178" t="str">
        <f>IF(Sistema!AQ178="","",Sistema!AQ178)</f>
        <v/>
      </c>
      <c r="AR178" t="str">
        <f>IF(Sistema!AR178="","",Sistema!AR178)</f>
        <v/>
      </c>
      <c r="AS178" t="str">
        <f>IF(Sistema!AS178="","",Sistema!AS178)</f>
        <v/>
      </c>
      <c r="AT178" t="str">
        <f>IF(Sistema!AT178="","",Sistema!AT178)</f>
        <v/>
      </c>
      <c r="AU178" t="str">
        <f>IF(Sistema!AU178="","",Sistema!AU178)</f>
        <v/>
      </c>
      <c r="AV178" t="str">
        <f>IF(Sistema!AV178="","",Sistema!AV178)</f>
        <v/>
      </c>
      <c r="AW178" t="str">
        <f>IF(Sistema!AW178="","",Sistema!AW178)</f>
        <v/>
      </c>
      <c r="AX178" t="str">
        <f>IF(Sistema!AX178="","",Sistema!AX178)</f>
        <v/>
      </c>
      <c r="AY178" t="str">
        <f>IF(Sistema!AY178="","",Sistema!AY178)</f>
        <v/>
      </c>
      <c r="AZ178" t="str">
        <f>IF(Sistema!AZ178="","",Sistema!AZ178)</f>
        <v/>
      </c>
      <c r="BA178" t="str">
        <f>IF(Sistema!BA178="","",Sistema!BA178)</f>
        <v/>
      </c>
      <c r="BB178" t="str">
        <f>IF(Sistema!BB178="","",Sistema!BB178)</f>
        <v/>
      </c>
      <c r="BC178" t="str">
        <f>IF(Sistema!BC178="","",Sistema!BC178)</f>
        <v/>
      </c>
      <c r="BD178" t="str">
        <f>IF(Sistema!BD178="","",Sistema!BD178)</f>
        <v/>
      </c>
      <c r="BE178" t="str">
        <f>IF(Sistema!BE178="","",Sistema!BE178)</f>
        <v/>
      </c>
      <c r="BF178" t="str">
        <f>IF(Sistema!BF178="","",Sistema!BF178)</f>
        <v/>
      </c>
      <c r="BG178" t="str">
        <f>IF(Sistema!BG178="","",Sistema!BG178)</f>
        <v/>
      </c>
      <c r="BH178" t="str">
        <f>IF(Sistema!BH178="","",Sistema!BH178)</f>
        <v/>
      </c>
      <c r="BI178" t="str">
        <f>IF(Sistema!BI178="","",Sistema!BI178)</f>
        <v/>
      </c>
      <c r="BJ178" t="str">
        <f>IF(Sistema!BJ178="","",Sistema!BJ178)</f>
        <v/>
      </c>
      <c r="BK178" t="str">
        <f>IF(Sistema!BK178="","",Sistema!BK178)</f>
        <v/>
      </c>
      <c r="BL178" t="str">
        <f>IF(Sistema!BL178="","",Sistema!BL178)</f>
        <v/>
      </c>
      <c r="BM178" t="str">
        <f>IF(Sistema!BM178="","",Sistema!BM178)</f>
        <v/>
      </c>
      <c r="BN178" t="str">
        <f>IF(Sistema!BN178="","",Sistema!BN178)</f>
        <v/>
      </c>
      <c r="BO178" t="str">
        <f>IF(Sistema!BO178="","",Sistema!BO178)</f>
        <v/>
      </c>
      <c r="BP178" t="str">
        <f>IF(Sistema!BP178="","",Sistema!BP178)</f>
        <v/>
      </c>
      <c r="BQ178" t="str">
        <f>IF(Sistema!BQ178="","",Sistema!BQ178)</f>
        <v/>
      </c>
      <c r="BR178" t="str">
        <f>IF(Sistema!BR178="","",Sistema!BR178)</f>
        <v/>
      </c>
      <c r="BS178" t="str">
        <f>IF(Sistema!BS178="","",Sistema!BS178)</f>
        <v/>
      </c>
      <c r="BT178" t="str">
        <f>IF(Sistema!BT178="","",Sistema!BT178)</f>
        <v/>
      </c>
      <c r="BU178" t="str">
        <f>IF(Sistema!BU178="","",Sistema!BU178)</f>
        <v/>
      </c>
      <c r="BV178" t="str">
        <f>IF(Sistema!BV178="","",Sistema!BV178)</f>
        <v/>
      </c>
      <c r="BW178" t="str">
        <f>IF(Sistema!BW178="","",Sistema!BW178)</f>
        <v/>
      </c>
      <c r="BX178" t="str">
        <f>IF(Sistema!BX178="","",Sistema!BX178)</f>
        <v/>
      </c>
      <c r="BY178" t="str">
        <f>IF(Sistema!BY178="","",Sistema!BY178)</f>
        <v/>
      </c>
      <c r="BZ178" t="str">
        <f>IF(Sistema!BZ178="","",Sistema!BZ178)</f>
        <v/>
      </c>
      <c r="CA178" t="str">
        <f>IF(Sistema!CA178="","",Sistema!CA178)</f>
        <v/>
      </c>
      <c r="CB178" t="str">
        <f>IF(Sistema!CB178="","",Sistema!CB178)</f>
        <v/>
      </c>
      <c r="CC178" t="str">
        <f>IF(Sistema!CC178="","",Sistema!CC178)</f>
        <v/>
      </c>
      <c r="CD178" t="str">
        <f>IF(Sistema!CD178="","",Sistema!CD178)</f>
        <v/>
      </c>
    </row>
    <row r="179" spans="1:82" x14ac:dyDescent="0.25">
      <c r="A179" t="str">
        <f>IF(Sistema!A179="","",Sistema!A179)</f>
        <v/>
      </c>
      <c r="B179" t="str">
        <f>IF(Sistema!B179="","",Sistema!B179)</f>
        <v/>
      </c>
      <c r="C179" t="str">
        <f>IF(Sistema!C179="","",Sistema!C179)</f>
        <v/>
      </c>
      <c r="D179" t="str">
        <f>IF(Sistema!D179="","",Sistema!D179)</f>
        <v/>
      </c>
      <c r="E179" t="str">
        <f>IF(Sistema!E179="","",Sistema!E179)</f>
        <v/>
      </c>
      <c r="F179">
        <f>IF(P179&gt;0,1,IF(Sistema!F179=0,-1,1))</f>
        <v>-1</v>
      </c>
      <c r="G179">
        <f>Sistema!G179</f>
        <v>0</v>
      </c>
      <c r="H179" t="str">
        <f>IF(OR(R179="notify",R179=1),"visible",IF(OR(Sistema!F179=-1,Sistema!F179=0,ISNUMBER(SEARCH("PCK",E179))),"hidden",IF(P179&gt;0,"visible","hidden")))</f>
        <v>hidden</v>
      </c>
      <c r="I179" t="str">
        <f>IF(B179="simple",IF(P179&gt;0,"",IF(R179="notify",Info!C$2,"")),IF(B179="variable",IF(P179&gt;0,"",IF(R179="notify",Info!C$4,"")),""))</f>
        <v/>
      </c>
      <c r="J179" t="str">
        <f>IF(Sistema!J179="","",Sistema!J179)</f>
        <v/>
      </c>
      <c r="M179" t="str">
        <f>IF(Sistema!M179="","",Sistema!M179)</f>
        <v/>
      </c>
      <c r="N179" s="6" t="s">
        <v>1557</v>
      </c>
      <c r="O179" s="6">
        <v>1</v>
      </c>
      <c r="P179">
        <f>Sistema!P179</f>
        <v>0</v>
      </c>
      <c r="Q179">
        <f>Sistema!Q179</f>
        <v>0</v>
      </c>
      <c r="R179">
        <f>IF(Sistema!R179=1,"notify",Sistema!R179)</f>
        <v>0</v>
      </c>
      <c r="T179" t="str">
        <f>IF(Sistema!T179="","",Sistema!T179)</f>
        <v/>
      </c>
      <c r="U179" t="str">
        <f>IF(Sistema!U179="","",Sistema!U179)</f>
        <v/>
      </c>
      <c r="V179" t="str">
        <f>IF(Sistema!V179="","",Sistema!V179)</f>
        <v/>
      </c>
      <c r="W179" t="str">
        <f>IF(Sistema!W179="","",Sistema!W179)</f>
        <v/>
      </c>
      <c r="X179" s="6">
        <v>1</v>
      </c>
      <c r="Z179" t="str">
        <f>IF(Sistema!Z179="","",Sistema!Z179)</f>
        <v/>
      </c>
      <c r="AA179" t="str">
        <f>IF(Sistema!AA179="","",Sistema!AA179)</f>
        <v/>
      </c>
      <c r="AB179" t="str">
        <f>IF(Sistema!AB179="","",IF(OR(ISNUMBER(SEARCH("MKP",E179)),ISNUMBER(SEARCH("MKP",C179))),"Marketplace &gt; "&amp;Sistema!AB179,Sistema!AB179))</f>
        <v/>
      </c>
      <c r="AC179" t="str">
        <f>IF(Sistema!AC179="","",Sistema!AC179)</f>
        <v/>
      </c>
      <c r="AE179" t="str">
        <f>IF(Sistema!AE179="","",Sistema!AE179)</f>
        <v/>
      </c>
      <c r="AH179" t="str">
        <f>IF(Sistema!AH179="","",Sistema!AH179)</f>
        <v/>
      </c>
      <c r="AQ179" t="str">
        <f>IF(Sistema!AQ179="","",Sistema!AQ179)</f>
        <v/>
      </c>
      <c r="AR179" t="str">
        <f>IF(Sistema!AR179="","",Sistema!AR179)</f>
        <v/>
      </c>
      <c r="AS179" t="str">
        <f>IF(Sistema!AS179="","",Sistema!AS179)</f>
        <v/>
      </c>
      <c r="AT179" t="str">
        <f>IF(Sistema!AT179="","",Sistema!AT179)</f>
        <v/>
      </c>
      <c r="AU179" t="str">
        <f>IF(Sistema!AU179="","",Sistema!AU179)</f>
        <v/>
      </c>
      <c r="AV179" t="str">
        <f>IF(Sistema!AV179="","",Sistema!AV179)</f>
        <v/>
      </c>
      <c r="AW179" t="str">
        <f>IF(Sistema!AW179="","",Sistema!AW179)</f>
        <v/>
      </c>
      <c r="AX179" t="str">
        <f>IF(Sistema!AX179="","",Sistema!AX179)</f>
        <v/>
      </c>
      <c r="AY179" t="str">
        <f>IF(Sistema!AY179="","",Sistema!AY179)</f>
        <v/>
      </c>
      <c r="AZ179" t="str">
        <f>IF(Sistema!AZ179="","",Sistema!AZ179)</f>
        <v/>
      </c>
      <c r="BA179" t="str">
        <f>IF(Sistema!BA179="","",Sistema!BA179)</f>
        <v/>
      </c>
      <c r="BB179" t="str">
        <f>IF(Sistema!BB179="","",Sistema!BB179)</f>
        <v/>
      </c>
      <c r="BC179" t="str">
        <f>IF(Sistema!BC179="","",Sistema!BC179)</f>
        <v/>
      </c>
      <c r="BD179" t="str">
        <f>IF(Sistema!BD179="","",Sistema!BD179)</f>
        <v/>
      </c>
      <c r="BE179" t="str">
        <f>IF(Sistema!BE179="","",Sistema!BE179)</f>
        <v/>
      </c>
      <c r="BF179" t="str">
        <f>IF(Sistema!BF179="","",Sistema!BF179)</f>
        <v/>
      </c>
      <c r="BG179" t="str">
        <f>IF(Sistema!BG179="","",Sistema!BG179)</f>
        <v/>
      </c>
      <c r="BH179" t="str">
        <f>IF(Sistema!BH179="","",Sistema!BH179)</f>
        <v/>
      </c>
      <c r="BI179" t="str">
        <f>IF(Sistema!BI179="","",Sistema!BI179)</f>
        <v/>
      </c>
      <c r="BJ179" t="str">
        <f>IF(Sistema!BJ179="","",Sistema!BJ179)</f>
        <v/>
      </c>
      <c r="BK179" t="str">
        <f>IF(Sistema!BK179="","",Sistema!BK179)</f>
        <v/>
      </c>
      <c r="BL179" t="str">
        <f>IF(Sistema!BL179="","",Sistema!BL179)</f>
        <v/>
      </c>
      <c r="BM179" t="str">
        <f>IF(Sistema!BM179="","",Sistema!BM179)</f>
        <v/>
      </c>
      <c r="BN179" t="str">
        <f>IF(Sistema!BN179="","",Sistema!BN179)</f>
        <v/>
      </c>
      <c r="BO179" t="str">
        <f>IF(Sistema!BO179="","",Sistema!BO179)</f>
        <v/>
      </c>
      <c r="BP179" t="str">
        <f>IF(Sistema!BP179="","",Sistema!BP179)</f>
        <v/>
      </c>
      <c r="BQ179" t="str">
        <f>IF(Sistema!BQ179="","",Sistema!BQ179)</f>
        <v/>
      </c>
      <c r="BR179" t="str">
        <f>IF(Sistema!BR179="","",Sistema!BR179)</f>
        <v/>
      </c>
      <c r="BS179" t="str">
        <f>IF(Sistema!BS179="","",Sistema!BS179)</f>
        <v/>
      </c>
      <c r="BT179" t="str">
        <f>IF(Sistema!BT179="","",Sistema!BT179)</f>
        <v/>
      </c>
      <c r="BU179" t="str">
        <f>IF(Sistema!BU179="","",Sistema!BU179)</f>
        <v/>
      </c>
      <c r="BV179" t="str">
        <f>IF(Sistema!BV179="","",Sistema!BV179)</f>
        <v/>
      </c>
      <c r="BW179" t="str">
        <f>IF(Sistema!BW179="","",Sistema!BW179)</f>
        <v/>
      </c>
      <c r="BX179" t="str">
        <f>IF(Sistema!BX179="","",Sistema!BX179)</f>
        <v/>
      </c>
      <c r="BY179" t="str">
        <f>IF(Sistema!BY179="","",Sistema!BY179)</f>
        <v/>
      </c>
      <c r="BZ179" t="str">
        <f>IF(Sistema!BZ179="","",Sistema!BZ179)</f>
        <v/>
      </c>
      <c r="CA179" t="str">
        <f>IF(Sistema!CA179="","",Sistema!CA179)</f>
        <v/>
      </c>
      <c r="CB179" t="str">
        <f>IF(Sistema!CB179="","",Sistema!CB179)</f>
        <v/>
      </c>
      <c r="CC179" t="str">
        <f>IF(Sistema!CC179="","",Sistema!CC179)</f>
        <v/>
      </c>
      <c r="CD179" t="str">
        <f>IF(Sistema!CD179="","",Sistema!CD179)</f>
        <v/>
      </c>
    </row>
    <row r="180" spans="1:82" x14ac:dyDescent="0.25">
      <c r="A180" t="str">
        <f>IF(Sistema!A180="","",Sistema!A180)</f>
        <v/>
      </c>
      <c r="B180" t="str">
        <f>IF(Sistema!B180="","",Sistema!B180)</f>
        <v/>
      </c>
      <c r="C180" t="str">
        <f>IF(Sistema!C180="","",Sistema!C180)</f>
        <v/>
      </c>
      <c r="D180" t="str">
        <f>IF(Sistema!D180="","",Sistema!D180)</f>
        <v/>
      </c>
      <c r="E180" t="str">
        <f>IF(Sistema!E180="","",Sistema!E180)</f>
        <v/>
      </c>
      <c r="F180">
        <f>IF(P180&gt;0,1,IF(Sistema!F180=0,-1,1))</f>
        <v>-1</v>
      </c>
      <c r="G180">
        <f>Sistema!G180</f>
        <v>0</v>
      </c>
      <c r="H180" t="str">
        <f>IF(OR(R180="notify",R180=1),"visible",IF(OR(Sistema!F180=-1,Sistema!F180=0,ISNUMBER(SEARCH("PCK",E180))),"hidden",IF(P180&gt;0,"visible","hidden")))</f>
        <v>hidden</v>
      </c>
      <c r="I180" t="str">
        <f>IF(B180="simple",IF(P180&gt;0,"",IF(R180="notify",Info!C$2,"")),IF(B180="variable",IF(P180&gt;0,"",IF(R180="notify",Info!C$4,"")),""))</f>
        <v/>
      </c>
      <c r="J180" t="str">
        <f>IF(Sistema!J180="","",Sistema!J180)</f>
        <v/>
      </c>
      <c r="M180" t="str">
        <f>IF(Sistema!M180="","",Sistema!M180)</f>
        <v/>
      </c>
      <c r="N180" s="6" t="s">
        <v>1557</v>
      </c>
      <c r="O180" s="6">
        <v>1</v>
      </c>
      <c r="P180">
        <f>Sistema!P180</f>
        <v>0</v>
      </c>
      <c r="Q180">
        <f>Sistema!Q180</f>
        <v>0</v>
      </c>
      <c r="R180">
        <f>IF(Sistema!R180=1,"notify",Sistema!R180)</f>
        <v>0</v>
      </c>
      <c r="T180" t="str">
        <f>IF(Sistema!T180="","",Sistema!T180)</f>
        <v/>
      </c>
      <c r="U180" t="str">
        <f>IF(Sistema!U180="","",Sistema!U180)</f>
        <v/>
      </c>
      <c r="V180" t="str">
        <f>IF(Sistema!V180="","",Sistema!V180)</f>
        <v/>
      </c>
      <c r="W180" t="str">
        <f>IF(Sistema!W180="","",Sistema!W180)</f>
        <v/>
      </c>
      <c r="X180" s="6">
        <v>1</v>
      </c>
      <c r="Z180" t="str">
        <f>IF(Sistema!Z180="","",Sistema!Z180)</f>
        <v/>
      </c>
      <c r="AA180" t="str">
        <f>IF(Sistema!AA180="","",Sistema!AA180)</f>
        <v/>
      </c>
      <c r="AB180" t="str">
        <f>IF(Sistema!AB180="","",IF(OR(ISNUMBER(SEARCH("MKP",E180)),ISNUMBER(SEARCH("MKP",C180))),"Marketplace &gt; "&amp;Sistema!AB180,Sistema!AB180))</f>
        <v/>
      </c>
      <c r="AC180" t="str">
        <f>IF(Sistema!AC180="","",Sistema!AC180)</f>
        <v/>
      </c>
      <c r="AE180" t="str">
        <f>IF(Sistema!AE180="","",Sistema!AE180)</f>
        <v/>
      </c>
      <c r="AH180" t="str">
        <f>IF(Sistema!AH180="","",Sistema!AH180)</f>
        <v/>
      </c>
      <c r="AQ180" t="str">
        <f>IF(Sistema!AQ180="","",Sistema!AQ180)</f>
        <v/>
      </c>
      <c r="AR180" t="str">
        <f>IF(Sistema!AR180="","",Sistema!AR180)</f>
        <v/>
      </c>
      <c r="AS180" t="str">
        <f>IF(Sistema!AS180="","",Sistema!AS180)</f>
        <v/>
      </c>
      <c r="AT180" t="str">
        <f>IF(Sistema!AT180="","",Sistema!AT180)</f>
        <v/>
      </c>
      <c r="AU180" t="str">
        <f>IF(Sistema!AU180="","",Sistema!AU180)</f>
        <v/>
      </c>
      <c r="AV180" t="str">
        <f>IF(Sistema!AV180="","",Sistema!AV180)</f>
        <v/>
      </c>
      <c r="AW180" t="str">
        <f>IF(Sistema!AW180="","",Sistema!AW180)</f>
        <v/>
      </c>
      <c r="AX180" t="str">
        <f>IF(Sistema!AX180="","",Sistema!AX180)</f>
        <v/>
      </c>
      <c r="AY180" t="str">
        <f>IF(Sistema!AY180="","",Sistema!AY180)</f>
        <v/>
      </c>
      <c r="AZ180" t="str">
        <f>IF(Sistema!AZ180="","",Sistema!AZ180)</f>
        <v/>
      </c>
      <c r="BA180" t="str">
        <f>IF(Sistema!BA180="","",Sistema!BA180)</f>
        <v/>
      </c>
      <c r="BB180" t="str">
        <f>IF(Sistema!BB180="","",Sistema!BB180)</f>
        <v/>
      </c>
      <c r="BC180" t="str">
        <f>IF(Sistema!BC180="","",Sistema!BC180)</f>
        <v/>
      </c>
      <c r="BD180" t="str">
        <f>IF(Sistema!BD180="","",Sistema!BD180)</f>
        <v/>
      </c>
      <c r="BE180" t="str">
        <f>IF(Sistema!BE180="","",Sistema!BE180)</f>
        <v/>
      </c>
      <c r="BF180" t="str">
        <f>IF(Sistema!BF180="","",Sistema!BF180)</f>
        <v/>
      </c>
      <c r="BG180" t="str">
        <f>IF(Sistema!BG180="","",Sistema!BG180)</f>
        <v/>
      </c>
      <c r="BH180" t="str">
        <f>IF(Sistema!BH180="","",Sistema!BH180)</f>
        <v/>
      </c>
      <c r="BI180" t="str">
        <f>IF(Sistema!BI180="","",Sistema!BI180)</f>
        <v/>
      </c>
      <c r="BJ180" t="str">
        <f>IF(Sistema!BJ180="","",Sistema!BJ180)</f>
        <v/>
      </c>
      <c r="BK180" t="str">
        <f>IF(Sistema!BK180="","",Sistema!BK180)</f>
        <v/>
      </c>
      <c r="BL180" t="str">
        <f>IF(Sistema!BL180="","",Sistema!BL180)</f>
        <v/>
      </c>
      <c r="BM180" t="str">
        <f>IF(Sistema!BM180="","",Sistema!BM180)</f>
        <v/>
      </c>
      <c r="BN180" t="str">
        <f>IF(Sistema!BN180="","",Sistema!BN180)</f>
        <v/>
      </c>
      <c r="BO180" t="str">
        <f>IF(Sistema!BO180="","",Sistema!BO180)</f>
        <v/>
      </c>
      <c r="BP180" t="str">
        <f>IF(Sistema!BP180="","",Sistema!BP180)</f>
        <v/>
      </c>
      <c r="BQ180" t="str">
        <f>IF(Sistema!BQ180="","",Sistema!BQ180)</f>
        <v/>
      </c>
      <c r="BR180" t="str">
        <f>IF(Sistema!BR180="","",Sistema!BR180)</f>
        <v/>
      </c>
      <c r="BS180" t="str">
        <f>IF(Sistema!BS180="","",Sistema!BS180)</f>
        <v/>
      </c>
      <c r="BT180" t="str">
        <f>IF(Sistema!BT180="","",Sistema!BT180)</f>
        <v/>
      </c>
      <c r="BU180" t="str">
        <f>IF(Sistema!BU180="","",Sistema!BU180)</f>
        <v/>
      </c>
      <c r="BV180" t="str">
        <f>IF(Sistema!BV180="","",Sistema!BV180)</f>
        <v/>
      </c>
      <c r="BW180" t="str">
        <f>IF(Sistema!BW180="","",Sistema!BW180)</f>
        <v/>
      </c>
      <c r="BX180" t="str">
        <f>IF(Sistema!BX180="","",Sistema!BX180)</f>
        <v/>
      </c>
      <c r="BY180" t="str">
        <f>IF(Sistema!BY180="","",Sistema!BY180)</f>
        <v/>
      </c>
      <c r="BZ180" t="str">
        <f>IF(Sistema!BZ180="","",Sistema!BZ180)</f>
        <v/>
      </c>
      <c r="CA180" t="str">
        <f>IF(Sistema!CA180="","",Sistema!CA180)</f>
        <v/>
      </c>
      <c r="CB180" t="str">
        <f>IF(Sistema!CB180="","",Sistema!CB180)</f>
        <v/>
      </c>
      <c r="CC180" t="str">
        <f>IF(Sistema!CC180="","",Sistema!CC180)</f>
        <v/>
      </c>
      <c r="CD180" t="str">
        <f>IF(Sistema!CD180="","",Sistema!CD180)</f>
        <v/>
      </c>
    </row>
    <row r="181" spans="1:82" x14ac:dyDescent="0.25">
      <c r="A181" t="str">
        <f>IF(Sistema!A181="","",Sistema!A181)</f>
        <v/>
      </c>
      <c r="B181" t="str">
        <f>IF(Sistema!B181="","",Sistema!B181)</f>
        <v/>
      </c>
      <c r="C181" t="str">
        <f>IF(Sistema!C181="","",Sistema!C181)</f>
        <v/>
      </c>
      <c r="D181" t="str">
        <f>IF(Sistema!D181="","",Sistema!D181)</f>
        <v/>
      </c>
      <c r="E181" t="str">
        <f>IF(Sistema!E181="","",Sistema!E181)</f>
        <v/>
      </c>
      <c r="F181">
        <f>IF(P181&gt;0,1,IF(Sistema!F181=0,-1,1))</f>
        <v>-1</v>
      </c>
      <c r="G181">
        <f>Sistema!G181</f>
        <v>0</v>
      </c>
      <c r="H181" t="str">
        <f>IF(OR(R181="notify",R181=1),"visible",IF(OR(Sistema!F181=-1,Sistema!F181=0,ISNUMBER(SEARCH("PCK",E181))),"hidden",IF(P181&gt;0,"visible","hidden")))</f>
        <v>hidden</v>
      </c>
      <c r="I181" t="str">
        <f>IF(B181="simple",IF(P181&gt;0,"",IF(R181="notify",Info!C$2,"")),IF(B181="variable",IF(P181&gt;0,"",IF(R181="notify",Info!C$4,"")),""))</f>
        <v/>
      </c>
      <c r="J181" t="str">
        <f>IF(Sistema!J181="","",Sistema!J181)</f>
        <v/>
      </c>
      <c r="M181" t="str">
        <f>IF(Sistema!M181="","",Sistema!M181)</f>
        <v/>
      </c>
      <c r="N181" s="6" t="s">
        <v>1557</v>
      </c>
      <c r="O181" s="6">
        <v>1</v>
      </c>
      <c r="P181">
        <f>Sistema!P181</f>
        <v>0</v>
      </c>
      <c r="Q181">
        <f>Sistema!Q181</f>
        <v>0</v>
      </c>
      <c r="R181">
        <f>IF(Sistema!R181=1,"notify",Sistema!R181)</f>
        <v>0</v>
      </c>
      <c r="T181" t="str">
        <f>IF(Sistema!T181="","",Sistema!T181)</f>
        <v/>
      </c>
      <c r="U181" t="str">
        <f>IF(Sistema!U181="","",Sistema!U181)</f>
        <v/>
      </c>
      <c r="V181" t="str">
        <f>IF(Sistema!V181="","",Sistema!V181)</f>
        <v/>
      </c>
      <c r="W181" t="str">
        <f>IF(Sistema!W181="","",Sistema!W181)</f>
        <v/>
      </c>
      <c r="X181" s="6">
        <v>1</v>
      </c>
      <c r="Z181" t="str">
        <f>IF(Sistema!Z181="","",Sistema!Z181)</f>
        <v/>
      </c>
      <c r="AA181" t="str">
        <f>IF(Sistema!AA181="","",Sistema!AA181)</f>
        <v/>
      </c>
      <c r="AB181" t="str">
        <f>IF(Sistema!AB181="","",IF(OR(ISNUMBER(SEARCH("MKP",E181)),ISNUMBER(SEARCH("MKP",C181))),"Marketplace &gt; "&amp;Sistema!AB181,Sistema!AB181))</f>
        <v/>
      </c>
      <c r="AC181" t="str">
        <f>IF(Sistema!AC181="","",Sistema!AC181)</f>
        <v/>
      </c>
      <c r="AE181" t="str">
        <f>IF(Sistema!AE181="","",Sistema!AE181)</f>
        <v/>
      </c>
      <c r="AH181" t="str">
        <f>IF(Sistema!AH181="","",Sistema!AH181)</f>
        <v/>
      </c>
      <c r="AQ181" t="str">
        <f>IF(Sistema!AQ181="","",Sistema!AQ181)</f>
        <v/>
      </c>
      <c r="AR181" t="str">
        <f>IF(Sistema!AR181="","",Sistema!AR181)</f>
        <v/>
      </c>
      <c r="AS181" t="str">
        <f>IF(Sistema!AS181="","",Sistema!AS181)</f>
        <v/>
      </c>
      <c r="AT181" t="str">
        <f>IF(Sistema!AT181="","",Sistema!AT181)</f>
        <v/>
      </c>
      <c r="AU181" t="str">
        <f>IF(Sistema!AU181="","",Sistema!AU181)</f>
        <v/>
      </c>
      <c r="AV181" t="str">
        <f>IF(Sistema!AV181="","",Sistema!AV181)</f>
        <v/>
      </c>
      <c r="AW181" t="str">
        <f>IF(Sistema!AW181="","",Sistema!AW181)</f>
        <v/>
      </c>
      <c r="AX181" t="str">
        <f>IF(Sistema!AX181="","",Sistema!AX181)</f>
        <v/>
      </c>
      <c r="AY181" t="str">
        <f>IF(Sistema!AY181="","",Sistema!AY181)</f>
        <v/>
      </c>
      <c r="AZ181" t="str">
        <f>IF(Sistema!AZ181="","",Sistema!AZ181)</f>
        <v/>
      </c>
      <c r="BA181" t="str">
        <f>IF(Sistema!BA181="","",Sistema!BA181)</f>
        <v/>
      </c>
      <c r="BB181" t="str">
        <f>IF(Sistema!BB181="","",Sistema!BB181)</f>
        <v/>
      </c>
      <c r="BC181" t="str">
        <f>IF(Sistema!BC181="","",Sistema!BC181)</f>
        <v/>
      </c>
      <c r="BD181" t="str">
        <f>IF(Sistema!BD181="","",Sistema!BD181)</f>
        <v/>
      </c>
      <c r="BE181" t="str">
        <f>IF(Sistema!BE181="","",Sistema!BE181)</f>
        <v/>
      </c>
      <c r="BF181" t="str">
        <f>IF(Sistema!BF181="","",Sistema!BF181)</f>
        <v/>
      </c>
      <c r="BG181" t="str">
        <f>IF(Sistema!BG181="","",Sistema!BG181)</f>
        <v/>
      </c>
      <c r="BH181" t="str">
        <f>IF(Sistema!BH181="","",Sistema!BH181)</f>
        <v/>
      </c>
      <c r="BI181" t="str">
        <f>IF(Sistema!BI181="","",Sistema!BI181)</f>
        <v/>
      </c>
      <c r="BJ181" t="str">
        <f>IF(Sistema!BJ181="","",Sistema!BJ181)</f>
        <v/>
      </c>
      <c r="BK181" t="str">
        <f>IF(Sistema!BK181="","",Sistema!BK181)</f>
        <v/>
      </c>
      <c r="BL181" t="str">
        <f>IF(Sistema!BL181="","",Sistema!BL181)</f>
        <v/>
      </c>
      <c r="BM181" t="str">
        <f>IF(Sistema!BM181="","",Sistema!BM181)</f>
        <v/>
      </c>
      <c r="BN181" t="str">
        <f>IF(Sistema!BN181="","",Sistema!BN181)</f>
        <v/>
      </c>
      <c r="BO181" t="str">
        <f>IF(Sistema!BO181="","",Sistema!BO181)</f>
        <v/>
      </c>
      <c r="BP181" t="str">
        <f>IF(Sistema!BP181="","",Sistema!BP181)</f>
        <v/>
      </c>
      <c r="BQ181" t="str">
        <f>IF(Sistema!BQ181="","",Sistema!BQ181)</f>
        <v/>
      </c>
      <c r="BR181" t="str">
        <f>IF(Sistema!BR181="","",Sistema!BR181)</f>
        <v/>
      </c>
      <c r="BS181" t="str">
        <f>IF(Sistema!BS181="","",Sistema!BS181)</f>
        <v/>
      </c>
      <c r="BT181" t="str">
        <f>IF(Sistema!BT181="","",Sistema!BT181)</f>
        <v/>
      </c>
      <c r="BU181" t="str">
        <f>IF(Sistema!BU181="","",Sistema!BU181)</f>
        <v/>
      </c>
      <c r="BV181" t="str">
        <f>IF(Sistema!BV181="","",Sistema!BV181)</f>
        <v/>
      </c>
      <c r="BW181" t="str">
        <f>IF(Sistema!BW181="","",Sistema!BW181)</f>
        <v/>
      </c>
      <c r="BX181" t="str">
        <f>IF(Sistema!BX181="","",Sistema!BX181)</f>
        <v/>
      </c>
      <c r="BY181" t="str">
        <f>IF(Sistema!BY181="","",Sistema!BY181)</f>
        <v/>
      </c>
      <c r="BZ181" t="str">
        <f>IF(Sistema!BZ181="","",Sistema!BZ181)</f>
        <v/>
      </c>
      <c r="CA181" t="str">
        <f>IF(Sistema!CA181="","",Sistema!CA181)</f>
        <v/>
      </c>
      <c r="CB181" t="str">
        <f>IF(Sistema!CB181="","",Sistema!CB181)</f>
        <v/>
      </c>
      <c r="CC181" t="str">
        <f>IF(Sistema!CC181="","",Sistema!CC181)</f>
        <v/>
      </c>
      <c r="CD181" t="str">
        <f>IF(Sistema!CD181="","",Sistema!CD181)</f>
        <v/>
      </c>
    </row>
    <row r="182" spans="1:82" x14ac:dyDescent="0.25">
      <c r="A182" t="str">
        <f>IF(Sistema!A182="","",Sistema!A182)</f>
        <v/>
      </c>
      <c r="B182" t="str">
        <f>IF(Sistema!B182="","",Sistema!B182)</f>
        <v/>
      </c>
      <c r="C182" t="str">
        <f>IF(Sistema!C182="","",Sistema!C182)</f>
        <v/>
      </c>
      <c r="D182" t="str">
        <f>IF(Sistema!D182="","",Sistema!D182)</f>
        <v/>
      </c>
      <c r="E182" t="str">
        <f>IF(Sistema!E182="","",Sistema!E182)</f>
        <v/>
      </c>
      <c r="F182">
        <f>IF(P182&gt;0,1,IF(Sistema!F182=0,-1,1))</f>
        <v>-1</v>
      </c>
      <c r="G182">
        <f>Sistema!G182</f>
        <v>0</v>
      </c>
      <c r="H182" t="str">
        <f>IF(OR(R182="notify",R182=1),"visible",IF(OR(Sistema!F182=-1,Sistema!F182=0,ISNUMBER(SEARCH("PCK",E182))),"hidden",IF(P182&gt;0,"visible","hidden")))</f>
        <v>hidden</v>
      </c>
      <c r="I182" t="str">
        <f>IF(B182="simple",IF(P182&gt;0,"",IF(R182="notify",Info!C$2,"")),IF(B182="variable",IF(P182&gt;0,"",IF(R182="notify",Info!C$4,"")),""))</f>
        <v/>
      </c>
      <c r="J182" t="str">
        <f>IF(Sistema!J182="","",Sistema!J182)</f>
        <v/>
      </c>
      <c r="M182" t="str">
        <f>IF(Sistema!M182="","",Sistema!M182)</f>
        <v/>
      </c>
      <c r="N182" s="6" t="s">
        <v>1557</v>
      </c>
      <c r="O182" s="6">
        <v>1</v>
      </c>
      <c r="P182">
        <f>Sistema!P182</f>
        <v>0</v>
      </c>
      <c r="Q182">
        <f>Sistema!Q182</f>
        <v>0</v>
      </c>
      <c r="R182">
        <f>IF(Sistema!R182=1,"notify",Sistema!R182)</f>
        <v>0</v>
      </c>
      <c r="T182" t="str">
        <f>IF(Sistema!T182="","",Sistema!T182)</f>
        <v/>
      </c>
      <c r="U182" t="str">
        <f>IF(Sistema!U182="","",Sistema!U182)</f>
        <v/>
      </c>
      <c r="V182" t="str">
        <f>IF(Sistema!V182="","",Sistema!V182)</f>
        <v/>
      </c>
      <c r="W182" t="str">
        <f>IF(Sistema!W182="","",Sistema!W182)</f>
        <v/>
      </c>
      <c r="X182" s="6">
        <v>1</v>
      </c>
      <c r="Z182" t="str">
        <f>IF(Sistema!Z182="","",Sistema!Z182)</f>
        <v/>
      </c>
      <c r="AA182" t="str">
        <f>IF(Sistema!AA182="","",Sistema!AA182)</f>
        <v/>
      </c>
      <c r="AB182" t="str">
        <f>IF(Sistema!AB182="","",IF(OR(ISNUMBER(SEARCH("MKP",E182)),ISNUMBER(SEARCH("MKP",C182))),"Marketplace &gt; "&amp;Sistema!AB182,Sistema!AB182))</f>
        <v/>
      </c>
      <c r="AC182" t="str">
        <f>IF(Sistema!AC182="","",Sistema!AC182)</f>
        <v/>
      </c>
      <c r="AE182" t="str">
        <f>IF(Sistema!AE182="","",Sistema!AE182)</f>
        <v/>
      </c>
      <c r="AH182" t="str">
        <f>IF(Sistema!AH182="","",Sistema!AH182)</f>
        <v/>
      </c>
      <c r="AQ182" t="str">
        <f>IF(Sistema!AQ182="","",Sistema!AQ182)</f>
        <v/>
      </c>
      <c r="AR182" t="str">
        <f>IF(Sistema!AR182="","",Sistema!AR182)</f>
        <v/>
      </c>
      <c r="AS182" t="str">
        <f>IF(Sistema!AS182="","",Sistema!AS182)</f>
        <v/>
      </c>
      <c r="AT182" t="str">
        <f>IF(Sistema!AT182="","",Sistema!AT182)</f>
        <v/>
      </c>
      <c r="AU182" t="str">
        <f>IF(Sistema!AU182="","",Sistema!AU182)</f>
        <v/>
      </c>
      <c r="AV182" t="str">
        <f>IF(Sistema!AV182="","",Sistema!AV182)</f>
        <v/>
      </c>
      <c r="AW182" t="str">
        <f>IF(Sistema!AW182="","",Sistema!AW182)</f>
        <v/>
      </c>
      <c r="AX182" t="str">
        <f>IF(Sistema!AX182="","",Sistema!AX182)</f>
        <v/>
      </c>
      <c r="AY182" t="str">
        <f>IF(Sistema!AY182="","",Sistema!AY182)</f>
        <v/>
      </c>
      <c r="AZ182" t="str">
        <f>IF(Sistema!AZ182="","",Sistema!AZ182)</f>
        <v/>
      </c>
      <c r="BA182" t="str">
        <f>IF(Sistema!BA182="","",Sistema!BA182)</f>
        <v/>
      </c>
      <c r="BB182" t="str">
        <f>IF(Sistema!BB182="","",Sistema!BB182)</f>
        <v/>
      </c>
      <c r="BC182" t="str">
        <f>IF(Sistema!BC182="","",Sistema!BC182)</f>
        <v/>
      </c>
      <c r="BD182" t="str">
        <f>IF(Sistema!BD182="","",Sistema!BD182)</f>
        <v/>
      </c>
      <c r="BE182" t="str">
        <f>IF(Sistema!BE182="","",Sistema!BE182)</f>
        <v/>
      </c>
      <c r="BF182" t="str">
        <f>IF(Sistema!BF182="","",Sistema!BF182)</f>
        <v/>
      </c>
      <c r="BG182" t="str">
        <f>IF(Sistema!BG182="","",Sistema!BG182)</f>
        <v/>
      </c>
      <c r="BH182" t="str">
        <f>IF(Sistema!BH182="","",Sistema!BH182)</f>
        <v/>
      </c>
      <c r="BI182" t="str">
        <f>IF(Sistema!BI182="","",Sistema!BI182)</f>
        <v/>
      </c>
      <c r="BJ182" t="str">
        <f>IF(Sistema!BJ182="","",Sistema!BJ182)</f>
        <v/>
      </c>
      <c r="BK182" t="str">
        <f>IF(Sistema!BK182="","",Sistema!BK182)</f>
        <v/>
      </c>
      <c r="BL182" t="str">
        <f>IF(Sistema!BL182="","",Sistema!BL182)</f>
        <v/>
      </c>
      <c r="BM182" t="str">
        <f>IF(Sistema!BM182="","",Sistema!BM182)</f>
        <v/>
      </c>
      <c r="BN182" t="str">
        <f>IF(Sistema!BN182="","",Sistema!BN182)</f>
        <v/>
      </c>
      <c r="BO182" t="str">
        <f>IF(Sistema!BO182="","",Sistema!BO182)</f>
        <v/>
      </c>
      <c r="BP182" t="str">
        <f>IF(Sistema!BP182="","",Sistema!BP182)</f>
        <v/>
      </c>
      <c r="BQ182" t="str">
        <f>IF(Sistema!BQ182="","",Sistema!BQ182)</f>
        <v/>
      </c>
      <c r="BR182" t="str">
        <f>IF(Sistema!BR182="","",Sistema!BR182)</f>
        <v/>
      </c>
      <c r="BS182" t="str">
        <f>IF(Sistema!BS182="","",Sistema!BS182)</f>
        <v/>
      </c>
      <c r="BT182" t="str">
        <f>IF(Sistema!BT182="","",Sistema!BT182)</f>
        <v/>
      </c>
      <c r="BU182" t="str">
        <f>IF(Sistema!BU182="","",Sistema!BU182)</f>
        <v/>
      </c>
      <c r="BV182" t="str">
        <f>IF(Sistema!BV182="","",Sistema!BV182)</f>
        <v/>
      </c>
      <c r="BW182" t="str">
        <f>IF(Sistema!BW182="","",Sistema!BW182)</f>
        <v/>
      </c>
      <c r="BX182" t="str">
        <f>IF(Sistema!BX182="","",Sistema!BX182)</f>
        <v/>
      </c>
      <c r="BY182" t="str">
        <f>IF(Sistema!BY182="","",Sistema!BY182)</f>
        <v/>
      </c>
      <c r="BZ182" t="str">
        <f>IF(Sistema!BZ182="","",Sistema!BZ182)</f>
        <v/>
      </c>
      <c r="CA182" t="str">
        <f>IF(Sistema!CA182="","",Sistema!CA182)</f>
        <v/>
      </c>
      <c r="CB182" t="str">
        <f>IF(Sistema!CB182="","",Sistema!CB182)</f>
        <v/>
      </c>
      <c r="CC182" t="str">
        <f>IF(Sistema!CC182="","",Sistema!CC182)</f>
        <v/>
      </c>
      <c r="CD182" t="str">
        <f>IF(Sistema!CD182="","",Sistema!CD182)</f>
        <v/>
      </c>
    </row>
    <row r="183" spans="1:82" x14ac:dyDescent="0.25">
      <c r="A183" t="str">
        <f>IF(Sistema!A183="","",Sistema!A183)</f>
        <v/>
      </c>
      <c r="B183" t="str">
        <f>IF(Sistema!B183="","",Sistema!B183)</f>
        <v/>
      </c>
      <c r="C183" t="str">
        <f>IF(Sistema!C183="","",Sistema!C183)</f>
        <v/>
      </c>
      <c r="D183" t="str">
        <f>IF(Sistema!D183="","",Sistema!D183)</f>
        <v/>
      </c>
      <c r="E183" t="str">
        <f>IF(Sistema!E183="","",Sistema!E183)</f>
        <v/>
      </c>
      <c r="F183">
        <f>IF(P183&gt;0,1,IF(Sistema!F183=0,-1,1))</f>
        <v>-1</v>
      </c>
      <c r="G183">
        <f>Sistema!G183</f>
        <v>0</v>
      </c>
      <c r="H183" t="str">
        <f>IF(OR(R183="notify",R183=1),"visible",IF(OR(Sistema!F183=-1,Sistema!F183=0,ISNUMBER(SEARCH("PCK",E183))),"hidden",IF(P183&gt;0,"visible","hidden")))</f>
        <v>hidden</v>
      </c>
      <c r="I183" t="str">
        <f>IF(B183="simple",IF(P183&gt;0,"",IF(R183="notify",Info!C$2,"")),IF(B183="variable",IF(P183&gt;0,"",IF(R183="notify",Info!C$4,"")),""))</f>
        <v/>
      </c>
      <c r="J183" t="str">
        <f>IF(Sistema!J183="","",Sistema!J183)</f>
        <v/>
      </c>
      <c r="M183" t="str">
        <f>IF(Sistema!M183="","",Sistema!M183)</f>
        <v/>
      </c>
      <c r="N183" s="6" t="s">
        <v>1557</v>
      </c>
      <c r="O183" s="6">
        <v>1</v>
      </c>
      <c r="P183">
        <f>Sistema!P183</f>
        <v>0</v>
      </c>
      <c r="Q183">
        <f>Sistema!Q183</f>
        <v>0</v>
      </c>
      <c r="R183">
        <f>IF(Sistema!R183=1,"notify",Sistema!R183)</f>
        <v>0</v>
      </c>
      <c r="T183" t="str">
        <f>IF(Sistema!T183="","",Sistema!T183)</f>
        <v/>
      </c>
      <c r="U183" t="str">
        <f>IF(Sistema!U183="","",Sistema!U183)</f>
        <v/>
      </c>
      <c r="V183" t="str">
        <f>IF(Sistema!V183="","",Sistema!V183)</f>
        <v/>
      </c>
      <c r="W183" t="str">
        <f>IF(Sistema!W183="","",Sistema!W183)</f>
        <v/>
      </c>
      <c r="X183" s="6">
        <v>1</v>
      </c>
      <c r="Z183" t="str">
        <f>IF(Sistema!Z183="","",Sistema!Z183)</f>
        <v/>
      </c>
      <c r="AA183" t="str">
        <f>IF(Sistema!AA183="","",Sistema!AA183)</f>
        <v/>
      </c>
      <c r="AB183" t="str">
        <f>IF(Sistema!AB183="","",IF(OR(ISNUMBER(SEARCH("MKP",E183)),ISNUMBER(SEARCH("MKP",C183))),"Marketplace &gt; "&amp;Sistema!AB183,Sistema!AB183))</f>
        <v/>
      </c>
      <c r="AC183" t="str">
        <f>IF(Sistema!AC183="","",Sistema!AC183)</f>
        <v/>
      </c>
      <c r="AE183" t="str">
        <f>IF(Sistema!AE183="","",Sistema!AE183)</f>
        <v/>
      </c>
      <c r="AH183" t="str">
        <f>IF(Sistema!AH183="","",Sistema!AH183)</f>
        <v/>
      </c>
      <c r="AQ183" t="str">
        <f>IF(Sistema!AQ183="","",Sistema!AQ183)</f>
        <v/>
      </c>
      <c r="AR183" t="str">
        <f>IF(Sistema!AR183="","",Sistema!AR183)</f>
        <v/>
      </c>
      <c r="AS183" t="str">
        <f>IF(Sistema!AS183="","",Sistema!AS183)</f>
        <v/>
      </c>
      <c r="AT183" t="str">
        <f>IF(Sistema!AT183="","",Sistema!AT183)</f>
        <v/>
      </c>
      <c r="AU183" t="str">
        <f>IF(Sistema!AU183="","",Sistema!AU183)</f>
        <v/>
      </c>
      <c r="AV183" t="str">
        <f>IF(Sistema!AV183="","",Sistema!AV183)</f>
        <v/>
      </c>
      <c r="AW183" t="str">
        <f>IF(Sistema!AW183="","",Sistema!AW183)</f>
        <v/>
      </c>
      <c r="AX183" t="str">
        <f>IF(Sistema!AX183="","",Sistema!AX183)</f>
        <v/>
      </c>
      <c r="AY183" t="str">
        <f>IF(Sistema!AY183="","",Sistema!AY183)</f>
        <v/>
      </c>
      <c r="AZ183" t="str">
        <f>IF(Sistema!AZ183="","",Sistema!AZ183)</f>
        <v/>
      </c>
      <c r="BA183" t="str">
        <f>IF(Sistema!BA183="","",Sistema!BA183)</f>
        <v/>
      </c>
      <c r="BB183" t="str">
        <f>IF(Sistema!BB183="","",Sistema!BB183)</f>
        <v/>
      </c>
      <c r="BC183" t="str">
        <f>IF(Sistema!BC183="","",Sistema!BC183)</f>
        <v/>
      </c>
      <c r="BD183" t="str">
        <f>IF(Sistema!BD183="","",Sistema!BD183)</f>
        <v/>
      </c>
      <c r="BE183" t="str">
        <f>IF(Sistema!BE183="","",Sistema!BE183)</f>
        <v/>
      </c>
      <c r="BF183" t="str">
        <f>IF(Sistema!BF183="","",Sistema!BF183)</f>
        <v/>
      </c>
      <c r="BG183" t="str">
        <f>IF(Sistema!BG183="","",Sistema!BG183)</f>
        <v/>
      </c>
      <c r="BH183" t="str">
        <f>IF(Sistema!BH183="","",Sistema!BH183)</f>
        <v/>
      </c>
      <c r="BI183" t="str">
        <f>IF(Sistema!BI183="","",Sistema!BI183)</f>
        <v/>
      </c>
      <c r="BJ183" t="str">
        <f>IF(Sistema!BJ183="","",Sistema!BJ183)</f>
        <v/>
      </c>
      <c r="BK183" t="str">
        <f>IF(Sistema!BK183="","",Sistema!BK183)</f>
        <v/>
      </c>
      <c r="BL183" t="str">
        <f>IF(Sistema!BL183="","",Sistema!BL183)</f>
        <v/>
      </c>
      <c r="BM183" t="str">
        <f>IF(Sistema!BM183="","",Sistema!BM183)</f>
        <v/>
      </c>
      <c r="BN183" t="str">
        <f>IF(Sistema!BN183="","",Sistema!BN183)</f>
        <v/>
      </c>
      <c r="BO183" t="str">
        <f>IF(Sistema!BO183="","",Sistema!BO183)</f>
        <v/>
      </c>
      <c r="BP183" t="str">
        <f>IF(Sistema!BP183="","",Sistema!BP183)</f>
        <v/>
      </c>
      <c r="BQ183" t="str">
        <f>IF(Sistema!BQ183="","",Sistema!BQ183)</f>
        <v/>
      </c>
      <c r="BR183" t="str">
        <f>IF(Sistema!BR183="","",Sistema!BR183)</f>
        <v/>
      </c>
      <c r="BS183" t="str">
        <f>IF(Sistema!BS183="","",Sistema!BS183)</f>
        <v/>
      </c>
      <c r="BT183" t="str">
        <f>IF(Sistema!BT183="","",Sistema!BT183)</f>
        <v/>
      </c>
      <c r="BU183" t="str">
        <f>IF(Sistema!BU183="","",Sistema!BU183)</f>
        <v/>
      </c>
      <c r="BV183" t="str">
        <f>IF(Sistema!BV183="","",Sistema!BV183)</f>
        <v/>
      </c>
      <c r="BW183" t="str">
        <f>IF(Sistema!BW183="","",Sistema!BW183)</f>
        <v/>
      </c>
      <c r="BX183" t="str">
        <f>IF(Sistema!BX183="","",Sistema!BX183)</f>
        <v/>
      </c>
      <c r="BY183" t="str">
        <f>IF(Sistema!BY183="","",Sistema!BY183)</f>
        <v/>
      </c>
      <c r="BZ183" t="str">
        <f>IF(Sistema!BZ183="","",Sistema!BZ183)</f>
        <v/>
      </c>
      <c r="CA183" t="str">
        <f>IF(Sistema!CA183="","",Sistema!CA183)</f>
        <v/>
      </c>
      <c r="CB183" t="str">
        <f>IF(Sistema!CB183="","",Sistema!CB183)</f>
        <v/>
      </c>
      <c r="CC183" t="str">
        <f>IF(Sistema!CC183="","",Sistema!CC183)</f>
        <v/>
      </c>
      <c r="CD183" t="str">
        <f>IF(Sistema!CD183="","",Sistema!CD183)</f>
        <v/>
      </c>
    </row>
    <row r="184" spans="1:82" x14ac:dyDescent="0.25">
      <c r="A184" t="str">
        <f>IF(Sistema!A184="","",Sistema!A184)</f>
        <v/>
      </c>
      <c r="B184" t="str">
        <f>IF(Sistema!B184="","",Sistema!B184)</f>
        <v/>
      </c>
      <c r="C184" t="str">
        <f>IF(Sistema!C184="","",Sistema!C184)</f>
        <v/>
      </c>
      <c r="D184" t="str">
        <f>IF(Sistema!D184="","",Sistema!D184)</f>
        <v/>
      </c>
      <c r="E184" t="str">
        <f>IF(Sistema!E184="","",Sistema!E184)</f>
        <v/>
      </c>
      <c r="F184">
        <f>IF(P184&gt;0,1,IF(Sistema!F184=0,-1,1))</f>
        <v>-1</v>
      </c>
      <c r="G184">
        <f>Sistema!G184</f>
        <v>0</v>
      </c>
      <c r="H184" t="str">
        <f>IF(OR(R184="notify",R184=1),"visible",IF(OR(Sistema!F184=-1,Sistema!F184=0,ISNUMBER(SEARCH("PCK",E184))),"hidden",IF(P184&gt;0,"visible","hidden")))</f>
        <v>hidden</v>
      </c>
      <c r="I184" t="str">
        <f>IF(B184="simple",IF(P184&gt;0,"",IF(R184="notify",Info!C$2,"")),IF(B184="variable",IF(P184&gt;0,"",IF(R184="notify",Info!C$4,"")),""))</f>
        <v/>
      </c>
      <c r="J184" t="str">
        <f>IF(Sistema!J184="","",Sistema!J184)</f>
        <v/>
      </c>
      <c r="M184" t="str">
        <f>IF(Sistema!M184="","",Sistema!M184)</f>
        <v/>
      </c>
      <c r="N184" s="6" t="s">
        <v>1557</v>
      </c>
      <c r="O184" s="6">
        <v>1</v>
      </c>
      <c r="P184">
        <f>Sistema!P184</f>
        <v>0</v>
      </c>
      <c r="Q184">
        <f>Sistema!Q184</f>
        <v>0</v>
      </c>
      <c r="R184">
        <f>IF(Sistema!R184=1,"notify",Sistema!R184)</f>
        <v>0</v>
      </c>
      <c r="T184" t="str">
        <f>IF(Sistema!T184="","",Sistema!T184)</f>
        <v/>
      </c>
      <c r="U184" t="str">
        <f>IF(Sistema!U184="","",Sistema!U184)</f>
        <v/>
      </c>
      <c r="V184" t="str">
        <f>IF(Sistema!V184="","",Sistema!V184)</f>
        <v/>
      </c>
      <c r="W184" t="str">
        <f>IF(Sistema!W184="","",Sistema!W184)</f>
        <v/>
      </c>
      <c r="X184" s="6">
        <v>1</v>
      </c>
      <c r="Z184" t="str">
        <f>IF(Sistema!Z184="","",Sistema!Z184)</f>
        <v/>
      </c>
      <c r="AA184" t="str">
        <f>IF(Sistema!AA184="","",Sistema!AA184)</f>
        <v/>
      </c>
      <c r="AB184" t="str">
        <f>IF(Sistema!AB184="","",IF(OR(ISNUMBER(SEARCH("MKP",E184)),ISNUMBER(SEARCH("MKP",C184))),"Marketplace &gt; "&amp;Sistema!AB184,Sistema!AB184))</f>
        <v/>
      </c>
      <c r="AC184" t="str">
        <f>IF(Sistema!AC184="","",Sistema!AC184)</f>
        <v/>
      </c>
      <c r="AE184" t="str">
        <f>IF(Sistema!AE184="","",Sistema!AE184)</f>
        <v/>
      </c>
      <c r="AH184" t="str">
        <f>IF(Sistema!AH184="","",Sistema!AH184)</f>
        <v/>
      </c>
      <c r="AQ184" t="str">
        <f>IF(Sistema!AQ184="","",Sistema!AQ184)</f>
        <v/>
      </c>
      <c r="AR184" t="str">
        <f>IF(Sistema!AR184="","",Sistema!AR184)</f>
        <v/>
      </c>
      <c r="AS184" t="str">
        <f>IF(Sistema!AS184="","",Sistema!AS184)</f>
        <v/>
      </c>
      <c r="AT184" t="str">
        <f>IF(Sistema!AT184="","",Sistema!AT184)</f>
        <v/>
      </c>
      <c r="AU184" t="str">
        <f>IF(Sistema!AU184="","",Sistema!AU184)</f>
        <v/>
      </c>
      <c r="AV184" t="str">
        <f>IF(Sistema!AV184="","",Sistema!AV184)</f>
        <v/>
      </c>
      <c r="AW184" t="str">
        <f>IF(Sistema!AW184="","",Sistema!AW184)</f>
        <v/>
      </c>
      <c r="AX184" t="str">
        <f>IF(Sistema!AX184="","",Sistema!AX184)</f>
        <v/>
      </c>
      <c r="AY184" t="str">
        <f>IF(Sistema!AY184="","",Sistema!AY184)</f>
        <v/>
      </c>
      <c r="AZ184" t="str">
        <f>IF(Sistema!AZ184="","",Sistema!AZ184)</f>
        <v/>
      </c>
      <c r="BA184" t="str">
        <f>IF(Sistema!BA184="","",Sistema!BA184)</f>
        <v/>
      </c>
      <c r="BB184" t="str">
        <f>IF(Sistema!BB184="","",Sistema!BB184)</f>
        <v/>
      </c>
      <c r="BC184" t="str">
        <f>IF(Sistema!BC184="","",Sistema!BC184)</f>
        <v/>
      </c>
      <c r="BD184" t="str">
        <f>IF(Sistema!BD184="","",Sistema!BD184)</f>
        <v/>
      </c>
      <c r="BE184" t="str">
        <f>IF(Sistema!BE184="","",Sistema!BE184)</f>
        <v/>
      </c>
      <c r="BF184" t="str">
        <f>IF(Sistema!BF184="","",Sistema!BF184)</f>
        <v/>
      </c>
      <c r="BG184" t="str">
        <f>IF(Sistema!BG184="","",Sistema!BG184)</f>
        <v/>
      </c>
      <c r="BH184" t="str">
        <f>IF(Sistema!BH184="","",Sistema!BH184)</f>
        <v/>
      </c>
      <c r="BI184" t="str">
        <f>IF(Sistema!BI184="","",Sistema!BI184)</f>
        <v/>
      </c>
      <c r="BJ184" t="str">
        <f>IF(Sistema!BJ184="","",Sistema!BJ184)</f>
        <v/>
      </c>
      <c r="BK184" t="str">
        <f>IF(Sistema!BK184="","",Sistema!BK184)</f>
        <v/>
      </c>
      <c r="BL184" t="str">
        <f>IF(Sistema!BL184="","",Sistema!BL184)</f>
        <v/>
      </c>
      <c r="BM184" t="str">
        <f>IF(Sistema!BM184="","",Sistema!BM184)</f>
        <v/>
      </c>
      <c r="BN184" t="str">
        <f>IF(Sistema!BN184="","",Sistema!BN184)</f>
        <v/>
      </c>
      <c r="BO184" t="str">
        <f>IF(Sistema!BO184="","",Sistema!BO184)</f>
        <v/>
      </c>
      <c r="BP184" t="str">
        <f>IF(Sistema!BP184="","",Sistema!BP184)</f>
        <v/>
      </c>
      <c r="BQ184" t="str">
        <f>IF(Sistema!BQ184="","",Sistema!BQ184)</f>
        <v/>
      </c>
      <c r="BR184" t="str">
        <f>IF(Sistema!BR184="","",Sistema!BR184)</f>
        <v/>
      </c>
      <c r="BS184" t="str">
        <f>IF(Sistema!BS184="","",Sistema!BS184)</f>
        <v/>
      </c>
      <c r="BT184" t="str">
        <f>IF(Sistema!BT184="","",Sistema!BT184)</f>
        <v/>
      </c>
      <c r="BU184" t="str">
        <f>IF(Sistema!BU184="","",Sistema!BU184)</f>
        <v/>
      </c>
      <c r="BV184" t="str">
        <f>IF(Sistema!BV184="","",Sistema!BV184)</f>
        <v/>
      </c>
      <c r="BW184" t="str">
        <f>IF(Sistema!BW184="","",Sistema!BW184)</f>
        <v/>
      </c>
      <c r="BX184" t="str">
        <f>IF(Sistema!BX184="","",Sistema!BX184)</f>
        <v/>
      </c>
      <c r="BY184" t="str">
        <f>IF(Sistema!BY184="","",Sistema!BY184)</f>
        <v/>
      </c>
      <c r="BZ184" t="str">
        <f>IF(Sistema!BZ184="","",Sistema!BZ184)</f>
        <v/>
      </c>
      <c r="CA184" t="str">
        <f>IF(Sistema!CA184="","",Sistema!CA184)</f>
        <v/>
      </c>
      <c r="CB184" t="str">
        <f>IF(Sistema!CB184="","",Sistema!CB184)</f>
        <v/>
      </c>
      <c r="CC184" t="str">
        <f>IF(Sistema!CC184="","",Sistema!CC184)</f>
        <v/>
      </c>
      <c r="CD184" t="str">
        <f>IF(Sistema!CD184="","",Sistema!CD184)</f>
        <v/>
      </c>
    </row>
    <row r="185" spans="1:82" x14ac:dyDescent="0.25">
      <c r="A185" t="str">
        <f>IF(Sistema!A185="","",Sistema!A185)</f>
        <v/>
      </c>
      <c r="B185" t="str">
        <f>IF(Sistema!B185="","",Sistema!B185)</f>
        <v/>
      </c>
      <c r="C185" t="str">
        <f>IF(Sistema!C185="","",Sistema!C185)</f>
        <v/>
      </c>
      <c r="D185" t="str">
        <f>IF(Sistema!D185="","",Sistema!D185)</f>
        <v/>
      </c>
      <c r="E185" t="str">
        <f>IF(Sistema!E185="","",Sistema!E185)</f>
        <v/>
      </c>
      <c r="F185">
        <f>IF(P185&gt;0,1,IF(Sistema!F185=0,-1,1))</f>
        <v>-1</v>
      </c>
      <c r="G185">
        <f>Sistema!G185</f>
        <v>0</v>
      </c>
      <c r="H185" t="str">
        <f>IF(OR(R185="notify",R185=1),"visible",IF(OR(Sistema!F185=-1,Sistema!F185=0,ISNUMBER(SEARCH("PCK",E185))),"hidden",IF(P185&gt;0,"visible","hidden")))</f>
        <v>hidden</v>
      </c>
      <c r="I185" t="str">
        <f>IF(B185="simple",IF(P185&gt;0,"",IF(R185="notify",Info!C$2,"")),IF(B185="variable",IF(P185&gt;0,"",IF(R185="notify",Info!C$4,"")),""))</f>
        <v/>
      </c>
      <c r="J185" t="str">
        <f>IF(Sistema!J185="","",Sistema!J185)</f>
        <v/>
      </c>
      <c r="M185" t="str">
        <f>IF(Sistema!M185="","",Sistema!M185)</f>
        <v/>
      </c>
      <c r="N185" s="6" t="s">
        <v>1557</v>
      </c>
      <c r="O185" s="6">
        <v>1</v>
      </c>
      <c r="P185">
        <f>Sistema!P185</f>
        <v>0</v>
      </c>
      <c r="Q185">
        <f>Sistema!Q185</f>
        <v>0</v>
      </c>
      <c r="R185">
        <f>IF(Sistema!R185=1,"notify",Sistema!R185)</f>
        <v>0</v>
      </c>
      <c r="T185" t="str">
        <f>IF(Sistema!T185="","",Sistema!T185)</f>
        <v/>
      </c>
      <c r="U185" t="str">
        <f>IF(Sistema!U185="","",Sistema!U185)</f>
        <v/>
      </c>
      <c r="V185" t="str">
        <f>IF(Sistema!V185="","",Sistema!V185)</f>
        <v/>
      </c>
      <c r="W185" t="str">
        <f>IF(Sistema!W185="","",Sistema!W185)</f>
        <v/>
      </c>
      <c r="X185" s="6">
        <v>1</v>
      </c>
      <c r="Z185" t="str">
        <f>IF(Sistema!Z185="","",Sistema!Z185)</f>
        <v/>
      </c>
      <c r="AA185" t="str">
        <f>IF(Sistema!AA185="","",Sistema!AA185)</f>
        <v/>
      </c>
      <c r="AB185" t="str">
        <f>IF(Sistema!AB185="","",IF(OR(ISNUMBER(SEARCH("MKP",E185)),ISNUMBER(SEARCH("MKP",C185))),"Marketplace &gt; "&amp;Sistema!AB185,Sistema!AB185))</f>
        <v/>
      </c>
      <c r="AC185" t="str">
        <f>IF(Sistema!AC185="","",Sistema!AC185)</f>
        <v/>
      </c>
      <c r="AE185" t="str">
        <f>IF(Sistema!AE185="","",Sistema!AE185)</f>
        <v/>
      </c>
      <c r="AH185" t="str">
        <f>IF(Sistema!AH185="","",Sistema!AH185)</f>
        <v/>
      </c>
      <c r="AQ185" t="str">
        <f>IF(Sistema!AQ185="","",Sistema!AQ185)</f>
        <v/>
      </c>
      <c r="AR185" t="str">
        <f>IF(Sistema!AR185="","",Sistema!AR185)</f>
        <v/>
      </c>
      <c r="AS185" t="str">
        <f>IF(Sistema!AS185="","",Sistema!AS185)</f>
        <v/>
      </c>
      <c r="AT185" t="str">
        <f>IF(Sistema!AT185="","",Sistema!AT185)</f>
        <v/>
      </c>
      <c r="AU185" t="str">
        <f>IF(Sistema!AU185="","",Sistema!AU185)</f>
        <v/>
      </c>
      <c r="AV185" t="str">
        <f>IF(Sistema!AV185="","",Sistema!AV185)</f>
        <v/>
      </c>
      <c r="AW185" t="str">
        <f>IF(Sistema!AW185="","",Sistema!AW185)</f>
        <v/>
      </c>
      <c r="AX185" t="str">
        <f>IF(Sistema!AX185="","",Sistema!AX185)</f>
        <v/>
      </c>
      <c r="AY185" t="str">
        <f>IF(Sistema!AY185="","",Sistema!AY185)</f>
        <v/>
      </c>
      <c r="AZ185" t="str">
        <f>IF(Sistema!AZ185="","",Sistema!AZ185)</f>
        <v/>
      </c>
      <c r="BA185" t="str">
        <f>IF(Sistema!BA185="","",Sistema!BA185)</f>
        <v/>
      </c>
      <c r="BB185" t="str">
        <f>IF(Sistema!BB185="","",Sistema!BB185)</f>
        <v/>
      </c>
      <c r="BC185" t="str">
        <f>IF(Sistema!BC185="","",Sistema!BC185)</f>
        <v/>
      </c>
      <c r="BD185" t="str">
        <f>IF(Sistema!BD185="","",Sistema!BD185)</f>
        <v/>
      </c>
      <c r="BE185" t="str">
        <f>IF(Sistema!BE185="","",Sistema!BE185)</f>
        <v/>
      </c>
      <c r="BF185" t="str">
        <f>IF(Sistema!BF185="","",Sistema!BF185)</f>
        <v/>
      </c>
      <c r="BG185" t="str">
        <f>IF(Sistema!BG185="","",Sistema!BG185)</f>
        <v/>
      </c>
      <c r="BH185" t="str">
        <f>IF(Sistema!BH185="","",Sistema!BH185)</f>
        <v/>
      </c>
      <c r="BI185" t="str">
        <f>IF(Sistema!BI185="","",Sistema!BI185)</f>
        <v/>
      </c>
      <c r="BJ185" t="str">
        <f>IF(Sistema!BJ185="","",Sistema!BJ185)</f>
        <v/>
      </c>
      <c r="BK185" t="str">
        <f>IF(Sistema!BK185="","",Sistema!BK185)</f>
        <v/>
      </c>
      <c r="BL185" t="str">
        <f>IF(Sistema!BL185="","",Sistema!BL185)</f>
        <v/>
      </c>
      <c r="BM185" t="str">
        <f>IF(Sistema!BM185="","",Sistema!BM185)</f>
        <v/>
      </c>
      <c r="BN185" t="str">
        <f>IF(Sistema!BN185="","",Sistema!BN185)</f>
        <v/>
      </c>
      <c r="BO185" t="str">
        <f>IF(Sistema!BO185="","",Sistema!BO185)</f>
        <v/>
      </c>
      <c r="BP185" t="str">
        <f>IF(Sistema!BP185="","",Sistema!BP185)</f>
        <v/>
      </c>
      <c r="BQ185" t="str">
        <f>IF(Sistema!BQ185="","",Sistema!BQ185)</f>
        <v/>
      </c>
      <c r="BR185" t="str">
        <f>IF(Sistema!BR185="","",Sistema!BR185)</f>
        <v/>
      </c>
      <c r="BS185" t="str">
        <f>IF(Sistema!BS185="","",Sistema!BS185)</f>
        <v/>
      </c>
      <c r="BT185" t="str">
        <f>IF(Sistema!BT185="","",Sistema!BT185)</f>
        <v/>
      </c>
      <c r="BU185" t="str">
        <f>IF(Sistema!BU185="","",Sistema!BU185)</f>
        <v/>
      </c>
      <c r="BV185" t="str">
        <f>IF(Sistema!BV185="","",Sistema!BV185)</f>
        <v/>
      </c>
      <c r="BW185" t="str">
        <f>IF(Sistema!BW185="","",Sistema!BW185)</f>
        <v/>
      </c>
      <c r="BX185" t="str">
        <f>IF(Sistema!BX185="","",Sistema!BX185)</f>
        <v/>
      </c>
      <c r="BY185" t="str">
        <f>IF(Sistema!BY185="","",Sistema!BY185)</f>
        <v/>
      </c>
      <c r="BZ185" t="str">
        <f>IF(Sistema!BZ185="","",Sistema!BZ185)</f>
        <v/>
      </c>
      <c r="CA185" t="str">
        <f>IF(Sistema!CA185="","",Sistema!CA185)</f>
        <v/>
      </c>
      <c r="CB185" t="str">
        <f>IF(Sistema!CB185="","",Sistema!CB185)</f>
        <v/>
      </c>
      <c r="CC185" t="str">
        <f>IF(Sistema!CC185="","",Sistema!CC185)</f>
        <v/>
      </c>
      <c r="CD185" t="str">
        <f>IF(Sistema!CD185="","",Sistema!CD185)</f>
        <v/>
      </c>
    </row>
    <row r="186" spans="1:82" x14ac:dyDescent="0.25">
      <c r="A186" t="str">
        <f>IF(Sistema!A186="","",Sistema!A186)</f>
        <v/>
      </c>
      <c r="B186" t="str">
        <f>IF(Sistema!B186="","",Sistema!B186)</f>
        <v/>
      </c>
      <c r="C186" t="str">
        <f>IF(Sistema!C186="","",Sistema!C186)</f>
        <v/>
      </c>
      <c r="D186" t="str">
        <f>IF(Sistema!D186="","",Sistema!D186)</f>
        <v/>
      </c>
      <c r="E186" t="str">
        <f>IF(Sistema!E186="","",Sistema!E186)</f>
        <v/>
      </c>
      <c r="F186">
        <f>IF(P186&gt;0,1,IF(Sistema!F186=0,-1,1))</f>
        <v>-1</v>
      </c>
      <c r="G186">
        <f>Sistema!G186</f>
        <v>0</v>
      </c>
      <c r="H186" t="str">
        <f>IF(OR(R186="notify",R186=1),"visible",IF(OR(Sistema!F186=-1,Sistema!F186=0,ISNUMBER(SEARCH("PCK",E186))),"hidden",IF(P186&gt;0,"visible","hidden")))</f>
        <v>hidden</v>
      </c>
      <c r="I186" t="str">
        <f>IF(B186="simple",IF(P186&gt;0,"",IF(R186="notify",Info!C$2,"")),IF(B186="variable",IF(P186&gt;0,"",IF(R186="notify",Info!C$4,"")),""))</f>
        <v/>
      </c>
      <c r="J186" t="str">
        <f>IF(Sistema!J186="","",Sistema!J186)</f>
        <v/>
      </c>
      <c r="M186" t="str">
        <f>IF(Sistema!M186="","",Sistema!M186)</f>
        <v/>
      </c>
      <c r="N186" s="6" t="s">
        <v>1557</v>
      </c>
      <c r="O186" s="6">
        <v>1</v>
      </c>
      <c r="P186">
        <f>Sistema!P186</f>
        <v>0</v>
      </c>
      <c r="Q186">
        <f>Sistema!Q186</f>
        <v>0</v>
      </c>
      <c r="R186">
        <f>IF(Sistema!R186=1,"notify",Sistema!R186)</f>
        <v>0</v>
      </c>
      <c r="T186" t="str">
        <f>IF(Sistema!T186="","",Sistema!T186)</f>
        <v/>
      </c>
      <c r="U186" t="str">
        <f>IF(Sistema!U186="","",Sistema!U186)</f>
        <v/>
      </c>
      <c r="V186" t="str">
        <f>IF(Sistema!V186="","",Sistema!V186)</f>
        <v/>
      </c>
      <c r="W186" t="str">
        <f>IF(Sistema!W186="","",Sistema!W186)</f>
        <v/>
      </c>
      <c r="X186" s="6">
        <v>1</v>
      </c>
      <c r="Z186" t="str">
        <f>IF(Sistema!Z186="","",Sistema!Z186)</f>
        <v/>
      </c>
      <c r="AA186" t="str">
        <f>IF(Sistema!AA186="","",Sistema!AA186)</f>
        <v/>
      </c>
      <c r="AB186" t="str">
        <f>IF(Sistema!AB186="","",IF(OR(ISNUMBER(SEARCH("MKP",E186)),ISNUMBER(SEARCH("MKP",C186))),"Marketplace &gt; "&amp;Sistema!AB186,Sistema!AB186))</f>
        <v/>
      </c>
      <c r="AC186" t="str">
        <f>IF(Sistema!AC186="","",Sistema!AC186)</f>
        <v/>
      </c>
      <c r="AE186" t="str">
        <f>IF(Sistema!AE186="","",Sistema!AE186)</f>
        <v/>
      </c>
      <c r="AH186" t="str">
        <f>IF(Sistema!AH186="","",Sistema!AH186)</f>
        <v/>
      </c>
      <c r="AQ186" t="str">
        <f>IF(Sistema!AQ186="","",Sistema!AQ186)</f>
        <v/>
      </c>
      <c r="AR186" t="str">
        <f>IF(Sistema!AR186="","",Sistema!AR186)</f>
        <v/>
      </c>
      <c r="AS186" t="str">
        <f>IF(Sistema!AS186="","",Sistema!AS186)</f>
        <v/>
      </c>
      <c r="AT186" t="str">
        <f>IF(Sistema!AT186="","",Sistema!AT186)</f>
        <v/>
      </c>
      <c r="AU186" t="str">
        <f>IF(Sistema!AU186="","",Sistema!AU186)</f>
        <v/>
      </c>
      <c r="AV186" t="str">
        <f>IF(Sistema!AV186="","",Sistema!AV186)</f>
        <v/>
      </c>
      <c r="AW186" t="str">
        <f>IF(Sistema!AW186="","",Sistema!AW186)</f>
        <v/>
      </c>
      <c r="AX186" t="str">
        <f>IF(Sistema!AX186="","",Sistema!AX186)</f>
        <v/>
      </c>
      <c r="AY186" t="str">
        <f>IF(Sistema!AY186="","",Sistema!AY186)</f>
        <v/>
      </c>
      <c r="AZ186" t="str">
        <f>IF(Sistema!AZ186="","",Sistema!AZ186)</f>
        <v/>
      </c>
      <c r="BA186" t="str">
        <f>IF(Sistema!BA186="","",Sistema!BA186)</f>
        <v/>
      </c>
      <c r="BB186" t="str">
        <f>IF(Sistema!BB186="","",Sistema!BB186)</f>
        <v/>
      </c>
      <c r="BC186" t="str">
        <f>IF(Sistema!BC186="","",Sistema!BC186)</f>
        <v/>
      </c>
      <c r="BD186" t="str">
        <f>IF(Sistema!BD186="","",Sistema!BD186)</f>
        <v/>
      </c>
      <c r="BE186" t="str">
        <f>IF(Sistema!BE186="","",Sistema!BE186)</f>
        <v/>
      </c>
      <c r="BF186" t="str">
        <f>IF(Sistema!BF186="","",Sistema!BF186)</f>
        <v/>
      </c>
      <c r="BG186" t="str">
        <f>IF(Sistema!BG186="","",Sistema!BG186)</f>
        <v/>
      </c>
      <c r="BH186" t="str">
        <f>IF(Sistema!BH186="","",Sistema!BH186)</f>
        <v/>
      </c>
      <c r="BI186" t="str">
        <f>IF(Sistema!BI186="","",Sistema!BI186)</f>
        <v/>
      </c>
      <c r="BJ186" t="str">
        <f>IF(Sistema!BJ186="","",Sistema!BJ186)</f>
        <v/>
      </c>
      <c r="BK186" t="str">
        <f>IF(Sistema!BK186="","",Sistema!BK186)</f>
        <v/>
      </c>
      <c r="BL186" t="str">
        <f>IF(Sistema!BL186="","",Sistema!BL186)</f>
        <v/>
      </c>
      <c r="BM186" t="str">
        <f>IF(Sistema!BM186="","",Sistema!BM186)</f>
        <v/>
      </c>
      <c r="BN186" t="str">
        <f>IF(Sistema!BN186="","",Sistema!BN186)</f>
        <v/>
      </c>
      <c r="BO186" t="str">
        <f>IF(Sistema!BO186="","",Sistema!BO186)</f>
        <v/>
      </c>
      <c r="BP186" t="str">
        <f>IF(Sistema!BP186="","",Sistema!BP186)</f>
        <v/>
      </c>
      <c r="BQ186" t="str">
        <f>IF(Sistema!BQ186="","",Sistema!BQ186)</f>
        <v/>
      </c>
      <c r="BR186" t="str">
        <f>IF(Sistema!BR186="","",Sistema!BR186)</f>
        <v/>
      </c>
      <c r="BS186" t="str">
        <f>IF(Sistema!BS186="","",Sistema!BS186)</f>
        <v/>
      </c>
      <c r="BT186" t="str">
        <f>IF(Sistema!BT186="","",Sistema!BT186)</f>
        <v/>
      </c>
      <c r="BU186" t="str">
        <f>IF(Sistema!BU186="","",Sistema!BU186)</f>
        <v/>
      </c>
      <c r="BV186" t="str">
        <f>IF(Sistema!BV186="","",Sistema!BV186)</f>
        <v/>
      </c>
      <c r="BW186" t="str">
        <f>IF(Sistema!BW186="","",Sistema!BW186)</f>
        <v/>
      </c>
      <c r="BX186" t="str">
        <f>IF(Sistema!BX186="","",Sistema!BX186)</f>
        <v/>
      </c>
      <c r="BY186" t="str">
        <f>IF(Sistema!BY186="","",Sistema!BY186)</f>
        <v/>
      </c>
      <c r="BZ186" t="str">
        <f>IF(Sistema!BZ186="","",Sistema!BZ186)</f>
        <v/>
      </c>
      <c r="CA186" t="str">
        <f>IF(Sistema!CA186="","",Sistema!CA186)</f>
        <v/>
      </c>
      <c r="CB186" t="str">
        <f>IF(Sistema!CB186="","",Sistema!CB186)</f>
        <v/>
      </c>
      <c r="CC186" t="str">
        <f>IF(Sistema!CC186="","",Sistema!CC186)</f>
        <v/>
      </c>
      <c r="CD186" t="str">
        <f>IF(Sistema!CD186="","",Sistema!CD186)</f>
        <v/>
      </c>
    </row>
    <row r="187" spans="1:82" x14ac:dyDescent="0.25">
      <c r="A187" t="str">
        <f>IF(Sistema!A187="","",Sistema!A187)</f>
        <v/>
      </c>
      <c r="B187" t="str">
        <f>IF(Sistema!B187="","",Sistema!B187)</f>
        <v/>
      </c>
      <c r="C187" t="str">
        <f>IF(Sistema!C187="","",Sistema!C187)</f>
        <v/>
      </c>
      <c r="D187" t="str">
        <f>IF(Sistema!D187="","",Sistema!D187)</f>
        <v/>
      </c>
      <c r="E187" t="str">
        <f>IF(Sistema!E187="","",Sistema!E187)</f>
        <v/>
      </c>
      <c r="F187">
        <f>IF(P187&gt;0,1,IF(Sistema!F187=0,-1,1))</f>
        <v>-1</v>
      </c>
      <c r="G187">
        <f>Sistema!G187</f>
        <v>0</v>
      </c>
      <c r="H187" t="str">
        <f>IF(OR(R187="notify",R187=1),"visible",IF(OR(Sistema!F187=-1,Sistema!F187=0,ISNUMBER(SEARCH("PCK",E187))),"hidden",IF(P187&gt;0,"visible","hidden")))</f>
        <v>hidden</v>
      </c>
      <c r="I187" t="str">
        <f>IF(B187="simple",IF(P187&gt;0,"",IF(R187="notify",Info!C$2,"")),IF(B187="variable",IF(P187&gt;0,"",IF(R187="notify",Info!C$4,"")),""))</f>
        <v/>
      </c>
      <c r="J187" t="str">
        <f>IF(Sistema!J187="","",Sistema!J187)</f>
        <v/>
      </c>
      <c r="M187" t="str">
        <f>IF(Sistema!M187="","",Sistema!M187)</f>
        <v/>
      </c>
      <c r="N187" s="6" t="s">
        <v>1557</v>
      </c>
      <c r="O187" s="6">
        <v>1</v>
      </c>
      <c r="P187">
        <f>Sistema!P187</f>
        <v>0</v>
      </c>
      <c r="Q187">
        <f>Sistema!Q187</f>
        <v>0</v>
      </c>
      <c r="R187">
        <f>IF(Sistema!R187=1,"notify",Sistema!R187)</f>
        <v>0</v>
      </c>
      <c r="T187" t="str">
        <f>IF(Sistema!T187="","",Sistema!T187)</f>
        <v/>
      </c>
      <c r="U187" t="str">
        <f>IF(Sistema!U187="","",Sistema!U187)</f>
        <v/>
      </c>
      <c r="V187" t="str">
        <f>IF(Sistema!V187="","",Sistema!V187)</f>
        <v/>
      </c>
      <c r="W187" t="str">
        <f>IF(Sistema!W187="","",Sistema!W187)</f>
        <v/>
      </c>
      <c r="X187" s="6">
        <v>1</v>
      </c>
      <c r="Z187" t="str">
        <f>IF(Sistema!Z187="","",Sistema!Z187)</f>
        <v/>
      </c>
      <c r="AA187" t="str">
        <f>IF(Sistema!AA187="","",Sistema!AA187)</f>
        <v/>
      </c>
      <c r="AB187" t="str">
        <f>IF(Sistema!AB187="","",IF(OR(ISNUMBER(SEARCH("MKP",E187)),ISNUMBER(SEARCH("MKP",C187))),"Marketplace &gt; "&amp;Sistema!AB187,Sistema!AB187))</f>
        <v/>
      </c>
      <c r="AC187" t="str">
        <f>IF(Sistema!AC187="","",Sistema!AC187)</f>
        <v/>
      </c>
      <c r="AE187" t="str">
        <f>IF(Sistema!AE187="","",Sistema!AE187)</f>
        <v/>
      </c>
      <c r="AH187" t="str">
        <f>IF(Sistema!AH187="","",Sistema!AH187)</f>
        <v/>
      </c>
      <c r="AQ187" t="str">
        <f>IF(Sistema!AQ187="","",Sistema!AQ187)</f>
        <v/>
      </c>
      <c r="AR187" t="str">
        <f>IF(Sistema!AR187="","",Sistema!AR187)</f>
        <v/>
      </c>
      <c r="AS187" t="str">
        <f>IF(Sistema!AS187="","",Sistema!AS187)</f>
        <v/>
      </c>
      <c r="AT187" t="str">
        <f>IF(Sistema!AT187="","",Sistema!AT187)</f>
        <v/>
      </c>
      <c r="AU187" t="str">
        <f>IF(Sistema!AU187="","",Sistema!AU187)</f>
        <v/>
      </c>
      <c r="AV187" t="str">
        <f>IF(Sistema!AV187="","",Sistema!AV187)</f>
        <v/>
      </c>
      <c r="AW187" t="str">
        <f>IF(Sistema!AW187="","",Sistema!AW187)</f>
        <v/>
      </c>
      <c r="AX187" t="str">
        <f>IF(Sistema!AX187="","",Sistema!AX187)</f>
        <v/>
      </c>
      <c r="AY187" t="str">
        <f>IF(Sistema!AY187="","",Sistema!AY187)</f>
        <v/>
      </c>
      <c r="AZ187" t="str">
        <f>IF(Sistema!AZ187="","",Sistema!AZ187)</f>
        <v/>
      </c>
      <c r="BA187" t="str">
        <f>IF(Sistema!BA187="","",Sistema!BA187)</f>
        <v/>
      </c>
      <c r="BB187" t="str">
        <f>IF(Sistema!BB187="","",Sistema!BB187)</f>
        <v/>
      </c>
      <c r="BC187" t="str">
        <f>IF(Sistema!BC187="","",Sistema!BC187)</f>
        <v/>
      </c>
      <c r="BD187" t="str">
        <f>IF(Sistema!BD187="","",Sistema!BD187)</f>
        <v/>
      </c>
      <c r="BE187" t="str">
        <f>IF(Sistema!BE187="","",Sistema!BE187)</f>
        <v/>
      </c>
      <c r="BF187" t="str">
        <f>IF(Sistema!BF187="","",Sistema!BF187)</f>
        <v/>
      </c>
      <c r="BG187" t="str">
        <f>IF(Sistema!BG187="","",Sistema!BG187)</f>
        <v/>
      </c>
      <c r="BH187" t="str">
        <f>IF(Sistema!BH187="","",Sistema!BH187)</f>
        <v/>
      </c>
      <c r="BI187" t="str">
        <f>IF(Sistema!BI187="","",Sistema!BI187)</f>
        <v/>
      </c>
      <c r="BJ187" t="str">
        <f>IF(Sistema!BJ187="","",Sistema!BJ187)</f>
        <v/>
      </c>
      <c r="BK187" t="str">
        <f>IF(Sistema!BK187="","",Sistema!BK187)</f>
        <v/>
      </c>
      <c r="BL187" t="str">
        <f>IF(Sistema!BL187="","",Sistema!BL187)</f>
        <v/>
      </c>
      <c r="BM187" t="str">
        <f>IF(Sistema!BM187="","",Sistema!BM187)</f>
        <v/>
      </c>
      <c r="BN187" t="str">
        <f>IF(Sistema!BN187="","",Sistema!BN187)</f>
        <v/>
      </c>
      <c r="BO187" t="str">
        <f>IF(Sistema!BO187="","",Sistema!BO187)</f>
        <v/>
      </c>
      <c r="BP187" t="str">
        <f>IF(Sistema!BP187="","",Sistema!BP187)</f>
        <v/>
      </c>
      <c r="BQ187" t="str">
        <f>IF(Sistema!BQ187="","",Sistema!BQ187)</f>
        <v/>
      </c>
      <c r="BR187" t="str">
        <f>IF(Sistema!BR187="","",Sistema!BR187)</f>
        <v/>
      </c>
      <c r="BS187" t="str">
        <f>IF(Sistema!BS187="","",Sistema!BS187)</f>
        <v/>
      </c>
      <c r="BT187" t="str">
        <f>IF(Sistema!BT187="","",Sistema!BT187)</f>
        <v/>
      </c>
      <c r="BU187" t="str">
        <f>IF(Sistema!BU187="","",Sistema!BU187)</f>
        <v/>
      </c>
      <c r="BV187" t="str">
        <f>IF(Sistema!BV187="","",Sistema!BV187)</f>
        <v/>
      </c>
      <c r="BW187" t="str">
        <f>IF(Sistema!BW187="","",Sistema!BW187)</f>
        <v/>
      </c>
      <c r="BX187" t="str">
        <f>IF(Sistema!BX187="","",Sistema!BX187)</f>
        <v/>
      </c>
      <c r="BY187" t="str">
        <f>IF(Sistema!BY187="","",Sistema!BY187)</f>
        <v/>
      </c>
      <c r="BZ187" t="str">
        <f>IF(Sistema!BZ187="","",Sistema!BZ187)</f>
        <v/>
      </c>
      <c r="CA187" t="str">
        <f>IF(Sistema!CA187="","",Sistema!CA187)</f>
        <v/>
      </c>
      <c r="CB187" t="str">
        <f>IF(Sistema!CB187="","",Sistema!CB187)</f>
        <v/>
      </c>
      <c r="CC187" t="str">
        <f>IF(Sistema!CC187="","",Sistema!CC187)</f>
        <v/>
      </c>
      <c r="CD187" t="str">
        <f>IF(Sistema!CD187="","",Sistema!CD187)</f>
        <v/>
      </c>
    </row>
    <row r="188" spans="1:82" x14ac:dyDescent="0.25">
      <c r="A188" t="str">
        <f>IF(Sistema!A188="","",Sistema!A188)</f>
        <v/>
      </c>
      <c r="B188" t="str">
        <f>IF(Sistema!B188="","",Sistema!B188)</f>
        <v/>
      </c>
      <c r="C188" t="str">
        <f>IF(Sistema!C188="","",Sistema!C188)</f>
        <v/>
      </c>
      <c r="D188" t="str">
        <f>IF(Sistema!D188="","",Sistema!D188)</f>
        <v/>
      </c>
      <c r="E188" t="str">
        <f>IF(Sistema!E188="","",Sistema!E188)</f>
        <v/>
      </c>
      <c r="F188">
        <f>IF(P188&gt;0,1,IF(Sistema!F188=0,-1,1))</f>
        <v>-1</v>
      </c>
      <c r="G188">
        <f>Sistema!G188</f>
        <v>0</v>
      </c>
      <c r="H188" t="str">
        <f>IF(OR(R188="notify",R188=1),"visible",IF(OR(Sistema!F188=-1,Sistema!F188=0,ISNUMBER(SEARCH("PCK",E188))),"hidden",IF(P188&gt;0,"visible","hidden")))</f>
        <v>hidden</v>
      </c>
      <c r="I188" t="str">
        <f>IF(B188="simple",IF(P188&gt;0,"",IF(R188="notify",Info!C$2,"")),IF(B188="variable",IF(P188&gt;0,"",IF(R188="notify",Info!C$4,"")),""))</f>
        <v/>
      </c>
      <c r="J188" t="str">
        <f>IF(Sistema!J188="","",Sistema!J188)</f>
        <v/>
      </c>
      <c r="M188" t="str">
        <f>IF(Sistema!M188="","",Sistema!M188)</f>
        <v/>
      </c>
      <c r="N188" s="6" t="s">
        <v>1557</v>
      </c>
      <c r="O188" s="6">
        <v>1</v>
      </c>
      <c r="P188">
        <f>Sistema!P188</f>
        <v>0</v>
      </c>
      <c r="Q188">
        <f>Sistema!Q188</f>
        <v>0</v>
      </c>
      <c r="R188">
        <f>IF(Sistema!R188=1,"notify",Sistema!R188)</f>
        <v>0</v>
      </c>
      <c r="T188" t="str">
        <f>IF(Sistema!T188="","",Sistema!T188)</f>
        <v/>
      </c>
      <c r="U188" t="str">
        <f>IF(Sistema!U188="","",Sistema!U188)</f>
        <v/>
      </c>
      <c r="V188" t="str">
        <f>IF(Sistema!V188="","",Sistema!V188)</f>
        <v/>
      </c>
      <c r="W188" t="str">
        <f>IF(Sistema!W188="","",Sistema!W188)</f>
        <v/>
      </c>
      <c r="X188" s="6">
        <v>1</v>
      </c>
      <c r="Z188" t="str">
        <f>IF(Sistema!Z188="","",Sistema!Z188)</f>
        <v/>
      </c>
      <c r="AA188" t="str">
        <f>IF(Sistema!AA188="","",Sistema!AA188)</f>
        <v/>
      </c>
      <c r="AB188" t="str">
        <f>IF(Sistema!AB188="","",IF(OR(ISNUMBER(SEARCH("MKP",E188)),ISNUMBER(SEARCH("MKP",C188))),"Marketplace &gt; "&amp;Sistema!AB188,Sistema!AB188))</f>
        <v/>
      </c>
      <c r="AC188" t="str">
        <f>IF(Sistema!AC188="","",Sistema!AC188)</f>
        <v/>
      </c>
      <c r="AE188" t="str">
        <f>IF(Sistema!AE188="","",Sistema!AE188)</f>
        <v/>
      </c>
      <c r="AH188" t="str">
        <f>IF(Sistema!AH188="","",Sistema!AH188)</f>
        <v/>
      </c>
      <c r="AQ188" t="str">
        <f>IF(Sistema!AQ188="","",Sistema!AQ188)</f>
        <v/>
      </c>
      <c r="AR188" t="str">
        <f>IF(Sistema!AR188="","",Sistema!AR188)</f>
        <v/>
      </c>
      <c r="AS188" t="str">
        <f>IF(Sistema!AS188="","",Sistema!AS188)</f>
        <v/>
      </c>
      <c r="AT188" t="str">
        <f>IF(Sistema!AT188="","",Sistema!AT188)</f>
        <v/>
      </c>
      <c r="AU188" t="str">
        <f>IF(Sistema!AU188="","",Sistema!AU188)</f>
        <v/>
      </c>
      <c r="AV188" t="str">
        <f>IF(Sistema!AV188="","",Sistema!AV188)</f>
        <v/>
      </c>
      <c r="AW188" t="str">
        <f>IF(Sistema!AW188="","",Sistema!AW188)</f>
        <v/>
      </c>
      <c r="AX188" t="str">
        <f>IF(Sistema!AX188="","",Sistema!AX188)</f>
        <v/>
      </c>
      <c r="AY188" t="str">
        <f>IF(Sistema!AY188="","",Sistema!AY188)</f>
        <v/>
      </c>
      <c r="AZ188" t="str">
        <f>IF(Sistema!AZ188="","",Sistema!AZ188)</f>
        <v/>
      </c>
      <c r="BA188" t="str">
        <f>IF(Sistema!BA188="","",Sistema!BA188)</f>
        <v/>
      </c>
      <c r="BB188" t="str">
        <f>IF(Sistema!BB188="","",Sistema!BB188)</f>
        <v/>
      </c>
      <c r="BC188" t="str">
        <f>IF(Sistema!BC188="","",Sistema!BC188)</f>
        <v/>
      </c>
      <c r="BD188" t="str">
        <f>IF(Sistema!BD188="","",Sistema!BD188)</f>
        <v/>
      </c>
      <c r="BE188" t="str">
        <f>IF(Sistema!BE188="","",Sistema!BE188)</f>
        <v/>
      </c>
      <c r="BF188" t="str">
        <f>IF(Sistema!BF188="","",Sistema!BF188)</f>
        <v/>
      </c>
      <c r="BG188" t="str">
        <f>IF(Sistema!BG188="","",Sistema!BG188)</f>
        <v/>
      </c>
      <c r="BH188" t="str">
        <f>IF(Sistema!BH188="","",Sistema!BH188)</f>
        <v/>
      </c>
      <c r="BI188" t="str">
        <f>IF(Sistema!BI188="","",Sistema!BI188)</f>
        <v/>
      </c>
      <c r="BJ188" t="str">
        <f>IF(Sistema!BJ188="","",Sistema!BJ188)</f>
        <v/>
      </c>
      <c r="BK188" t="str">
        <f>IF(Sistema!BK188="","",Sistema!BK188)</f>
        <v/>
      </c>
      <c r="BL188" t="str">
        <f>IF(Sistema!BL188="","",Sistema!BL188)</f>
        <v/>
      </c>
      <c r="BM188" t="str">
        <f>IF(Sistema!BM188="","",Sistema!BM188)</f>
        <v/>
      </c>
      <c r="BN188" t="str">
        <f>IF(Sistema!BN188="","",Sistema!BN188)</f>
        <v/>
      </c>
      <c r="BO188" t="str">
        <f>IF(Sistema!BO188="","",Sistema!BO188)</f>
        <v/>
      </c>
      <c r="BP188" t="str">
        <f>IF(Sistema!BP188="","",Sistema!BP188)</f>
        <v/>
      </c>
      <c r="BQ188" t="str">
        <f>IF(Sistema!BQ188="","",Sistema!BQ188)</f>
        <v/>
      </c>
      <c r="BR188" t="str">
        <f>IF(Sistema!BR188="","",Sistema!BR188)</f>
        <v/>
      </c>
      <c r="BS188" t="str">
        <f>IF(Sistema!BS188="","",Sistema!BS188)</f>
        <v/>
      </c>
      <c r="BT188" t="str">
        <f>IF(Sistema!BT188="","",Sistema!BT188)</f>
        <v/>
      </c>
      <c r="BU188" t="str">
        <f>IF(Sistema!BU188="","",Sistema!BU188)</f>
        <v/>
      </c>
      <c r="BV188" t="str">
        <f>IF(Sistema!BV188="","",Sistema!BV188)</f>
        <v/>
      </c>
      <c r="BW188" t="str">
        <f>IF(Sistema!BW188="","",Sistema!BW188)</f>
        <v/>
      </c>
      <c r="BX188" t="str">
        <f>IF(Sistema!BX188="","",Sistema!BX188)</f>
        <v/>
      </c>
      <c r="BY188" t="str">
        <f>IF(Sistema!BY188="","",Sistema!BY188)</f>
        <v/>
      </c>
      <c r="BZ188" t="str">
        <f>IF(Sistema!BZ188="","",Sistema!BZ188)</f>
        <v/>
      </c>
      <c r="CA188" t="str">
        <f>IF(Sistema!CA188="","",Sistema!CA188)</f>
        <v/>
      </c>
      <c r="CB188" t="str">
        <f>IF(Sistema!CB188="","",Sistema!CB188)</f>
        <v/>
      </c>
      <c r="CC188" t="str">
        <f>IF(Sistema!CC188="","",Sistema!CC188)</f>
        <v/>
      </c>
      <c r="CD188" t="str">
        <f>IF(Sistema!CD188="","",Sistema!CD188)</f>
        <v/>
      </c>
    </row>
    <row r="189" spans="1:82" x14ac:dyDescent="0.25">
      <c r="A189" t="str">
        <f>IF(Sistema!A189="","",Sistema!A189)</f>
        <v/>
      </c>
      <c r="B189" t="str">
        <f>IF(Sistema!B189="","",Sistema!B189)</f>
        <v/>
      </c>
      <c r="C189" t="str">
        <f>IF(Sistema!C189="","",Sistema!C189)</f>
        <v/>
      </c>
      <c r="D189" t="str">
        <f>IF(Sistema!D189="","",Sistema!D189)</f>
        <v/>
      </c>
      <c r="E189" t="str">
        <f>IF(Sistema!E189="","",Sistema!E189)</f>
        <v/>
      </c>
      <c r="F189">
        <f>IF(P189&gt;0,1,IF(Sistema!F189=0,-1,1))</f>
        <v>-1</v>
      </c>
      <c r="G189">
        <f>Sistema!G189</f>
        <v>0</v>
      </c>
      <c r="H189" t="str">
        <f>IF(OR(R189="notify",R189=1),"visible",IF(OR(Sistema!F189=-1,Sistema!F189=0,ISNUMBER(SEARCH("PCK",E189))),"hidden",IF(P189&gt;0,"visible","hidden")))</f>
        <v>hidden</v>
      </c>
      <c r="I189" t="str">
        <f>IF(B189="simple",IF(P189&gt;0,"",IF(R189="notify",Info!C$2,"")),IF(B189="variable",IF(P189&gt;0,"",IF(R189="notify",Info!C$4,"")),""))</f>
        <v/>
      </c>
      <c r="J189" t="str">
        <f>IF(Sistema!J189="","",Sistema!J189)</f>
        <v/>
      </c>
      <c r="M189" t="str">
        <f>IF(Sistema!M189="","",Sistema!M189)</f>
        <v/>
      </c>
      <c r="N189" s="6" t="s">
        <v>1557</v>
      </c>
      <c r="O189" s="6">
        <v>1</v>
      </c>
      <c r="P189">
        <f>Sistema!P189</f>
        <v>0</v>
      </c>
      <c r="Q189">
        <f>Sistema!Q189</f>
        <v>0</v>
      </c>
      <c r="R189">
        <f>IF(Sistema!R189=1,"notify",Sistema!R189)</f>
        <v>0</v>
      </c>
      <c r="T189" t="str">
        <f>IF(Sistema!T189="","",Sistema!T189)</f>
        <v/>
      </c>
      <c r="U189" t="str">
        <f>IF(Sistema!U189="","",Sistema!U189)</f>
        <v/>
      </c>
      <c r="V189" t="str">
        <f>IF(Sistema!V189="","",Sistema!V189)</f>
        <v/>
      </c>
      <c r="W189" t="str">
        <f>IF(Sistema!W189="","",Sistema!W189)</f>
        <v/>
      </c>
      <c r="X189" s="6">
        <v>1</v>
      </c>
      <c r="Z189" t="str">
        <f>IF(Sistema!Z189="","",Sistema!Z189)</f>
        <v/>
      </c>
      <c r="AA189" t="str">
        <f>IF(Sistema!AA189="","",Sistema!AA189)</f>
        <v/>
      </c>
      <c r="AB189" t="str">
        <f>IF(Sistema!AB189="","",IF(OR(ISNUMBER(SEARCH("MKP",E189)),ISNUMBER(SEARCH("MKP",C189))),"Marketplace &gt; "&amp;Sistema!AB189,Sistema!AB189))</f>
        <v/>
      </c>
      <c r="AC189" t="str">
        <f>IF(Sistema!AC189="","",Sistema!AC189)</f>
        <v/>
      </c>
      <c r="AE189" t="str">
        <f>IF(Sistema!AE189="","",Sistema!AE189)</f>
        <v/>
      </c>
      <c r="AH189" t="str">
        <f>IF(Sistema!AH189="","",Sistema!AH189)</f>
        <v/>
      </c>
      <c r="AQ189" t="str">
        <f>IF(Sistema!AQ189="","",Sistema!AQ189)</f>
        <v/>
      </c>
      <c r="AR189" t="str">
        <f>IF(Sistema!AR189="","",Sistema!AR189)</f>
        <v/>
      </c>
      <c r="AS189" t="str">
        <f>IF(Sistema!AS189="","",Sistema!AS189)</f>
        <v/>
      </c>
      <c r="AT189" t="str">
        <f>IF(Sistema!AT189="","",Sistema!AT189)</f>
        <v/>
      </c>
      <c r="AU189" t="str">
        <f>IF(Sistema!AU189="","",Sistema!AU189)</f>
        <v/>
      </c>
      <c r="AV189" t="str">
        <f>IF(Sistema!AV189="","",Sistema!AV189)</f>
        <v/>
      </c>
      <c r="AW189" t="str">
        <f>IF(Sistema!AW189="","",Sistema!AW189)</f>
        <v/>
      </c>
      <c r="AX189" t="str">
        <f>IF(Sistema!AX189="","",Sistema!AX189)</f>
        <v/>
      </c>
      <c r="AY189" t="str">
        <f>IF(Sistema!AY189="","",Sistema!AY189)</f>
        <v/>
      </c>
      <c r="AZ189" t="str">
        <f>IF(Sistema!AZ189="","",Sistema!AZ189)</f>
        <v/>
      </c>
      <c r="BA189" t="str">
        <f>IF(Sistema!BA189="","",Sistema!BA189)</f>
        <v/>
      </c>
      <c r="BB189" t="str">
        <f>IF(Sistema!BB189="","",Sistema!BB189)</f>
        <v/>
      </c>
      <c r="BC189" t="str">
        <f>IF(Sistema!BC189="","",Sistema!BC189)</f>
        <v/>
      </c>
      <c r="BD189" t="str">
        <f>IF(Sistema!BD189="","",Sistema!BD189)</f>
        <v/>
      </c>
      <c r="BE189" t="str">
        <f>IF(Sistema!BE189="","",Sistema!BE189)</f>
        <v/>
      </c>
      <c r="BF189" t="str">
        <f>IF(Sistema!BF189="","",Sistema!BF189)</f>
        <v/>
      </c>
      <c r="BG189" t="str">
        <f>IF(Sistema!BG189="","",Sistema!BG189)</f>
        <v/>
      </c>
      <c r="BH189" t="str">
        <f>IF(Sistema!BH189="","",Sistema!BH189)</f>
        <v/>
      </c>
      <c r="BI189" t="str">
        <f>IF(Sistema!BI189="","",Sistema!BI189)</f>
        <v/>
      </c>
      <c r="BJ189" t="str">
        <f>IF(Sistema!BJ189="","",Sistema!BJ189)</f>
        <v/>
      </c>
      <c r="BK189" t="str">
        <f>IF(Sistema!BK189="","",Sistema!BK189)</f>
        <v/>
      </c>
      <c r="BL189" t="str">
        <f>IF(Sistema!BL189="","",Sistema!BL189)</f>
        <v/>
      </c>
      <c r="BM189" t="str">
        <f>IF(Sistema!BM189="","",Sistema!BM189)</f>
        <v/>
      </c>
      <c r="BN189" t="str">
        <f>IF(Sistema!BN189="","",Sistema!BN189)</f>
        <v/>
      </c>
      <c r="BO189" t="str">
        <f>IF(Sistema!BO189="","",Sistema!BO189)</f>
        <v/>
      </c>
      <c r="BP189" t="str">
        <f>IF(Sistema!BP189="","",Sistema!BP189)</f>
        <v/>
      </c>
      <c r="BQ189" t="str">
        <f>IF(Sistema!BQ189="","",Sistema!BQ189)</f>
        <v/>
      </c>
      <c r="BR189" t="str">
        <f>IF(Sistema!BR189="","",Sistema!BR189)</f>
        <v/>
      </c>
      <c r="BS189" t="str">
        <f>IF(Sistema!BS189="","",Sistema!BS189)</f>
        <v/>
      </c>
      <c r="BT189" t="str">
        <f>IF(Sistema!BT189="","",Sistema!BT189)</f>
        <v/>
      </c>
      <c r="BU189" t="str">
        <f>IF(Sistema!BU189="","",Sistema!BU189)</f>
        <v/>
      </c>
      <c r="BV189" t="str">
        <f>IF(Sistema!BV189="","",Sistema!BV189)</f>
        <v/>
      </c>
      <c r="BW189" t="str">
        <f>IF(Sistema!BW189="","",Sistema!BW189)</f>
        <v/>
      </c>
      <c r="BX189" t="str">
        <f>IF(Sistema!BX189="","",Sistema!BX189)</f>
        <v/>
      </c>
      <c r="BY189" t="str">
        <f>IF(Sistema!BY189="","",Sistema!BY189)</f>
        <v/>
      </c>
      <c r="BZ189" t="str">
        <f>IF(Sistema!BZ189="","",Sistema!BZ189)</f>
        <v/>
      </c>
      <c r="CA189" t="str">
        <f>IF(Sistema!CA189="","",Sistema!CA189)</f>
        <v/>
      </c>
      <c r="CB189" t="str">
        <f>IF(Sistema!CB189="","",Sistema!CB189)</f>
        <v/>
      </c>
      <c r="CC189" t="str">
        <f>IF(Sistema!CC189="","",Sistema!CC189)</f>
        <v/>
      </c>
      <c r="CD189" t="str">
        <f>IF(Sistema!CD189="","",Sistema!CD189)</f>
        <v/>
      </c>
    </row>
    <row r="190" spans="1:82" x14ac:dyDescent="0.25">
      <c r="A190" t="str">
        <f>IF(Sistema!A190="","",Sistema!A190)</f>
        <v/>
      </c>
      <c r="B190" t="str">
        <f>IF(Sistema!B190="","",Sistema!B190)</f>
        <v/>
      </c>
      <c r="C190" t="str">
        <f>IF(Sistema!C190="","",Sistema!C190)</f>
        <v/>
      </c>
      <c r="D190" t="str">
        <f>IF(Sistema!D190="","",Sistema!D190)</f>
        <v/>
      </c>
      <c r="E190" t="str">
        <f>IF(Sistema!E190="","",Sistema!E190)</f>
        <v/>
      </c>
      <c r="F190">
        <f>IF(P190&gt;0,1,IF(Sistema!F190=0,-1,1))</f>
        <v>-1</v>
      </c>
      <c r="G190">
        <f>Sistema!G190</f>
        <v>0</v>
      </c>
      <c r="H190" t="str">
        <f>IF(OR(R190="notify",R190=1),"visible",IF(OR(Sistema!F190=-1,Sistema!F190=0,ISNUMBER(SEARCH("PCK",E190))),"hidden",IF(P190&gt;0,"visible","hidden")))</f>
        <v>hidden</v>
      </c>
      <c r="I190" t="str">
        <f>IF(B190="simple",IF(P190&gt;0,"",IF(R190="notify",Info!C$2,"")),IF(B190="variable",IF(P190&gt;0,"",IF(R190="notify",Info!C$4,"")),""))</f>
        <v/>
      </c>
      <c r="J190" t="str">
        <f>IF(Sistema!J190="","",Sistema!J190)</f>
        <v/>
      </c>
      <c r="M190" t="str">
        <f>IF(Sistema!M190="","",Sistema!M190)</f>
        <v/>
      </c>
      <c r="N190" s="6" t="s">
        <v>1557</v>
      </c>
      <c r="O190" s="6">
        <v>1</v>
      </c>
      <c r="P190">
        <f>Sistema!P190</f>
        <v>0</v>
      </c>
      <c r="Q190">
        <f>Sistema!Q190</f>
        <v>0</v>
      </c>
      <c r="R190">
        <f>IF(Sistema!R190=1,"notify",Sistema!R190)</f>
        <v>0</v>
      </c>
      <c r="T190" t="str">
        <f>IF(Sistema!T190="","",Sistema!T190)</f>
        <v/>
      </c>
      <c r="U190" t="str">
        <f>IF(Sistema!U190="","",Sistema!U190)</f>
        <v/>
      </c>
      <c r="V190" t="str">
        <f>IF(Sistema!V190="","",Sistema!V190)</f>
        <v/>
      </c>
      <c r="W190" t="str">
        <f>IF(Sistema!W190="","",Sistema!W190)</f>
        <v/>
      </c>
      <c r="X190" s="6">
        <v>1</v>
      </c>
      <c r="Z190" t="str">
        <f>IF(Sistema!Z190="","",Sistema!Z190)</f>
        <v/>
      </c>
      <c r="AA190" t="str">
        <f>IF(Sistema!AA190="","",Sistema!AA190)</f>
        <v/>
      </c>
      <c r="AB190" t="str">
        <f>IF(Sistema!AB190="","",IF(OR(ISNUMBER(SEARCH("MKP",E190)),ISNUMBER(SEARCH("MKP",C190))),"Marketplace &gt; "&amp;Sistema!AB190,Sistema!AB190))</f>
        <v/>
      </c>
      <c r="AC190" t="str">
        <f>IF(Sistema!AC190="","",Sistema!AC190)</f>
        <v/>
      </c>
      <c r="AE190" t="str">
        <f>IF(Sistema!AE190="","",Sistema!AE190)</f>
        <v/>
      </c>
      <c r="AH190" t="str">
        <f>IF(Sistema!AH190="","",Sistema!AH190)</f>
        <v/>
      </c>
      <c r="AQ190" t="str">
        <f>IF(Sistema!AQ190="","",Sistema!AQ190)</f>
        <v/>
      </c>
      <c r="AR190" t="str">
        <f>IF(Sistema!AR190="","",Sistema!AR190)</f>
        <v/>
      </c>
      <c r="AS190" t="str">
        <f>IF(Sistema!AS190="","",Sistema!AS190)</f>
        <v/>
      </c>
      <c r="AT190" t="str">
        <f>IF(Sistema!AT190="","",Sistema!AT190)</f>
        <v/>
      </c>
      <c r="AU190" t="str">
        <f>IF(Sistema!AU190="","",Sistema!AU190)</f>
        <v/>
      </c>
      <c r="AV190" t="str">
        <f>IF(Sistema!AV190="","",Sistema!AV190)</f>
        <v/>
      </c>
      <c r="AW190" t="str">
        <f>IF(Sistema!AW190="","",Sistema!AW190)</f>
        <v/>
      </c>
      <c r="AX190" t="str">
        <f>IF(Sistema!AX190="","",Sistema!AX190)</f>
        <v/>
      </c>
      <c r="AY190" t="str">
        <f>IF(Sistema!AY190="","",Sistema!AY190)</f>
        <v/>
      </c>
      <c r="AZ190" t="str">
        <f>IF(Sistema!AZ190="","",Sistema!AZ190)</f>
        <v/>
      </c>
      <c r="BA190" t="str">
        <f>IF(Sistema!BA190="","",Sistema!BA190)</f>
        <v/>
      </c>
      <c r="BB190" t="str">
        <f>IF(Sistema!BB190="","",Sistema!BB190)</f>
        <v/>
      </c>
      <c r="BC190" t="str">
        <f>IF(Sistema!BC190="","",Sistema!BC190)</f>
        <v/>
      </c>
      <c r="BD190" t="str">
        <f>IF(Sistema!BD190="","",Sistema!BD190)</f>
        <v/>
      </c>
      <c r="BE190" t="str">
        <f>IF(Sistema!BE190="","",Sistema!BE190)</f>
        <v/>
      </c>
      <c r="BF190" t="str">
        <f>IF(Sistema!BF190="","",Sistema!BF190)</f>
        <v/>
      </c>
      <c r="BG190" t="str">
        <f>IF(Sistema!BG190="","",Sistema!BG190)</f>
        <v/>
      </c>
      <c r="BH190" t="str">
        <f>IF(Sistema!BH190="","",Sistema!BH190)</f>
        <v/>
      </c>
      <c r="BI190" t="str">
        <f>IF(Sistema!BI190="","",Sistema!BI190)</f>
        <v/>
      </c>
      <c r="BJ190" t="str">
        <f>IF(Sistema!BJ190="","",Sistema!BJ190)</f>
        <v/>
      </c>
      <c r="BK190" t="str">
        <f>IF(Sistema!BK190="","",Sistema!BK190)</f>
        <v/>
      </c>
      <c r="BL190" t="str">
        <f>IF(Sistema!BL190="","",Sistema!BL190)</f>
        <v/>
      </c>
      <c r="BM190" t="str">
        <f>IF(Sistema!BM190="","",Sistema!BM190)</f>
        <v/>
      </c>
      <c r="BN190" t="str">
        <f>IF(Sistema!BN190="","",Sistema!BN190)</f>
        <v/>
      </c>
      <c r="BO190" t="str">
        <f>IF(Sistema!BO190="","",Sistema!BO190)</f>
        <v/>
      </c>
      <c r="BP190" t="str">
        <f>IF(Sistema!BP190="","",Sistema!BP190)</f>
        <v/>
      </c>
      <c r="BQ190" t="str">
        <f>IF(Sistema!BQ190="","",Sistema!BQ190)</f>
        <v/>
      </c>
      <c r="BR190" t="str">
        <f>IF(Sistema!BR190="","",Sistema!BR190)</f>
        <v/>
      </c>
      <c r="BS190" t="str">
        <f>IF(Sistema!BS190="","",Sistema!BS190)</f>
        <v/>
      </c>
      <c r="BT190" t="str">
        <f>IF(Sistema!BT190="","",Sistema!BT190)</f>
        <v/>
      </c>
      <c r="BU190" t="str">
        <f>IF(Sistema!BU190="","",Sistema!BU190)</f>
        <v/>
      </c>
      <c r="BV190" t="str">
        <f>IF(Sistema!BV190="","",Sistema!BV190)</f>
        <v/>
      </c>
      <c r="BW190" t="str">
        <f>IF(Sistema!BW190="","",Sistema!BW190)</f>
        <v/>
      </c>
      <c r="BX190" t="str">
        <f>IF(Sistema!BX190="","",Sistema!BX190)</f>
        <v/>
      </c>
      <c r="BY190" t="str">
        <f>IF(Sistema!BY190="","",Sistema!BY190)</f>
        <v/>
      </c>
      <c r="BZ190" t="str">
        <f>IF(Sistema!BZ190="","",Sistema!BZ190)</f>
        <v/>
      </c>
      <c r="CA190" t="str">
        <f>IF(Sistema!CA190="","",Sistema!CA190)</f>
        <v/>
      </c>
      <c r="CB190" t="str">
        <f>IF(Sistema!CB190="","",Sistema!CB190)</f>
        <v/>
      </c>
      <c r="CC190" t="str">
        <f>IF(Sistema!CC190="","",Sistema!CC190)</f>
        <v/>
      </c>
      <c r="CD190" t="str">
        <f>IF(Sistema!CD190="","",Sistema!CD190)</f>
        <v/>
      </c>
    </row>
    <row r="191" spans="1:82" x14ac:dyDescent="0.25">
      <c r="A191" t="str">
        <f>IF(Sistema!A191="","",Sistema!A191)</f>
        <v/>
      </c>
      <c r="B191" t="str">
        <f>IF(Sistema!B191="","",Sistema!B191)</f>
        <v/>
      </c>
      <c r="C191" t="str">
        <f>IF(Sistema!C191="","",Sistema!C191)</f>
        <v/>
      </c>
      <c r="D191" t="str">
        <f>IF(Sistema!D191="","",Sistema!D191)</f>
        <v/>
      </c>
      <c r="E191" t="str">
        <f>IF(Sistema!E191="","",Sistema!E191)</f>
        <v/>
      </c>
      <c r="F191">
        <f>IF(P191&gt;0,1,IF(Sistema!F191=0,-1,1))</f>
        <v>-1</v>
      </c>
      <c r="G191">
        <f>Sistema!G191</f>
        <v>0</v>
      </c>
      <c r="H191" t="str">
        <f>IF(OR(R191="notify",R191=1),"visible",IF(OR(Sistema!F191=-1,Sistema!F191=0,ISNUMBER(SEARCH("PCK",E191))),"hidden",IF(P191&gt;0,"visible","hidden")))</f>
        <v>hidden</v>
      </c>
      <c r="I191" t="str">
        <f>IF(B191="simple",IF(P191&gt;0,"",IF(R191="notify",Info!C$2,"")),IF(B191="variable",IF(P191&gt;0,"",IF(R191="notify",Info!C$4,"")),""))</f>
        <v/>
      </c>
      <c r="J191" t="str">
        <f>IF(Sistema!J191="","",Sistema!J191)</f>
        <v/>
      </c>
      <c r="M191" t="str">
        <f>IF(Sistema!M191="","",Sistema!M191)</f>
        <v/>
      </c>
      <c r="N191" s="6" t="s">
        <v>1557</v>
      </c>
      <c r="O191" s="6">
        <v>1</v>
      </c>
      <c r="P191">
        <f>Sistema!P191</f>
        <v>0</v>
      </c>
      <c r="Q191">
        <f>Sistema!Q191</f>
        <v>0</v>
      </c>
      <c r="R191">
        <f>IF(Sistema!R191=1,"notify",Sistema!R191)</f>
        <v>0</v>
      </c>
      <c r="T191" t="str">
        <f>IF(Sistema!T191="","",Sistema!T191)</f>
        <v/>
      </c>
      <c r="U191" t="str">
        <f>IF(Sistema!U191="","",Sistema!U191)</f>
        <v/>
      </c>
      <c r="V191" t="str">
        <f>IF(Sistema!V191="","",Sistema!V191)</f>
        <v/>
      </c>
      <c r="W191" t="str">
        <f>IF(Sistema!W191="","",Sistema!W191)</f>
        <v/>
      </c>
      <c r="X191" s="6">
        <v>1</v>
      </c>
      <c r="Z191" t="str">
        <f>IF(Sistema!Z191="","",Sistema!Z191)</f>
        <v/>
      </c>
      <c r="AA191" t="str">
        <f>IF(Sistema!AA191="","",Sistema!AA191)</f>
        <v/>
      </c>
      <c r="AB191" t="str">
        <f>IF(Sistema!AB191="","",IF(OR(ISNUMBER(SEARCH("MKP",E191)),ISNUMBER(SEARCH("MKP",C191))),"Marketplace &gt; "&amp;Sistema!AB191,Sistema!AB191))</f>
        <v/>
      </c>
      <c r="AC191" t="str">
        <f>IF(Sistema!AC191="","",Sistema!AC191)</f>
        <v/>
      </c>
      <c r="AE191" t="str">
        <f>IF(Sistema!AE191="","",Sistema!AE191)</f>
        <v/>
      </c>
      <c r="AH191" t="str">
        <f>IF(Sistema!AH191="","",Sistema!AH191)</f>
        <v/>
      </c>
      <c r="AQ191" t="str">
        <f>IF(Sistema!AQ191="","",Sistema!AQ191)</f>
        <v/>
      </c>
      <c r="AR191" t="str">
        <f>IF(Sistema!AR191="","",Sistema!AR191)</f>
        <v/>
      </c>
      <c r="AS191" t="str">
        <f>IF(Sistema!AS191="","",Sistema!AS191)</f>
        <v/>
      </c>
      <c r="AT191" t="str">
        <f>IF(Sistema!AT191="","",Sistema!AT191)</f>
        <v/>
      </c>
      <c r="AU191" t="str">
        <f>IF(Sistema!AU191="","",Sistema!AU191)</f>
        <v/>
      </c>
      <c r="AV191" t="str">
        <f>IF(Sistema!AV191="","",Sistema!AV191)</f>
        <v/>
      </c>
      <c r="AW191" t="str">
        <f>IF(Sistema!AW191="","",Sistema!AW191)</f>
        <v/>
      </c>
      <c r="AX191" t="str">
        <f>IF(Sistema!AX191="","",Sistema!AX191)</f>
        <v/>
      </c>
      <c r="AY191" t="str">
        <f>IF(Sistema!AY191="","",Sistema!AY191)</f>
        <v/>
      </c>
      <c r="AZ191" t="str">
        <f>IF(Sistema!AZ191="","",Sistema!AZ191)</f>
        <v/>
      </c>
      <c r="BA191" t="str">
        <f>IF(Sistema!BA191="","",Sistema!BA191)</f>
        <v/>
      </c>
      <c r="BB191" t="str">
        <f>IF(Sistema!BB191="","",Sistema!BB191)</f>
        <v/>
      </c>
      <c r="BC191" t="str">
        <f>IF(Sistema!BC191="","",Sistema!BC191)</f>
        <v/>
      </c>
      <c r="BD191" t="str">
        <f>IF(Sistema!BD191="","",Sistema!BD191)</f>
        <v/>
      </c>
      <c r="BE191" t="str">
        <f>IF(Sistema!BE191="","",Sistema!BE191)</f>
        <v/>
      </c>
      <c r="BF191" t="str">
        <f>IF(Sistema!BF191="","",Sistema!BF191)</f>
        <v/>
      </c>
      <c r="BG191" t="str">
        <f>IF(Sistema!BG191="","",Sistema!BG191)</f>
        <v/>
      </c>
      <c r="BH191" t="str">
        <f>IF(Sistema!BH191="","",Sistema!BH191)</f>
        <v/>
      </c>
      <c r="BI191" t="str">
        <f>IF(Sistema!BI191="","",Sistema!BI191)</f>
        <v/>
      </c>
      <c r="BJ191" t="str">
        <f>IF(Sistema!BJ191="","",Sistema!BJ191)</f>
        <v/>
      </c>
      <c r="BK191" t="str">
        <f>IF(Sistema!BK191="","",Sistema!BK191)</f>
        <v/>
      </c>
      <c r="BL191" t="str">
        <f>IF(Sistema!BL191="","",Sistema!BL191)</f>
        <v/>
      </c>
      <c r="BM191" t="str">
        <f>IF(Sistema!BM191="","",Sistema!BM191)</f>
        <v/>
      </c>
      <c r="BN191" t="str">
        <f>IF(Sistema!BN191="","",Sistema!BN191)</f>
        <v/>
      </c>
      <c r="BO191" t="str">
        <f>IF(Sistema!BO191="","",Sistema!BO191)</f>
        <v/>
      </c>
      <c r="BP191" t="str">
        <f>IF(Sistema!BP191="","",Sistema!BP191)</f>
        <v/>
      </c>
      <c r="BQ191" t="str">
        <f>IF(Sistema!BQ191="","",Sistema!BQ191)</f>
        <v/>
      </c>
      <c r="BR191" t="str">
        <f>IF(Sistema!BR191="","",Sistema!BR191)</f>
        <v/>
      </c>
      <c r="BS191" t="str">
        <f>IF(Sistema!BS191="","",Sistema!BS191)</f>
        <v/>
      </c>
      <c r="BT191" t="str">
        <f>IF(Sistema!BT191="","",Sistema!BT191)</f>
        <v/>
      </c>
      <c r="BU191" t="str">
        <f>IF(Sistema!BU191="","",Sistema!BU191)</f>
        <v/>
      </c>
      <c r="BV191" t="str">
        <f>IF(Sistema!BV191="","",Sistema!BV191)</f>
        <v/>
      </c>
      <c r="BW191" t="str">
        <f>IF(Sistema!BW191="","",Sistema!BW191)</f>
        <v/>
      </c>
      <c r="BX191" t="str">
        <f>IF(Sistema!BX191="","",Sistema!BX191)</f>
        <v/>
      </c>
      <c r="BY191" t="str">
        <f>IF(Sistema!BY191="","",Sistema!BY191)</f>
        <v/>
      </c>
      <c r="BZ191" t="str">
        <f>IF(Sistema!BZ191="","",Sistema!BZ191)</f>
        <v/>
      </c>
      <c r="CA191" t="str">
        <f>IF(Sistema!CA191="","",Sistema!CA191)</f>
        <v/>
      </c>
      <c r="CB191" t="str">
        <f>IF(Sistema!CB191="","",Sistema!CB191)</f>
        <v/>
      </c>
      <c r="CC191" t="str">
        <f>IF(Sistema!CC191="","",Sistema!CC191)</f>
        <v/>
      </c>
      <c r="CD191" t="str">
        <f>IF(Sistema!CD191="","",Sistema!CD191)</f>
        <v/>
      </c>
    </row>
    <row r="192" spans="1:82" x14ac:dyDescent="0.25">
      <c r="A192" t="str">
        <f>IF(Sistema!A192="","",Sistema!A192)</f>
        <v/>
      </c>
      <c r="B192" t="str">
        <f>IF(Sistema!B192="","",Sistema!B192)</f>
        <v/>
      </c>
      <c r="C192" t="str">
        <f>IF(Sistema!C192="","",Sistema!C192)</f>
        <v/>
      </c>
      <c r="D192" t="str">
        <f>IF(Sistema!D192="","",Sistema!D192)</f>
        <v/>
      </c>
      <c r="E192" t="str">
        <f>IF(Sistema!E192="","",Sistema!E192)</f>
        <v/>
      </c>
      <c r="F192">
        <f>IF(P192&gt;0,1,IF(Sistema!F192=0,-1,1))</f>
        <v>-1</v>
      </c>
      <c r="G192">
        <f>Sistema!G192</f>
        <v>0</v>
      </c>
      <c r="H192" t="str">
        <f>IF(OR(R192="notify",R192=1),"visible",IF(OR(Sistema!F192=-1,Sistema!F192=0,ISNUMBER(SEARCH("PCK",E192))),"hidden",IF(P192&gt;0,"visible","hidden")))</f>
        <v>hidden</v>
      </c>
      <c r="I192" t="str">
        <f>IF(B192="simple",IF(P192&gt;0,"",IF(R192="notify",Info!C$2,"")),IF(B192="variable",IF(P192&gt;0,"",IF(R192="notify",Info!C$4,"")),""))</f>
        <v/>
      </c>
      <c r="J192" t="str">
        <f>IF(Sistema!J192="","",Sistema!J192)</f>
        <v/>
      </c>
      <c r="M192" t="str">
        <f>IF(Sistema!M192="","",Sistema!M192)</f>
        <v/>
      </c>
      <c r="N192" s="6" t="s">
        <v>1557</v>
      </c>
      <c r="O192" s="6">
        <v>1</v>
      </c>
      <c r="P192">
        <f>Sistema!P192</f>
        <v>0</v>
      </c>
      <c r="Q192">
        <f>Sistema!Q192</f>
        <v>0</v>
      </c>
      <c r="R192">
        <f>IF(Sistema!R192=1,"notify",Sistema!R192)</f>
        <v>0</v>
      </c>
      <c r="T192" t="str">
        <f>IF(Sistema!T192="","",Sistema!T192)</f>
        <v/>
      </c>
      <c r="U192" t="str">
        <f>IF(Sistema!U192="","",Sistema!U192)</f>
        <v/>
      </c>
      <c r="V192" t="str">
        <f>IF(Sistema!V192="","",Sistema!V192)</f>
        <v/>
      </c>
      <c r="W192" t="str">
        <f>IF(Sistema!W192="","",Sistema!W192)</f>
        <v/>
      </c>
      <c r="X192" s="6">
        <v>1</v>
      </c>
      <c r="Z192" t="str">
        <f>IF(Sistema!Z192="","",Sistema!Z192)</f>
        <v/>
      </c>
      <c r="AA192" t="str">
        <f>IF(Sistema!AA192="","",Sistema!AA192)</f>
        <v/>
      </c>
      <c r="AB192" t="str">
        <f>IF(Sistema!AB192="","",IF(OR(ISNUMBER(SEARCH("MKP",E192)),ISNUMBER(SEARCH("MKP",C192))),"Marketplace &gt; "&amp;Sistema!AB192,Sistema!AB192))</f>
        <v/>
      </c>
      <c r="AC192" t="str">
        <f>IF(Sistema!AC192="","",Sistema!AC192)</f>
        <v/>
      </c>
      <c r="AE192" t="str">
        <f>IF(Sistema!AE192="","",Sistema!AE192)</f>
        <v/>
      </c>
      <c r="AH192" t="str">
        <f>IF(Sistema!AH192="","",Sistema!AH192)</f>
        <v/>
      </c>
      <c r="AQ192" t="str">
        <f>IF(Sistema!AQ192="","",Sistema!AQ192)</f>
        <v/>
      </c>
      <c r="AR192" t="str">
        <f>IF(Sistema!AR192="","",Sistema!AR192)</f>
        <v/>
      </c>
      <c r="AS192" t="str">
        <f>IF(Sistema!AS192="","",Sistema!AS192)</f>
        <v/>
      </c>
      <c r="AT192" t="str">
        <f>IF(Sistema!AT192="","",Sistema!AT192)</f>
        <v/>
      </c>
      <c r="AU192" t="str">
        <f>IF(Sistema!AU192="","",Sistema!AU192)</f>
        <v/>
      </c>
      <c r="AV192" t="str">
        <f>IF(Sistema!AV192="","",Sistema!AV192)</f>
        <v/>
      </c>
      <c r="AW192" t="str">
        <f>IF(Sistema!AW192="","",Sistema!AW192)</f>
        <v/>
      </c>
      <c r="AX192" t="str">
        <f>IF(Sistema!AX192="","",Sistema!AX192)</f>
        <v/>
      </c>
      <c r="AY192" t="str">
        <f>IF(Sistema!AY192="","",Sistema!AY192)</f>
        <v/>
      </c>
      <c r="AZ192" t="str">
        <f>IF(Sistema!AZ192="","",Sistema!AZ192)</f>
        <v/>
      </c>
      <c r="BA192" t="str">
        <f>IF(Sistema!BA192="","",Sistema!BA192)</f>
        <v/>
      </c>
      <c r="BB192" t="str">
        <f>IF(Sistema!BB192="","",Sistema!BB192)</f>
        <v/>
      </c>
      <c r="BC192" t="str">
        <f>IF(Sistema!BC192="","",Sistema!BC192)</f>
        <v/>
      </c>
      <c r="BD192" t="str">
        <f>IF(Sistema!BD192="","",Sistema!BD192)</f>
        <v/>
      </c>
      <c r="BE192" t="str">
        <f>IF(Sistema!BE192="","",Sistema!BE192)</f>
        <v/>
      </c>
      <c r="BF192" t="str">
        <f>IF(Sistema!BF192="","",Sistema!BF192)</f>
        <v/>
      </c>
      <c r="BG192" t="str">
        <f>IF(Sistema!BG192="","",Sistema!BG192)</f>
        <v/>
      </c>
      <c r="BH192" t="str">
        <f>IF(Sistema!BH192="","",Sistema!BH192)</f>
        <v/>
      </c>
      <c r="BI192" t="str">
        <f>IF(Sistema!BI192="","",Sistema!BI192)</f>
        <v/>
      </c>
      <c r="BJ192" t="str">
        <f>IF(Sistema!BJ192="","",Sistema!BJ192)</f>
        <v/>
      </c>
      <c r="BK192" t="str">
        <f>IF(Sistema!BK192="","",Sistema!BK192)</f>
        <v/>
      </c>
      <c r="BL192" t="str">
        <f>IF(Sistema!BL192="","",Sistema!BL192)</f>
        <v/>
      </c>
      <c r="BM192" t="str">
        <f>IF(Sistema!BM192="","",Sistema!BM192)</f>
        <v/>
      </c>
      <c r="BN192" t="str">
        <f>IF(Sistema!BN192="","",Sistema!BN192)</f>
        <v/>
      </c>
      <c r="BO192" t="str">
        <f>IF(Sistema!BO192="","",Sistema!BO192)</f>
        <v/>
      </c>
      <c r="BP192" t="str">
        <f>IF(Sistema!BP192="","",Sistema!BP192)</f>
        <v/>
      </c>
      <c r="BQ192" t="str">
        <f>IF(Sistema!BQ192="","",Sistema!BQ192)</f>
        <v/>
      </c>
      <c r="BR192" t="str">
        <f>IF(Sistema!BR192="","",Sistema!BR192)</f>
        <v/>
      </c>
      <c r="BS192" t="str">
        <f>IF(Sistema!BS192="","",Sistema!BS192)</f>
        <v/>
      </c>
      <c r="BT192" t="str">
        <f>IF(Sistema!BT192="","",Sistema!BT192)</f>
        <v/>
      </c>
      <c r="BU192" t="str">
        <f>IF(Sistema!BU192="","",Sistema!BU192)</f>
        <v/>
      </c>
      <c r="BV192" t="str">
        <f>IF(Sistema!BV192="","",Sistema!BV192)</f>
        <v/>
      </c>
      <c r="BW192" t="str">
        <f>IF(Sistema!BW192="","",Sistema!BW192)</f>
        <v/>
      </c>
      <c r="BX192" t="str">
        <f>IF(Sistema!BX192="","",Sistema!BX192)</f>
        <v/>
      </c>
      <c r="BY192" t="str">
        <f>IF(Sistema!BY192="","",Sistema!BY192)</f>
        <v/>
      </c>
      <c r="BZ192" t="str">
        <f>IF(Sistema!BZ192="","",Sistema!BZ192)</f>
        <v/>
      </c>
      <c r="CA192" t="str">
        <f>IF(Sistema!CA192="","",Sistema!CA192)</f>
        <v/>
      </c>
      <c r="CB192" t="str">
        <f>IF(Sistema!CB192="","",Sistema!CB192)</f>
        <v/>
      </c>
      <c r="CC192" t="str">
        <f>IF(Sistema!CC192="","",Sistema!CC192)</f>
        <v/>
      </c>
      <c r="CD192" t="str">
        <f>IF(Sistema!CD192="","",Sistema!CD192)</f>
        <v/>
      </c>
    </row>
    <row r="193" spans="1:82" x14ac:dyDescent="0.25">
      <c r="A193" t="str">
        <f>IF(Sistema!A193="","",Sistema!A193)</f>
        <v/>
      </c>
      <c r="B193" t="str">
        <f>IF(Sistema!B193="","",Sistema!B193)</f>
        <v/>
      </c>
      <c r="C193" t="str">
        <f>IF(Sistema!C193="","",Sistema!C193)</f>
        <v/>
      </c>
      <c r="D193" t="str">
        <f>IF(Sistema!D193="","",Sistema!D193)</f>
        <v/>
      </c>
      <c r="E193" t="str">
        <f>IF(Sistema!E193="","",Sistema!E193)</f>
        <v/>
      </c>
      <c r="F193">
        <f>IF(P193&gt;0,1,IF(Sistema!F193=0,-1,1))</f>
        <v>-1</v>
      </c>
      <c r="G193">
        <f>Sistema!G193</f>
        <v>0</v>
      </c>
      <c r="H193" t="str">
        <f>IF(OR(R193="notify",R193=1),"visible",IF(OR(Sistema!F193=-1,Sistema!F193=0,ISNUMBER(SEARCH("PCK",E193))),"hidden",IF(P193&gt;0,"visible","hidden")))</f>
        <v>hidden</v>
      </c>
      <c r="I193" t="str">
        <f>IF(B193="simple",IF(P193&gt;0,"",IF(R193="notify",Info!C$2,"")),IF(B193="variable",IF(P193&gt;0,"",IF(R193="notify",Info!C$4,"")),""))</f>
        <v/>
      </c>
      <c r="J193" t="str">
        <f>IF(Sistema!J193="","",Sistema!J193)</f>
        <v/>
      </c>
      <c r="M193" t="str">
        <f>IF(Sistema!M193="","",Sistema!M193)</f>
        <v/>
      </c>
      <c r="N193" s="6" t="s">
        <v>1557</v>
      </c>
      <c r="O193" s="6">
        <v>1</v>
      </c>
      <c r="P193">
        <f>Sistema!P193</f>
        <v>0</v>
      </c>
      <c r="Q193">
        <f>Sistema!Q193</f>
        <v>0</v>
      </c>
      <c r="R193">
        <f>IF(Sistema!R193=1,"notify",Sistema!R193)</f>
        <v>0</v>
      </c>
      <c r="T193" t="str">
        <f>IF(Sistema!T193="","",Sistema!T193)</f>
        <v/>
      </c>
      <c r="U193" t="str">
        <f>IF(Sistema!U193="","",Sistema!U193)</f>
        <v/>
      </c>
      <c r="V193" t="str">
        <f>IF(Sistema!V193="","",Sistema!V193)</f>
        <v/>
      </c>
      <c r="W193" t="str">
        <f>IF(Sistema!W193="","",Sistema!W193)</f>
        <v/>
      </c>
      <c r="X193" s="6">
        <v>1</v>
      </c>
      <c r="Z193" t="str">
        <f>IF(Sistema!Z193="","",Sistema!Z193)</f>
        <v/>
      </c>
      <c r="AA193" t="str">
        <f>IF(Sistema!AA193="","",Sistema!AA193)</f>
        <v/>
      </c>
      <c r="AB193" t="str">
        <f>IF(Sistema!AB193="","",IF(OR(ISNUMBER(SEARCH("MKP",E193)),ISNUMBER(SEARCH("MKP",C193))),"Marketplace &gt; "&amp;Sistema!AB193,Sistema!AB193))</f>
        <v/>
      </c>
      <c r="AC193" t="str">
        <f>IF(Sistema!AC193="","",Sistema!AC193)</f>
        <v/>
      </c>
      <c r="AE193" t="str">
        <f>IF(Sistema!AE193="","",Sistema!AE193)</f>
        <v/>
      </c>
      <c r="AH193" t="str">
        <f>IF(Sistema!AH193="","",Sistema!AH193)</f>
        <v/>
      </c>
      <c r="AQ193" t="str">
        <f>IF(Sistema!AQ193="","",Sistema!AQ193)</f>
        <v/>
      </c>
      <c r="AR193" t="str">
        <f>IF(Sistema!AR193="","",Sistema!AR193)</f>
        <v/>
      </c>
      <c r="AS193" t="str">
        <f>IF(Sistema!AS193="","",Sistema!AS193)</f>
        <v/>
      </c>
      <c r="AT193" t="str">
        <f>IF(Sistema!AT193="","",Sistema!AT193)</f>
        <v/>
      </c>
      <c r="AU193" t="str">
        <f>IF(Sistema!AU193="","",Sistema!AU193)</f>
        <v/>
      </c>
      <c r="AV193" t="str">
        <f>IF(Sistema!AV193="","",Sistema!AV193)</f>
        <v/>
      </c>
      <c r="AW193" t="str">
        <f>IF(Sistema!AW193="","",Sistema!AW193)</f>
        <v/>
      </c>
      <c r="AX193" t="str">
        <f>IF(Sistema!AX193="","",Sistema!AX193)</f>
        <v/>
      </c>
      <c r="AY193" t="str">
        <f>IF(Sistema!AY193="","",Sistema!AY193)</f>
        <v/>
      </c>
      <c r="AZ193" t="str">
        <f>IF(Sistema!AZ193="","",Sistema!AZ193)</f>
        <v/>
      </c>
      <c r="BA193" t="str">
        <f>IF(Sistema!BA193="","",Sistema!BA193)</f>
        <v/>
      </c>
      <c r="BB193" t="str">
        <f>IF(Sistema!BB193="","",Sistema!BB193)</f>
        <v/>
      </c>
      <c r="BC193" t="str">
        <f>IF(Sistema!BC193="","",Sistema!BC193)</f>
        <v/>
      </c>
      <c r="BD193" t="str">
        <f>IF(Sistema!BD193="","",Sistema!BD193)</f>
        <v/>
      </c>
      <c r="BE193" t="str">
        <f>IF(Sistema!BE193="","",Sistema!BE193)</f>
        <v/>
      </c>
      <c r="BF193" t="str">
        <f>IF(Sistema!BF193="","",Sistema!BF193)</f>
        <v/>
      </c>
      <c r="BG193" t="str">
        <f>IF(Sistema!BG193="","",Sistema!BG193)</f>
        <v/>
      </c>
      <c r="BH193" t="str">
        <f>IF(Sistema!BH193="","",Sistema!BH193)</f>
        <v/>
      </c>
      <c r="BI193" t="str">
        <f>IF(Sistema!BI193="","",Sistema!BI193)</f>
        <v/>
      </c>
      <c r="BJ193" t="str">
        <f>IF(Sistema!BJ193="","",Sistema!BJ193)</f>
        <v/>
      </c>
      <c r="BK193" t="str">
        <f>IF(Sistema!BK193="","",Sistema!BK193)</f>
        <v/>
      </c>
      <c r="BL193" t="str">
        <f>IF(Sistema!BL193="","",Sistema!BL193)</f>
        <v/>
      </c>
      <c r="BM193" t="str">
        <f>IF(Sistema!BM193="","",Sistema!BM193)</f>
        <v/>
      </c>
      <c r="BN193" t="str">
        <f>IF(Sistema!BN193="","",Sistema!BN193)</f>
        <v/>
      </c>
      <c r="BO193" t="str">
        <f>IF(Sistema!BO193="","",Sistema!BO193)</f>
        <v/>
      </c>
      <c r="BP193" t="str">
        <f>IF(Sistema!BP193="","",Sistema!BP193)</f>
        <v/>
      </c>
      <c r="BQ193" t="str">
        <f>IF(Sistema!BQ193="","",Sistema!BQ193)</f>
        <v/>
      </c>
      <c r="BR193" t="str">
        <f>IF(Sistema!BR193="","",Sistema!BR193)</f>
        <v/>
      </c>
      <c r="BS193" t="str">
        <f>IF(Sistema!BS193="","",Sistema!BS193)</f>
        <v/>
      </c>
      <c r="BT193" t="str">
        <f>IF(Sistema!BT193="","",Sistema!BT193)</f>
        <v/>
      </c>
      <c r="BU193" t="str">
        <f>IF(Sistema!BU193="","",Sistema!BU193)</f>
        <v/>
      </c>
      <c r="BV193" t="str">
        <f>IF(Sistema!BV193="","",Sistema!BV193)</f>
        <v/>
      </c>
      <c r="BW193" t="str">
        <f>IF(Sistema!BW193="","",Sistema!BW193)</f>
        <v/>
      </c>
      <c r="BX193" t="str">
        <f>IF(Sistema!BX193="","",Sistema!BX193)</f>
        <v/>
      </c>
      <c r="BY193" t="str">
        <f>IF(Sistema!BY193="","",Sistema!BY193)</f>
        <v/>
      </c>
      <c r="BZ193" t="str">
        <f>IF(Sistema!BZ193="","",Sistema!BZ193)</f>
        <v/>
      </c>
      <c r="CA193" t="str">
        <f>IF(Sistema!CA193="","",Sistema!CA193)</f>
        <v/>
      </c>
      <c r="CB193" t="str">
        <f>IF(Sistema!CB193="","",Sistema!CB193)</f>
        <v/>
      </c>
      <c r="CC193" t="str">
        <f>IF(Sistema!CC193="","",Sistema!CC193)</f>
        <v/>
      </c>
      <c r="CD193" t="str">
        <f>IF(Sistema!CD193="","",Sistema!CD193)</f>
        <v/>
      </c>
    </row>
    <row r="194" spans="1:82" x14ac:dyDescent="0.25">
      <c r="A194" t="str">
        <f>IF(Sistema!A194="","",Sistema!A194)</f>
        <v/>
      </c>
      <c r="B194" t="str">
        <f>IF(Sistema!B194="","",Sistema!B194)</f>
        <v/>
      </c>
      <c r="C194" t="str">
        <f>IF(Sistema!C194="","",Sistema!C194)</f>
        <v/>
      </c>
      <c r="D194" t="str">
        <f>IF(Sistema!D194="","",Sistema!D194)</f>
        <v/>
      </c>
      <c r="E194" t="str">
        <f>IF(Sistema!E194="","",Sistema!E194)</f>
        <v/>
      </c>
      <c r="F194">
        <f>IF(P194&gt;0,1,IF(Sistema!F194=0,-1,1))</f>
        <v>-1</v>
      </c>
      <c r="G194">
        <f>Sistema!G194</f>
        <v>0</v>
      </c>
      <c r="H194" t="str">
        <f>IF(OR(R194="notify",R194=1),"visible",IF(OR(Sistema!F194=-1,Sistema!F194=0,ISNUMBER(SEARCH("PCK",E194))),"hidden",IF(P194&gt;0,"visible","hidden")))</f>
        <v>hidden</v>
      </c>
      <c r="I194" t="str">
        <f>IF(B194="simple",IF(P194&gt;0,"",IF(R194="notify",Info!C$2,"")),IF(B194="variable",IF(P194&gt;0,"",IF(R194="notify",Info!C$4,"")),""))</f>
        <v/>
      </c>
      <c r="J194" t="str">
        <f>IF(Sistema!J194="","",Sistema!J194)</f>
        <v/>
      </c>
      <c r="M194" t="str">
        <f>IF(Sistema!M194="","",Sistema!M194)</f>
        <v/>
      </c>
      <c r="N194" s="6" t="s">
        <v>1557</v>
      </c>
      <c r="O194" s="6">
        <v>1</v>
      </c>
      <c r="P194">
        <f>Sistema!P194</f>
        <v>0</v>
      </c>
      <c r="Q194">
        <f>Sistema!Q194</f>
        <v>0</v>
      </c>
      <c r="R194">
        <f>IF(Sistema!R194=1,"notify",Sistema!R194)</f>
        <v>0</v>
      </c>
      <c r="T194" t="str">
        <f>IF(Sistema!T194="","",Sistema!T194)</f>
        <v/>
      </c>
      <c r="U194" t="str">
        <f>IF(Sistema!U194="","",Sistema!U194)</f>
        <v/>
      </c>
      <c r="V194" t="str">
        <f>IF(Sistema!V194="","",Sistema!V194)</f>
        <v/>
      </c>
      <c r="W194" t="str">
        <f>IF(Sistema!W194="","",Sistema!W194)</f>
        <v/>
      </c>
      <c r="X194" s="6">
        <v>1</v>
      </c>
      <c r="Z194" t="str">
        <f>IF(Sistema!Z194="","",Sistema!Z194)</f>
        <v/>
      </c>
      <c r="AA194" t="str">
        <f>IF(Sistema!AA194="","",Sistema!AA194)</f>
        <v/>
      </c>
      <c r="AB194" t="str">
        <f>IF(Sistema!AB194="","",IF(OR(ISNUMBER(SEARCH("MKP",E194)),ISNUMBER(SEARCH("MKP",C194))),"Marketplace &gt; "&amp;Sistema!AB194,Sistema!AB194))</f>
        <v/>
      </c>
      <c r="AC194" t="str">
        <f>IF(Sistema!AC194="","",Sistema!AC194)</f>
        <v/>
      </c>
      <c r="AE194" t="str">
        <f>IF(Sistema!AE194="","",Sistema!AE194)</f>
        <v/>
      </c>
      <c r="AH194" t="str">
        <f>IF(Sistema!AH194="","",Sistema!AH194)</f>
        <v/>
      </c>
      <c r="AQ194" t="str">
        <f>IF(Sistema!AQ194="","",Sistema!AQ194)</f>
        <v/>
      </c>
      <c r="AR194" t="str">
        <f>IF(Sistema!AR194="","",Sistema!AR194)</f>
        <v/>
      </c>
      <c r="AS194" t="str">
        <f>IF(Sistema!AS194="","",Sistema!AS194)</f>
        <v/>
      </c>
      <c r="AT194" t="str">
        <f>IF(Sistema!AT194="","",Sistema!AT194)</f>
        <v/>
      </c>
      <c r="AU194" t="str">
        <f>IF(Sistema!AU194="","",Sistema!AU194)</f>
        <v/>
      </c>
      <c r="AV194" t="str">
        <f>IF(Sistema!AV194="","",Sistema!AV194)</f>
        <v/>
      </c>
      <c r="AW194" t="str">
        <f>IF(Sistema!AW194="","",Sistema!AW194)</f>
        <v/>
      </c>
      <c r="AX194" t="str">
        <f>IF(Sistema!AX194="","",Sistema!AX194)</f>
        <v/>
      </c>
      <c r="AY194" t="str">
        <f>IF(Sistema!AY194="","",Sistema!AY194)</f>
        <v/>
      </c>
      <c r="AZ194" t="str">
        <f>IF(Sistema!AZ194="","",Sistema!AZ194)</f>
        <v/>
      </c>
      <c r="BA194" t="str">
        <f>IF(Sistema!BA194="","",Sistema!BA194)</f>
        <v/>
      </c>
      <c r="BB194" t="str">
        <f>IF(Sistema!BB194="","",Sistema!BB194)</f>
        <v/>
      </c>
      <c r="BC194" t="str">
        <f>IF(Sistema!BC194="","",Sistema!BC194)</f>
        <v/>
      </c>
      <c r="BD194" t="str">
        <f>IF(Sistema!BD194="","",Sistema!BD194)</f>
        <v/>
      </c>
      <c r="BE194" t="str">
        <f>IF(Sistema!BE194="","",Sistema!BE194)</f>
        <v/>
      </c>
      <c r="BF194" t="str">
        <f>IF(Sistema!BF194="","",Sistema!BF194)</f>
        <v/>
      </c>
      <c r="BG194" t="str">
        <f>IF(Sistema!BG194="","",Sistema!BG194)</f>
        <v/>
      </c>
      <c r="BH194" t="str">
        <f>IF(Sistema!BH194="","",Sistema!BH194)</f>
        <v/>
      </c>
      <c r="BI194" t="str">
        <f>IF(Sistema!BI194="","",Sistema!BI194)</f>
        <v/>
      </c>
      <c r="BJ194" t="str">
        <f>IF(Sistema!BJ194="","",Sistema!BJ194)</f>
        <v/>
      </c>
      <c r="BK194" t="str">
        <f>IF(Sistema!BK194="","",Sistema!BK194)</f>
        <v/>
      </c>
      <c r="BL194" t="str">
        <f>IF(Sistema!BL194="","",Sistema!BL194)</f>
        <v/>
      </c>
      <c r="BM194" t="str">
        <f>IF(Sistema!BM194="","",Sistema!BM194)</f>
        <v/>
      </c>
      <c r="BN194" t="str">
        <f>IF(Sistema!BN194="","",Sistema!BN194)</f>
        <v/>
      </c>
      <c r="BO194" t="str">
        <f>IF(Sistema!BO194="","",Sistema!BO194)</f>
        <v/>
      </c>
      <c r="BP194" t="str">
        <f>IF(Sistema!BP194="","",Sistema!BP194)</f>
        <v/>
      </c>
      <c r="BQ194" t="str">
        <f>IF(Sistema!BQ194="","",Sistema!BQ194)</f>
        <v/>
      </c>
      <c r="BR194" t="str">
        <f>IF(Sistema!BR194="","",Sistema!BR194)</f>
        <v/>
      </c>
      <c r="BS194" t="str">
        <f>IF(Sistema!BS194="","",Sistema!BS194)</f>
        <v/>
      </c>
      <c r="BT194" t="str">
        <f>IF(Sistema!BT194="","",Sistema!BT194)</f>
        <v/>
      </c>
      <c r="BU194" t="str">
        <f>IF(Sistema!BU194="","",Sistema!BU194)</f>
        <v/>
      </c>
      <c r="BV194" t="str">
        <f>IF(Sistema!BV194="","",Sistema!BV194)</f>
        <v/>
      </c>
      <c r="BW194" t="str">
        <f>IF(Sistema!BW194="","",Sistema!BW194)</f>
        <v/>
      </c>
      <c r="BX194" t="str">
        <f>IF(Sistema!BX194="","",Sistema!BX194)</f>
        <v/>
      </c>
      <c r="BY194" t="str">
        <f>IF(Sistema!BY194="","",Sistema!BY194)</f>
        <v/>
      </c>
      <c r="BZ194" t="str">
        <f>IF(Sistema!BZ194="","",Sistema!BZ194)</f>
        <v/>
      </c>
      <c r="CA194" t="str">
        <f>IF(Sistema!CA194="","",Sistema!CA194)</f>
        <v/>
      </c>
      <c r="CB194" t="str">
        <f>IF(Sistema!CB194="","",Sistema!CB194)</f>
        <v/>
      </c>
      <c r="CC194" t="str">
        <f>IF(Sistema!CC194="","",Sistema!CC194)</f>
        <v/>
      </c>
      <c r="CD194" t="str">
        <f>IF(Sistema!CD194="","",Sistema!CD194)</f>
        <v/>
      </c>
    </row>
    <row r="195" spans="1:82" x14ac:dyDescent="0.25">
      <c r="A195" t="str">
        <f>IF(Sistema!A195="","",Sistema!A195)</f>
        <v/>
      </c>
      <c r="B195" t="str">
        <f>IF(Sistema!B195="","",Sistema!B195)</f>
        <v/>
      </c>
      <c r="C195" t="str">
        <f>IF(Sistema!C195="","",Sistema!C195)</f>
        <v/>
      </c>
      <c r="D195" t="str">
        <f>IF(Sistema!D195="","",Sistema!D195)</f>
        <v/>
      </c>
      <c r="E195" t="str">
        <f>IF(Sistema!E195="","",Sistema!E195)</f>
        <v/>
      </c>
      <c r="F195">
        <f>IF(P195&gt;0,1,IF(Sistema!F195=0,-1,1))</f>
        <v>-1</v>
      </c>
      <c r="G195">
        <f>Sistema!G195</f>
        <v>0</v>
      </c>
      <c r="H195" t="str">
        <f>IF(OR(R195="notify",R195=1),"visible",IF(OR(Sistema!F195=-1,Sistema!F195=0,ISNUMBER(SEARCH("PCK",E195))),"hidden",IF(P195&gt;0,"visible","hidden")))</f>
        <v>hidden</v>
      </c>
      <c r="I195" t="str">
        <f>IF(B195="simple",IF(P195&gt;0,"",IF(R195="notify",Info!C$2,"")),IF(B195="variable",IF(P195&gt;0,"",IF(R195="notify",Info!C$4,"")),""))</f>
        <v/>
      </c>
      <c r="J195" t="str">
        <f>IF(Sistema!J195="","",Sistema!J195)</f>
        <v/>
      </c>
      <c r="M195" t="str">
        <f>IF(Sistema!M195="","",Sistema!M195)</f>
        <v/>
      </c>
      <c r="N195" s="6" t="s">
        <v>1557</v>
      </c>
      <c r="O195" s="6">
        <v>1</v>
      </c>
      <c r="P195">
        <f>Sistema!P195</f>
        <v>0</v>
      </c>
      <c r="Q195">
        <f>Sistema!Q195</f>
        <v>0</v>
      </c>
      <c r="R195">
        <f>IF(Sistema!R195=1,"notify",Sistema!R195)</f>
        <v>0</v>
      </c>
      <c r="T195" t="str">
        <f>IF(Sistema!T195="","",Sistema!T195)</f>
        <v/>
      </c>
      <c r="U195" t="str">
        <f>IF(Sistema!U195="","",Sistema!U195)</f>
        <v/>
      </c>
      <c r="V195" t="str">
        <f>IF(Sistema!V195="","",Sistema!V195)</f>
        <v/>
      </c>
      <c r="W195" t="str">
        <f>IF(Sistema!W195="","",Sistema!W195)</f>
        <v/>
      </c>
      <c r="X195" s="6">
        <v>1</v>
      </c>
      <c r="Z195" t="str">
        <f>IF(Sistema!Z195="","",Sistema!Z195)</f>
        <v/>
      </c>
      <c r="AA195" t="str">
        <f>IF(Sistema!AA195="","",Sistema!AA195)</f>
        <v/>
      </c>
      <c r="AB195" t="str">
        <f>IF(Sistema!AB195="","",IF(OR(ISNUMBER(SEARCH("MKP",E195)),ISNUMBER(SEARCH("MKP",C195))),"Marketplace &gt; "&amp;Sistema!AB195,Sistema!AB195))</f>
        <v/>
      </c>
      <c r="AC195" t="str">
        <f>IF(Sistema!AC195="","",Sistema!AC195)</f>
        <v/>
      </c>
      <c r="AE195" t="str">
        <f>IF(Sistema!AE195="","",Sistema!AE195)</f>
        <v/>
      </c>
      <c r="AH195" t="str">
        <f>IF(Sistema!AH195="","",Sistema!AH195)</f>
        <v/>
      </c>
      <c r="AQ195" t="str">
        <f>IF(Sistema!AQ195="","",Sistema!AQ195)</f>
        <v/>
      </c>
      <c r="AR195" t="str">
        <f>IF(Sistema!AR195="","",Sistema!AR195)</f>
        <v/>
      </c>
      <c r="AS195" t="str">
        <f>IF(Sistema!AS195="","",Sistema!AS195)</f>
        <v/>
      </c>
      <c r="AT195" t="str">
        <f>IF(Sistema!AT195="","",Sistema!AT195)</f>
        <v/>
      </c>
      <c r="AU195" t="str">
        <f>IF(Sistema!AU195="","",Sistema!AU195)</f>
        <v/>
      </c>
      <c r="AV195" t="str">
        <f>IF(Sistema!AV195="","",Sistema!AV195)</f>
        <v/>
      </c>
      <c r="AW195" t="str">
        <f>IF(Sistema!AW195="","",Sistema!AW195)</f>
        <v/>
      </c>
      <c r="AX195" t="str">
        <f>IF(Sistema!AX195="","",Sistema!AX195)</f>
        <v/>
      </c>
      <c r="AY195" t="str">
        <f>IF(Sistema!AY195="","",Sistema!AY195)</f>
        <v/>
      </c>
      <c r="AZ195" t="str">
        <f>IF(Sistema!AZ195="","",Sistema!AZ195)</f>
        <v/>
      </c>
      <c r="BA195" t="str">
        <f>IF(Sistema!BA195="","",Sistema!BA195)</f>
        <v/>
      </c>
      <c r="BB195" t="str">
        <f>IF(Sistema!BB195="","",Sistema!BB195)</f>
        <v/>
      </c>
      <c r="BC195" t="str">
        <f>IF(Sistema!BC195="","",Sistema!BC195)</f>
        <v/>
      </c>
      <c r="BD195" t="str">
        <f>IF(Sistema!BD195="","",Sistema!BD195)</f>
        <v/>
      </c>
      <c r="BE195" t="str">
        <f>IF(Sistema!BE195="","",Sistema!BE195)</f>
        <v/>
      </c>
      <c r="BF195" t="str">
        <f>IF(Sistema!BF195="","",Sistema!BF195)</f>
        <v/>
      </c>
      <c r="BG195" t="str">
        <f>IF(Sistema!BG195="","",Sistema!BG195)</f>
        <v/>
      </c>
      <c r="BH195" t="str">
        <f>IF(Sistema!BH195="","",Sistema!BH195)</f>
        <v/>
      </c>
      <c r="BI195" t="str">
        <f>IF(Sistema!BI195="","",Sistema!BI195)</f>
        <v/>
      </c>
      <c r="BJ195" t="str">
        <f>IF(Sistema!BJ195="","",Sistema!BJ195)</f>
        <v/>
      </c>
      <c r="BK195" t="str">
        <f>IF(Sistema!BK195="","",Sistema!BK195)</f>
        <v/>
      </c>
      <c r="BL195" t="str">
        <f>IF(Sistema!BL195="","",Sistema!BL195)</f>
        <v/>
      </c>
      <c r="BM195" t="str">
        <f>IF(Sistema!BM195="","",Sistema!BM195)</f>
        <v/>
      </c>
      <c r="BN195" t="str">
        <f>IF(Sistema!BN195="","",Sistema!BN195)</f>
        <v/>
      </c>
      <c r="BO195" t="str">
        <f>IF(Sistema!BO195="","",Sistema!BO195)</f>
        <v/>
      </c>
      <c r="BP195" t="str">
        <f>IF(Sistema!BP195="","",Sistema!BP195)</f>
        <v/>
      </c>
      <c r="BQ195" t="str">
        <f>IF(Sistema!BQ195="","",Sistema!BQ195)</f>
        <v/>
      </c>
      <c r="BR195" t="str">
        <f>IF(Sistema!BR195="","",Sistema!BR195)</f>
        <v/>
      </c>
      <c r="BS195" t="str">
        <f>IF(Sistema!BS195="","",Sistema!BS195)</f>
        <v/>
      </c>
      <c r="BT195" t="str">
        <f>IF(Sistema!BT195="","",Sistema!BT195)</f>
        <v/>
      </c>
      <c r="BU195" t="str">
        <f>IF(Sistema!BU195="","",Sistema!BU195)</f>
        <v/>
      </c>
      <c r="BV195" t="str">
        <f>IF(Sistema!BV195="","",Sistema!BV195)</f>
        <v/>
      </c>
      <c r="BW195" t="str">
        <f>IF(Sistema!BW195="","",Sistema!BW195)</f>
        <v/>
      </c>
      <c r="BX195" t="str">
        <f>IF(Sistema!BX195="","",Sistema!BX195)</f>
        <v/>
      </c>
      <c r="BY195" t="str">
        <f>IF(Sistema!BY195="","",Sistema!BY195)</f>
        <v/>
      </c>
      <c r="BZ195" t="str">
        <f>IF(Sistema!BZ195="","",Sistema!BZ195)</f>
        <v/>
      </c>
      <c r="CA195" t="str">
        <f>IF(Sistema!CA195="","",Sistema!CA195)</f>
        <v/>
      </c>
      <c r="CB195" t="str">
        <f>IF(Sistema!CB195="","",Sistema!CB195)</f>
        <v/>
      </c>
      <c r="CC195" t="str">
        <f>IF(Sistema!CC195="","",Sistema!CC195)</f>
        <v/>
      </c>
      <c r="CD195" t="str">
        <f>IF(Sistema!CD195="","",Sistema!CD195)</f>
        <v/>
      </c>
    </row>
    <row r="196" spans="1:82" x14ac:dyDescent="0.25">
      <c r="A196" t="str">
        <f>IF(Sistema!A196="","",Sistema!A196)</f>
        <v/>
      </c>
      <c r="B196" t="str">
        <f>IF(Sistema!B196="","",Sistema!B196)</f>
        <v/>
      </c>
      <c r="C196" t="str">
        <f>IF(Sistema!C196="","",Sistema!C196)</f>
        <v/>
      </c>
      <c r="D196" t="str">
        <f>IF(Sistema!D196="","",Sistema!D196)</f>
        <v/>
      </c>
      <c r="E196" t="str">
        <f>IF(Sistema!E196="","",Sistema!E196)</f>
        <v/>
      </c>
      <c r="F196">
        <f>IF(P196&gt;0,1,IF(Sistema!F196=0,-1,1))</f>
        <v>-1</v>
      </c>
      <c r="G196">
        <f>Sistema!G196</f>
        <v>0</v>
      </c>
      <c r="H196" t="str">
        <f>IF(OR(R196="notify",R196=1),"visible",IF(OR(Sistema!F196=-1,Sistema!F196=0,ISNUMBER(SEARCH("PCK",E196))),"hidden",IF(P196&gt;0,"visible","hidden")))</f>
        <v>hidden</v>
      </c>
      <c r="I196" t="str">
        <f>IF(B196="simple",IF(P196&gt;0,"",IF(R196="notify",Info!C$2,"")),IF(B196="variable",IF(P196&gt;0,"",IF(R196="notify",Info!C$4,"")),""))</f>
        <v/>
      </c>
      <c r="J196" t="str">
        <f>IF(Sistema!J196="","",Sistema!J196)</f>
        <v/>
      </c>
      <c r="M196" t="str">
        <f>IF(Sistema!M196="","",Sistema!M196)</f>
        <v/>
      </c>
      <c r="N196" s="6" t="s">
        <v>1557</v>
      </c>
      <c r="O196" s="6">
        <v>1</v>
      </c>
      <c r="P196">
        <f>Sistema!P196</f>
        <v>0</v>
      </c>
      <c r="Q196">
        <f>Sistema!Q196</f>
        <v>0</v>
      </c>
      <c r="R196">
        <f>IF(Sistema!R196=1,"notify",Sistema!R196)</f>
        <v>0</v>
      </c>
      <c r="T196" t="str">
        <f>IF(Sistema!T196="","",Sistema!T196)</f>
        <v/>
      </c>
      <c r="U196" t="str">
        <f>IF(Sistema!U196="","",Sistema!U196)</f>
        <v/>
      </c>
      <c r="V196" t="str">
        <f>IF(Sistema!V196="","",Sistema!V196)</f>
        <v/>
      </c>
      <c r="W196" t="str">
        <f>IF(Sistema!W196="","",Sistema!W196)</f>
        <v/>
      </c>
      <c r="X196" s="6">
        <v>1</v>
      </c>
      <c r="Z196" t="str">
        <f>IF(Sistema!Z196="","",Sistema!Z196)</f>
        <v/>
      </c>
      <c r="AA196" t="str">
        <f>IF(Sistema!AA196="","",Sistema!AA196)</f>
        <v/>
      </c>
      <c r="AB196" t="str">
        <f>IF(Sistema!AB196="","",IF(OR(ISNUMBER(SEARCH("MKP",E196)),ISNUMBER(SEARCH("MKP",C196))),"Marketplace &gt; "&amp;Sistema!AB196,Sistema!AB196))</f>
        <v/>
      </c>
      <c r="AC196" t="str">
        <f>IF(Sistema!AC196="","",Sistema!AC196)</f>
        <v/>
      </c>
      <c r="AE196" t="str">
        <f>IF(Sistema!AE196="","",Sistema!AE196)</f>
        <v/>
      </c>
      <c r="AH196" t="str">
        <f>IF(Sistema!AH196="","",Sistema!AH196)</f>
        <v/>
      </c>
      <c r="AQ196" t="str">
        <f>IF(Sistema!AQ196="","",Sistema!AQ196)</f>
        <v/>
      </c>
      <c r="AR196" t="str">
        <f>IF(Sistema!AR196="","",Sistema!AR196)</f>
        <v/>
      </c>
      <c r="AS196" t="str">
        <f>IF(Sistema!AS196="","",Sistema!AS196)</f>
        <v/>
      </c>
      <c r="AT196" t="str">
        <f>IF(Sistema!AT196="","",Sistema!AT196)</f>
        <v/>
      </c>
      <c r="AU196" t="str">
        <f>IF(Sistema!AU196="","",Sistema!AU196)</f>
        <v/>
      </c>
      <c r="AV196" t="str">
        <f>IF(Sistema!AV196="","",Sistema!AV196)</f>
        <v/>
      </c>
      <c r="AW196" t="str">
        <f>IF(Sistema!AW196="","",Sistema!AW196)</f>
        <v/>
      </c>
      <c r="AX196" t="str">
        <f>IF(Sistema!AX196="","",Sistema!AX196)</f>
        <v/>
      </c>
      <c r="AY196" t="str">
        <f>IF(Sistema!AY196="","",Sistema!AY196)</f>
        <v/>
      </c>
      <c r="AZ196" t="str">
        <f>IF(Sistema!AZ196="","",Sistema!AZ196)</f>
        <v/>
      </c>
      <c r="BA196" t="str">
        <f>IF(Sistema!BA196="","",Sistema!BA196)</f>
        <v/>
      </c>
      <c r="BB196" t="str">
        <f>IF(Sistema!BB196="","",Sistema!BB196)</f>
        <v/>
      </c>
      <c r="BC196" t="str">
        <f>IF(Sistema!BC196="","",Sistema!BC196)</f>
        <v/>
      </c>
      <c r="BD196" t="str">
        <f>IF(Sistema!BD196="","",Sistema!BD196)</f>
        <v/>
      </c>
      <c r="BE196" t="str">
        <f>IF(Sistema!BE196="","",Sistema!BE196)</f>
        <v/>
      </c>
      <c r="BF196" t="str">
        <f>IF(Sistema!BF196="","",Sistema!BF196)</f>
        <v/>
      </c>
      <c r="BG196" t="str">
        <f>IF(Sistema!BG196="","",Sistema!BG196)</f>
        <v/>
      </c>
      <c r="BH196" t="str">
        <f>IF(Sistema!BH196="","",Sistema!BH196)</f>
        <v/>
      </c>
      <c r="BI196" t="str">
        <f>IF(Sistema!BI196="","",Sistema!BI196)</f>
        <v/>
      </c>
      <c r="BJ196" t="str">
        <f>IF(Sistema!BJ196="","",Sistema!BJ196)</f>
        <v/>
      </c>
      <c r="BK196" t="str">
        <f>IF(Sistema!BK196="","",Sistema!BK196)</f>
        <v/>
      </c>
      <c r="BL196" t="str">
        <f>IF(Sistema!BL196="","",Sistema!BL196)</f>
        <v/>
      </c>
      <c r="BM196" t="str">
        <f>IF(Sistema!BM196="","",Sistema!BM196)</f>
        <v/>
      </c>
      <c r="BN196" t="str">
        <f>IF(Sistema!BN196="","",Sistema!BN196)</f>
        <v/>
      </c>
      <c r="BO196" t="str">
        <f>IF(Sistema!BO196="","",Sistema!BO196)</f>
        <v/>
      </c>
      <c r="BP196" t="str">
        <f>IF(Sistema!BP196="","",Sistema!BP196)</f>
        <v/>
      </c>
      <c r="BQ196" t="str">
        <f>IF(Sistema!BQ196="","",Sistema!BQ196)</f>
        <v/>
      </c>
      <c r="BR196" t="str">
        <f>IF(Sistema!BR196="","",Sistema!BR196)</f>
        <v/>
      </c>
      <c r="BS196" t="str">
        <f>IF(Sistema!BS196="","",Sistema!BS196)</f>
        <v/>
      </c>
      <c r="BT196" t="str">
        <f>IF(Sistema!BT196="","",Sistema!BT196)</f>
        <v/>
      </c>
      <c r="BU196" t="str">
        <f>IF(Sistema!BU196="","",Sistema!BU196)</f>
        <v/>
      </c>
      <c r="BV196" t="str">
        <f>IF(Sistema!BV196="","",Sistema!BV196)</f>
        <v/>
      </c>
      <c r="BW196" t="str">
        <f>IF(Sistema!BW196="","",Sistema!BW196)</f>
        <v/>
      </c>
      <c r="BX196" t="str">
        <f>IF(Sistema!BX196="","",Sistema!BX196)</f>
        <v/>
      </c>
      <c r="BY196" t="str">
        <f>IF(Sistema!BY196="","",Sistema!BY196)</f>
        <v/>
      </c>
      <c r="BZ196" t="str">
        <f>IF(Sistema!BZ196="","",Sistema!BZ196)</f>
        <v/>
      </c>
      <c r="CA196" t="str">
        <f>IF(Sistema!CA196="","",Sistema!CA196)</f>
        <v/>
      </c>
      <c r="CB196" t="str">
        <f>IF(Sistema!CB196="","",Sistema!CB196)</f>
        <v/>
      </c>
      <c r="CC196" t="str">
        <f>IF(Sistema!CC196="","",Sistema!CC196)</f>
        <v/>
      </c>
      <c r="CD196" t="str">
        <f>IF(Sistema!CD196="","",Sistema!CD196)</f>
        <v/>
      </c>
    </row>
    <row r="197" spans="1:82" x14ac:dyDescent="0.25">
      <c r="A197" t="str">
        <f>IF(Sistema!A197="","",Sistema!A197)</f>
        <v/>
      </c>
      <c r="B197" t="str">
        <f>IF(Sistema!B197="","",Sistema!B197)</f>
        <v/>
      </c>
      <c r="C197" t="str">
        <f>IF(Sistema!C197="","",Sistema!C197)</f>
        <v/>
      </c>
      <c r="D197" t="str">
        <f>IF(Sistema!D197="","",Sistema!D197)</f>
        <v/>
      </c>
      <c r="E197" t="str">
        <f>IF(Sistema!E197="","",Sistema!E197)</f>
        <v/>
      </c>
      <c r="F197">
        <f>IF(P197&gt;0,1,IF(Sistema!F197=0,-1,1))</f>
        <v>-1</v>
      </c>
      <c r="G197">
        <f>Sistema!G197</f>
        <v>0</v>
      </c>
      <c r="H197" t="str">
        <f>IF(OR(R197="notify",R197=1),"visible",IF(OR(Sistema!F197=-1,Sistema!F197=0,ISNUMBER(SEARCH("PCK",E197))),"hidden",IF(P197&gt;0,"visible","hidden")))</f>
        <v>hidden</v>
      </c>
      <c r="I197" t="str">
        <f>IF(B197="simple",IF(P197&gt;0,"",IF(R197="notify",Info!C$2,"")),IF(B197="variable",IF(P197&gt;0,"",IF(R197="notify",Info!C$4,"")),""))</f>
        <v/>
      </c>
      <c r="J197" t="str">
        <f>IF(Sistema!J197="","",Sistema!J197)</f>
        <v/>
      </c>
      <c r="M197" t="str">
        <f>IF(Sistema!M197="","",Sistema!M197)</f>
        <v/>
      </c>
      <c r="N197" s="6" t="s">
        <v>1557</v>
      </c>
      <c r="O197" s="6">
        <v>1</v>
      </c>
      <c r="P197">
        <f>Sistema!P197</f>
        <v>0</v>
      </c>
      <c r="Q197">
        <f>Sistema!Q197</f>
        <v>0</v>
      </c>
      <c r="R197">
        <f>IF(Sistema!R197=1,"notify",Sistema!R197)</f>
        <v>0</v>
      </c>
      <c r="T197" t="str">
        <f>IF(Sistema!T197="","",Sistema!T197)</f>
        <v/>
      </c>
      <c r="U197" t="str">
        <f>IF(Sistema!U197="","",Sistema!U197)</f>
        <v/>
      </c>
      <c r="V197" t="str">
        <f>IF(Sistema!V197="","",Sistema!V197)</f>
        <v/>
      </c>
      <c r="W197" t="str">
        <f>IF(Sistema!W197="","",Sistema!W197)</f>
        <v/>
      </c>
      <c r="X197" s="6">
        <v>1</v>
      </c>
      <c r="Z197" t="str">
        <f>IF(Sistema!Z197="","",Sistema!Z197)</f>
        <v/>
      </c>
      <c r="AA197" t="str">
        <f>IF(Sistema!AA197="","",Sistema!AA197)</f>
        <v/>
      </c>
      <c r="AB197" t="str">
        <f>IF(Sistema!AB197="","",IF(OR(ISNUMBER(SEARCH("MKP",E197)),ISNUMBER(SEARCH("MKP",C197))),"Marketplace &gt; "&amp;Sistema!AB197,Sistema!AB197))</f>
        <v/>
      </c>
      <c r="AC197" t="str">
        <f>IF(Sistema!AC197="","",Sistema!AC197)</f>
        <v/>
      </c>
      <c r="AE197" t="str">
        <f>IF(Sistema!AE197="","",Sistema!AE197)</f>
        <v/>
      </c>
      <c r="AH197" t="str">
        <f>IF(Sistema!AH197="","",Sistema!AH197)</f>
        <v/>
      </c>
      <c r="AQ197" t="str">
        <f>IF(Sistema!AQ197="","",Sistema!AQ197)</f>
        <v/>
      </c>
      <c r="AR197" t="str">
        <f>IF(Sistema!AR197="","",Sistema!AR197)</f>
        <v/>
      </c>
      <c r="AS197" t="str">
        <f>IF(Sistema!AS197="","",Sistema!AS197)</f>
        <v/>
      </c>
      <c r="AT197" t="str">
        <f>IF(Sistema!AT197="","",Sistema!AT197)</f>
        <v/>
      </c>
      <c r="AU197" t="str">
        <f>IF(Sistema!AU197="","",Sistema!AU197)</f>
        <v/>
      </c>
      <c r="AV197" t="str">
        <f>IF(Sistema!AV197="","",Sistema!AV197)</f>
        <v/>
      </c>
      <c r="AW197" t="str">
        <f>IF(Sistema!AW197="","",Sistema!AW197)</f>
        <v/>
      </c>
      <c r="AX197" t="str">
        <f>IF(Sistema!AX197="","",Sistema!AX197)</f>
        <v/>
      </c>
      <c r="AY197" t="str">
        <f>IF(Sistema!AY197="","",Sistema!AY197)</f>
        <v/>
      </c>
      <c r="AZ197" t="str">
        <f>IF(Sistema!AZ197="","",Sistema!AZ197)</f>
        <v/>
      </c>
      <c r="BA197" t="str">
        <f>IF(Sistema!BA197="","",Sistema!BA197)</f>
        <v/>
      </c>
      <c r="BB197" t="str">
        <f>IF(Sistema!BB197="","",Sistema!BB197)</f>
        <v/>
      </c>
      <c r="BC197" t="str">
        <f>IF(Sistema!BC197="","",Sistema!BC197)</f>
        <v/>
      </c>
      <c r="BD197" t="str">
        <f>IF(Sistema!BD197="","",Sistema!BD197)</f>
        <v/>
      </c>
      <c r="BE197" t="str">
        <f>IF(Sistema!BE197="","",Sistema!BE197)</f>
        <v/>
      </c>
      <c r="BF197" t="str">
        <f>IF(Sistema!BF197="","",Sistema!BF197)</f>
        <v/>
      </c>
      <c r="BG197" t="str">
        <f>IF(Sistema!BG197="","",Sistema!BG197)</f>
        <v/>
      </c>
      <c r="BH197" t="str">
        <f>IF(Sistema!BH197="","",Sistema!BH197)</f>
        <v/>
      </c>
      <c r="BI197" t="str">
        <f>IF(Sistema!BI197="","",Sistema!BI197)</f>
        <v/>
      </c>
      <c r="BJ197" t="str">
        <f>IF(Sistema!BJ197="","",Sistema!BJ197)</f>
        <v/>
      </c>
      <c r="BK197" t="str">
        <f>IF(Sistema!BK197="","",Sistema!BK197)</f>
        <v/>
      </c>
      <c r="BL197" t="str">
        <f>IF(Sistema!BL197="","",Sistema!BL197)</f>
        <v/>
      </c>
      <c r="BM197" t="str">
        <f>IF(Sistema!BM197="","",Sistema!BM197)</f>
        <v/>
      </c>
      <c r="BN197" t="str">
        <f>IF(Sistema!BN197="","",Sistema!BN197)</f>
        <v/>
      </c>
      <c r="BO197" t="str">
        <f>IF(Sistema!BO197="","",Sistema!BO197)</f>
        <v/>
      </c>
      <c r="BP197" t="str">
        <f>IF(Sistema!BP197="","",Sistema!BP197)</f>
        <v/>
      </c>
      <c r="BQ197" t="str">
        <f>IF(Sistema!BQ197="","",Sistema!BQ197)</f>
        <v/>
      </c>
      <c r="BR197" t="str">
        <f>IF(Sistema!BR197="","",Sistema!BR197)</f>
        <v/>
      </c>
      <c r="BS197" t="str">
        <f>IF(Sistema!BS197="","",Sistema!BS197)</f>
        <v/>
      </c>
      <c r="BT197" t="str">
        <f>IF(Sistema!BT197="","",Sistema!BT197)</f>
        <v/>
      </c>
      <c r="BU197" t="str">
        <f>IF(Sistema!BU197="","",Sistema!BU197)</f>
        <v/>
      </c>
      <c r="BV197" t="str">
        <f>IF(Sistema!BV197="","",Sistema!BV197)</f>
        <v/>
      </c>
      <c r="BW197" t="str">
        <f>IF(Sistema!BW197="","",Sistema!BW197)</f>
        <v/>
      </c>
      <c r="BX197" t="str">
        <f>IF(Sistema!BX197="","",Sistema!BX197)</f>
        <v/>
      </c>
      <c r="BY197" t="str">
        <f>IF(Sistema!BY197="","",Sistema!BY197)</f>
        <v/>
      </c>
      <c r="BZ197" t="str">
        <f>IF(Sistema!BZ197="","",Sistema!BZ197)</f>
        <v/>
      </c>
      <c r="CA197" t="str">
        <f>IF(Sistema!CA197="","",Sistema!CA197)</f>
        <v/>
      </c>
      <c r="CB197" t="str">
        <f>IF(Sistema!CB197="","",Sistema!CB197)</f>
        <v/>
      </c>
      <c r="CC197" t="str">
        <f>IF(Sistema!CC197="","",Sistema!CC197)</f>
        <v/>
      </c>
      <c r="CD197" t="str">
        <f>IF(Sistema!CD197="","",Sistema!CD197)</f>
        <v/>
      </c>
    </row>
    <row r="198" spans="1:82" x14ac:dyDescent="0.25">
      <c r="A198" t="str">
        <f>IF(Sistema!A198="","",Sistema!A198)</f>
        <v/>
      </c>
      <c r="B198" t="str">
        <f>IF(Sistema!B198="","",Sistema!B198)</f>
        <v/>
      </c>
      <c r="C198" t="str">
        <f>IF(Sistema!C198="","",Sistema!C198)</f>
        <v/>
      </c>
      <c r="D198" t="str">
        <f>IF(Sistema!D198="","",Sistema!D198)</f>
        <v/>
      </c>
      <c r="E198" t="str">
        <f>IF(Sistema!E198="","",Sistema!E198)</f>
        <v/>
      </c>
      <c r="F198">
        <f>IF(P198&gt;0,1,IF(Sistema!F198=0,-1,1))</f>
        <v>-1</v>
      </c>
      <c r="G198">
        <f>Sistema!G198</f>
        <v>0</v>
      </c>
      <c r="H198" t="str">
        <f>IF(OR(R198="notify",R198=1),"visible",IF(OR(Sistema!F198=-1,Sistema!F198=0,ISNUMBER(SEARCH("PCK",E198))),"hidden",IF(P198&gt;0,"visible","hidden")))</f>
        <v>hidden</v>
      </c>
      <c r="I198" t="str">
        <f>IF(B198="simple",IF(P198&gt;0,"",IF(R198="notify",Info!C$2,"")),IF(B198="variable",IF(P198&gt;0,"",IF(R198="notify",Info!C$4,"")),""))</f>
        <v/>
      </c>
      <c r="J198" t="str">
        <f>IF(Sistema!J198="","",Sistema!J198)</f>
        <v/>
      </c>
      <c r="M198" t="str">
        <f>IF(Sistema!M198="","",Sistema!M198)</f>
        <v/>
      </c>
      <c r="N198" s="6" t="s">
        <v>1557</v>
      </c>
      <c r="O198" s="6">
        <v>1</v>
      </c>
      <c r="P198">
        <f>Sistema!P198</f>
        <v>0</v>
      </c>
      <c r="Q198">
        <f>Sistema!Q198</f>
        <v>0</v>
      </c>
      <c r="R198">
        <f>IF(Sistema!R198=1,"notify",Sistema!R198)</f>
        <v>0</v>
      </c>
      <c r="T198" t="str">
        <f>IF(Sistema!T198="","",Sistema!T198)</f>
        <v/>
      </c>
      <c r="U198" t="str">
        <f>IF(Sistema!U198="","",Sistema!U198)</f>
        <v/>
      </c>
      <c r="V198" t="str">
        <f>IF(Sistema!V198="","",Sistema!V198)</f>
        <v/>
      </c>
      <c r="W198" t="str">
        <f>IF(Sistema!W198="","",Sistema!W198)</f>
        <v/>
      </c>
      <c r="X198" s="6">
        <v>1</v>
      </c>
      <c r="Z198" t="str">
        <f>IF(Sistema!Z198="","",Sistema!Z198)</f>
        <v/>
      </c>
      <c r="AA198" t="str">
        <f>IF(Sistema!AA198="","",Sistema!AA198)</f>
        <v/>
      </c>
      <c r="AB198" t="str">
        <f>IF(Sistema!AB198="","",IF(OR(ISNUMBER(SEARCH("MKP",E198)),ISNUMBER(SEARCH("MKP",C198))),"Marketplace &gt; "&amp;Sistema!AB198,Sistema!AB198))</f>
        <v/>
      </c>
      <c r="AC198" t="str">
        <f>IF(Sistema!AC198="","",Sistema!AC198)</f>
        <v/>
      </c>
      <c r="AE198" t="str">
        <f>IF(Sistema!AE198="","",Sistema!AE198)</f>
        <v/>
      </c>
      <c r="AH198" t="str">
        <f>IF(Sistema!AH198="","",Sistema!AH198)</f>
        <v/>
      </c>
      <c r="AQ198" t="str">
        <f>IF(Sistema!AQ198="","",Sistema!AQ198)</f>
        <v/>
      </c>
      <c r="AR198" t="str">
        <f>IF(Sistema!AR198="","",Sistema!AR198)</f>
        <v/>
      </c>
      <c r="AS198" t="str">
        <f>IF(Sistema!AS198="","",Sistema!AS198)</f>
        <v/>
      </c>
      <c r="AT198" t="str">
        <f>IF(Sistema!AT198="","",Sistema!AT198)</f>
        <v/>
      </c>
      <c r="AU198" t="str">
        <f>IF(Sistema!AU198="","",Sistema!AU198)</f>
        <v/>
      </c>
      <c r="AV198" t="str">
        <f>IF(Sistema!AV198="","",Sistema!AV198)</f>
        <v/>
      </c>
      <c r="AW198" t="str">
        <f>IF(Sistema!AW198="","",Sistema!AW198)</f>
        <v/>
      </c>
      <c r="AX198" t="str">
        <f>IF(Sistema!AX198="","",Sistema!AX198)</f>
        <v/>
      </c>
      <c r="AY198" t="str">
        <f>IF(Sistema!AY198="","",Sistema!AY198)</f>
        <v/>
      </c>
      <c r="AZ198" t="str">
        <f>IF(Sistema!AZ198="","",Sistema!AZ198)</f>
        <v/>
      </c>
      <c r="BA198" t="str">
        <f>IF(Sistema!BA198="","",Sistema!BA198)</f>
        <v/>
      </c>
      <c r="BB198" t="str">
        <f>IF(Sistema!BB198="","",Sistema!BB198)</f>
        <v/>
      </c>
      <c r="BC198" t="str">
        <f>IF(Sistema!BC198="","",Sistema!BC198)</f>
        <v/>
      </c>
      <c r="BD198" t="str">
        <f>IF(Sistema!BD198="","",Sistema!BD198)</f>
        <v/>
      </c>
      <c r="BE198" t="str">
        <f>IF(Sistema!BE198="","",Sistema!BE198)</f>
        <v/>
      </c>
      <c r="BF198" t="str">
        <f>IF(Sistema!BF198="","",Sistema!BF198)</f>
        <v/>
      </c>
      <c r="BG198" t="str">
        <f>IF(Sistema!BG198="","",Sistema!BG198)</f>
        <v/>
      </c>
      <c r="BH198" t="str">
        <f>IF(Sistema!BH198="","",Sistema!BH198)</f>
        <v/>
      </c>
      <c r="BI198" t="str">
        <f>IF(Sistema!BI198="","",Sistema!BI198)</f>
        <v/>
      </c>
      <c r="BJ198" t="str">
        <f>IF(Sistema!BJ198="","",Sistema!BJ198)</f>
        <v/>
      </c>
      <c r="BK198" t="str">
        <f>IF(Sistema!BK198="","",Sistema!BK198)</f>
        <v/>
      </c>
      <c r="BL198" t="str">
        <f>IF(Sistema!BL198="","",Sistema!BL198)</f>
        <v/>
      </c>
      <c r="BM198" t="str">
        <f>IF(Sistema!BM198="","",Sistema!BM198)</f>
        <v/>
      </c>
      <c r="BN198" t="str">
        <f>IF(Sistema!BN198="","",Sistema!BN198)</f>
        <v/>
      </c>
      <c r="BO198" t="str">
        <f>IF(Sistema!BO198="","",Sistema!BO198)</f>
        <v/>
      </c>
      <c r="BP198" t="str">
        <f>IF(Sistema!BP198="","",Sistema!BP198)</f>
        <v/>
      </c>
      <c r="BQ198" t="str">
        <f>IF(Sistema!BQ198="","",Sistema!BQ198)</f>
        <v/>
      </c>
      <c r="BR198" t="str">
        <f>IF(Sistema!BR198="","",Sistema!BR198)</f>
        <v/>
      </c>
      <c r="BS198" t="str">
        <f>IF(Sistema!BS198="","",Sistema!BS198)</f>
        <v/>
      </c>
      <c r="BT198" t="str">
        <f>IF(Sistema!BT198="","",Sistema!BT198)</f>
        <v/>
      </c>
      <c r="BU198" t="str">
        <f>IF(Sistema!BU198="","",Sistema!BU198)</f>
        <v/>
      </c>
      <c r="BV198" t="str">
        <f>IF(Sistema!BV198="","",Sistema!BV198)</f>
        <v/>
      </c>
      <c r="BW198" t="str">
        <f>IF(Sistema!BW198="","",Sistema!BW198)</f>
        <v/>
      </c>
      <c r="BX198" t="str">
        <f>IF(Sistema!BX198="","",Sistema!BX198)</f>
        <v/>
      </c>
      <c r="BY198" t="str">
        <f>IF(Sistema!BY198="","",Sistema!BY198)</f>
        <v/>
      </c>
      <c r="BZ198" t="str">
        <f>IF(Sistema!BZ198="","",Sistema!BZ198)</f>
        <v/>
      </c>
      <c r="CA198" t="str">
        <f>IF(Sistema!CA198="","",Sistema!CA198)</f>
        <v/>
      </c>
      <c r="CB198" t="str">
        <f>IF(Sistema!CB198="","",Sistema!CB198)</f>
        <v/>
      </c>
      <c r="CC198" t="str">
        <f>IF(Sistema!CC198="","",Sistema!CC198)</f>
        <v/>
      </c>
      <c r="CD198" t="str">
        <f>IF(Sistema!CD198="","",Sistema!CD198)</f>
        <v/>
      </c>
    </row>
    <row r="199" spans="1:82" x14ac:dyDescent="0.25">
      <c r="A199" t="str">
        <f>IF(Sistema!A199="","",Sistema!A199)</f>
        <v/>
      </c>
      <c r="B199" t="str">
        <f>IF(Sistema!B199="","",Sistema!B199)</f>
        <v/>
      </c>
      <c r="C199" t="str">
        <f>IF(Sistema!C199="","",Sistema!C199)</f>
        <v/>
      </c>
      <c r="D199" t="str">
        <f>IF(Sistema!D199="","",Sistema!D199)</f>
        <v/>
      </c>
      <c r="E199" t="str">
        <f>IF(Sistema!E199="","",Sistema!E199)</f>
        <v/>
      </c>
      <c r="F199">
        <f>IF(P199&gt;0,1,IF(Sistema!F199=0,-1,1))</f>
        <v>-1</v>
      </c>
      <c r="G199">
        <f>Sistema!G199</f>
        <v>0</v>
      </c>
      <c r="H199" t="str">
        <f>IF(OR(R199="notify",R199=1),"visible",IF(OR(Sistema!F199=-1,Sistema!F199=0,ISNUMBER(SEARCH("PCK",E199))),"hidden",IF(P199&gt;0,"visible","hidden")))</f>
        <v>hidden</v>
      </c>
      <c r="I199" t="str">
        <f>IF(B199="simple",IF(P199&gt;0,"",IF(R199="notify",Info!C$2,"")),IF(B199="variable",IF(P199&gt;0,"",IF(R199="notify",Info!C$4,"")),""))</f>
        <v/>
      </c>
      <c r="J199" t="str">
        <f>IF(Sistema!J199="","",Sistema!J199)</f>
        <v/>
      </c>
      <c r="M199" t="str">
        <f>IF(Sistema!M199="","",Sistema!M199)</f>
        <v/>
      </c>
      <c r="N199" s="6" t="s">
        <v>1557</v>
      </c>
      <c r="O199" s="6">
        <v>1</v>
      </c>
      <c r="P199">
        <f>Sistema!P199</f>
        <v>0</v>
      </c>
      <c r="Q199">
        <f>Sistema!Q199</f>
        <v>0</v>
      </c>
      <c r="R199">
        <f>IF(Sistema!R199=1,"notify",Sistema!R199)</f>
        <v>0</v>
      </c>
      <c r="T199" t="str">
        <f>IF(Sistema!T199="","",Sistema!T199)</f>
        <v/>
      </c>
      <c r="U199" t="str">
        <f>IF(Sistema!U199="","",Sistema!U199)</f>
        <v/>
      </c>
      <c r="V199" t="str">
        <f>IF(Sistema!V199="","",Sistema!V199)</f>
        <v/>
      </c>
      <c r="W199" t="str">
        <f>IF(Sistema!W199="","",Sistema!W199)</f>
        <v/>
      </c>
      <c r="X199" s="6">
        <v>1</v>
      </c>
      <c r="Z199" t="str">
        <f>IF(Sistema!Z199="","",Sistema!Z199)</f>
        <v/>
      </c>
      <c r="AA199" t="str">
        <f>IF(Sistema!AA199="","",Sistema!AA199)</f>
        <v/>
      </c>
      <c r="AB199" t="str">
        <f>IF(Sistema!AB199="","",IF(OR(ISNUMBER(SEARCH("MKP",E199)),ISNUMBER(SEARCH("MKP",C199))),"Marketplace &gt; "&amp;Sistema!AB199,Sistema!AB199))</f>
        <v/>
      </c>
      <c r="AC199" t="str">
        <f>IF(Sistema!AC199="","",Sistema!AC199)</f>
        <v/>
      </c>
      <c r="AE199" t="str">
        <f>IF(Sistema!AE199="","",Sistema!AE199)</f>
        <v/>
      </c>
      <c r="AH199" t="str">
        <f>IF(Sistema!AH199="","",Sistema!AH199)</f>
        <v/>
      </c>
      <c r="AQ199" t="str">
        <f>IF(Sistema!AQ199="","",Sistema!AQ199)</f>
        <v/>
      </c>
      <c r="AR199" t="str">
        <f>IF(Sistema!AR199="","",Sistema!AR199)</f>
        <v/>
      </c>
      <c r="AS199" t="str">
        <f>IF(Sistema!AS199="","",Sistema!AS199)</f>
        <v/>
      </c>
      <c r="AT199" t="str">
        <f>IF(Sistema!AT199="","",Sistema!AT199)</f>
        <v/>
      </c>
      <c r="AU199" t="str">
        <f>IF(Sistema!AU199="","",Sistema!AU199)</f>
        <v/>
      </c>
      <c r="AV199" t="str">
        <f>IF(Sistema!AV199="","",Sistema!AV199)</f>
        <v/>
      </c>
      <c r="AW199" t="str">
        <f>IF(Sistema!AW199="","",Sistema!AW199)</f>
        <v/>
      </c>
      <c r="AX199" t="str">
        <f>IF(Sistema!AX199="","",Sistema!AX199)</f>
        <v/>
      </c>
      <c r="AY199" t="str">
        <f>IF(Sistema!AY199="","",Sistema!AY199)</f>
        <v/>
      </c>
      <c r="AZ199" t="str">
        <f>IF(Sistema!AZ199="","",Sistema!AZ199)</f>
        <v/>
      </c>
      <c r="BA199" t="str">
        <f>IF(Sistema!BA199="","",Sistema!BA199)</f>
        <v/>
      </c>
      <c r="BB199" t="str">
        <f>IF(Sistema!BB199="","",Sistema!BB199)</f>
        <v/>
      </c>
      <c r="BC199" t="str">
        <f>IF(Sistema!BC199="","",Sistema!BC199)</f>
        <v/>
      </c>
      <c r="BD199" t="str">
        <f>IF(Sistema!BD199="","",Sistema!BD199)</f>
        <v/>
      </c>
      <c r="BE199" t="str">
        <f>IF(Sistema!BE199="","",Sistema!BE199)</f>
        <v/>
      </c>
      <c r="BF199" t="str">
        <f>IF(Sistema!BF199="","",Sistema!BF199)</f>
        <v/>
      </c>
      <c r="BG199" t="str">
        <f>IF(Sistema!BG199="","",Sistema!BG199)</f>
        <v/>
      </c>
      <c r="BH199" t="str">
        <f>IF(Sistema!BH199="","",Sistema!BH199)</f>
        <v/>
      </c>
      <c r="BI199" t="str">
        <f>IF(Sistema!BI199="","",Sistema!BI199)</f>
        <v/>
      </c>
      <c r="BJ199" t="str">
        <f>IF(Sistema!BJ199="","",Sistema!BJ199)</f>
        <v/>
      </c>
      <c r="BK199" t="str">
        <f>IF(Sistema!BK199="","",Sistema!BK199)</f>
        <v/>
      </c>
      <c r="BL199" t="str">
        <f>IF(Sistema!BL199="","",Sistema!BL199)</f>
        <v/>
      </c>
      <c r="BM199" t="str">
        <f>IF(Sistema!BM199="","",Sistema!BM199)</f>
        <v/>
      </c>
      <c r="BN199" t="str">
        <f>IF(Sistema!BN199="","",Sistema!BN199)</f>
        <v/>
      </c>
      <c r="BO199" t="str">
        <f>IF(Sistema!BO199="","",Sistema!BO199)</f>
        <v/>
      </c>
      <c r="BP199" t="str">
        <f>IF(Sistema!BP199="","",Sistema!BP199)</f>
        <v/>
      </c>
      <c r="BQ199" t="str">
        <f>IF(Sistema!BQ199="","",Sistema!BQ199)</f>
        <v/>
      </c>
      <c r="BR199" t="str">
        <f>IF(Sistema!BR199="","",Sistema!BR199)</f>
        <v/>
      </c>
      <c r="BS199" t="str">
        <f>IF(Sistema!BS199="","",Sistema!BS199)</f>
        <v/>
      </c>
      <c r="BT199" t="str">
        <f>IF(Sistema!BT199="","",Sistema!BT199)</f>
        <v/>
      </c>
      <c r="BU199" t="str">
        <f>IF(Sistema!BU199="","",Sistema!BU199)</f>
        <v/>
      </c>
      <c r="BV199" t="str">
        <f>IF(Sistema!BV199="","",Sistema!BV199)</f>
        <v/>
      </c>
      <c r="BW199" t="str">
        <f>IF(Sistema!BW199="","",Sistema!BW199)</f>
        <v/>
      </c>
      <c r="BX199" t="str">
        <f>IF(Sistema!BX199="","",Sistema!BX199)</f>
        <v/>
      </c>
      <c r="BY199" t="str">
        <f>IF(Sistema!BY199="","",Sistema!BY199)</f>
        <v/>
      </c>
      <c r="BZ199" t="str">
        <f>IF(Sistema!BZ199="","",Sistema!BZ199)</f>
        <v/>
      </c>
      <c r="CA199" t="str">
        <f>IF(Sistema!CA199="","",Sistema!CA199)</f>
        <v/>
      </c>
      <c r="CB199" t="str">
        <f>IF(Sistema!CB199="","",Sistema!CB199)</f>
        <v/>
      </c>
      <c r="CC199" t="str">
        <f>IF(Sistema!CC199="","",Sistema!CC199)</f>
        <v/>
      </c>
      <c r="CD199" t="str">
        <f>IF(Sistema!CD199="","",Sistema!CD199)</f>
        <v/>
      </c>
    </row>
    <row r="200" spans="1:82" x14ac:dyDescent="0.25">
      <c r="A200" t="str">
        <f>IF(Sistema!A200="","",Sistema!A200)</f>
        <v/>
      </c>
      <c r="B200" t="str">
        <f>IF(Sistema!B200="","",Sistema!B200)</f>
        <v/>
      </c>
      <c r="C200" t="str">
        <f>IF(Sistema!C200="","",Sistema!C200)</f>
        <v/>
      </c>
      <c r="D200" t="str">
        <f>IF(Sistema!D200="","",Sistema!D200)</f>
        <v/>
      </c>
      <c r="E200" t="str">
        <f>IF(Sistema!E200="","",Sistema!E200)</f>
        <v/>
      </c>
      <c r="F200">
        <f>IF(P200&gt;0,1,IF(Sistema!F200=0,-1,1))</f>
        <v>-1</v>
      </c>
      <c r="G200">
        <f>Sistema!G200</f>
        <v>0</v>
      </c>
      <c r="H200" t="str">
        <f>IF(OR(R200="notify",R200=1),"visible",IF(OR(Sistema!F200=-1,Sistema!F200=0,ISNUMBER(SEARCH("PCK",E200))),"hidden",IF(P200&gt;0,"visible","hidden")))</f>
        <v>hidden</v>
      </c>
      <c r="I200" t="str">
        <f>IF(B200="simple",IF(P200&gt;0,"",IF(R200="notify",Info!C$2,"")),IF(B200="variable",IF(P200&gt;0,"",IF(R200="notify",Info!C$4,"")),""))</f>
        <v/>
      </c>
      <c r="J200" t="str">
        <f>IF(Sistema!J200="","",Sistema!J200)</f>
        <v/>
      </c>
      <c r="M200" t="str">
        <f>IF(Sistema!M200="","",Sistema!M200)</f>
        <v/>
      </c>
      <c r="N200" s="6" t="s">
        <v>1557</v>
      </c>
      <c r="O200" s="6">
        <v>1</v>
      </c>
      <c r="P200">
        <f>Sistema!P200</f>
        <v>0</v>
      </c>
      <c r="Q200">
        <f>Sistema!Q200</f>
        <v>0</v>
      </c>
      <c r="R200">
        <f>IF(Sistema!R200=1,"notify",Sistema!R200)</f>
        <v>0</v>
      </c>
      <c r="T200" t="str">
        <f>IF(Sistema!T200="","",Sistema!T200)</f>
        <v/>
      </c>
      <c r="U200" t="str">
        <f>IF(Sistema!U200="","",Sistema!U200)</f>
        <v/>
      </c>
      <c r="V200" t="str">
        <f>IF(Sistema!V200="","",Sistema!V200)</f>
        <v/>
      </c>
      <c r="W200" t="str">
        <f>IF(Sistema!W200="","",Sistema!W200)</f>
        <v/>
      </c>
      <c r="X200" s="6">
        <v>1</v>
      </c>
      <c r="Z200" t="str">
        <f>IF(Sistema!Z200="","",Sistema!Z200)</f>
        <v/>
      </c>
      <c r="AA200" t="str">
        <f>IF(Sistema!AA200="","",Sistema!AA200)</f>
        <v/>
      </c>
      <c r="AB200" t="str">
        <f>IF(Sistema!AB200="","",IF(OR(ISNUMBER(SEARCH("MKP",E200)),ISNUMBER(SEARCH("MKP",C200))),"Marketplace &gt; "&amp;Sistema!AB200,Sistema!AB200))</f>
        <v/>
      </c>
      <c r="AC200" t="str">
        <f>IF(Sistema!AC200="","",Sistema!AC200)</f>
        <v/>
      </c>
      <c r="AE200" t="str">
        <f>IF(Sistema!AE200="","",Sistema!AE200)</f>
        <v/>
      </c>
      <c r="AH200" t="str">
        <f>IF(Sistema!AH200="","",Sistema!AH200)</f>
        <v/>
      </c>
      <c r="AQ200" t="str">
        <f>IF(Sistema!AQ200="","",Sistema!AQ200)</f>
        <v/>
      </c>
      <c r="AR200" t="str">
        <f>IF(Sistema!AR200="","",Sistema!AR200)</f>
        <v/>
      </c>
      <c r="AS200" t="str">
        <f>IF(Sistema!AS200="","",Sistema!AS200)</f>
        <v/>
      </c>
      <c r="AT200" t="str">
        <f>IF(Sistema!AT200="","",Sistema!AT200)</f>
        <v/>
      </c>
      <c r="AU200" t="str">
        <f>IF(Sistema!AU200="","",Sistema!AU200)</f>
        <v/>
      </c>
      <c r="AV200" t="str">
        <f>IF(Sistema!AV200="","",Sistema!AV200)</f>
        <v/>
      </c>
      <c r="AW200" t="str">
        <f>IF(Sistema!AW200="","",Sistema!AW200)</f>
        <v/>
      </c>
      <c r="AX200" t="str">
        <f>IF(Sistema!AX200="","",Sistema!AX200)</f>
        <v/>
      </c>
      <c r="AY200" t="str">
        <f>IF(Sistema!AY200="","",Sistema!AY200)</f>
        <v/>
      </c>
      <c r="AZ200" t="str">
        <f>IF(Sistema!AZ200="","",Sistema!AZ200)</f>
        <v/>
      </c>
      <c r="BA200" t="str">
        <f>IF(Sistema!BA200="","",Sistema!BA200)</f>
        <v/>
      </c>
      <c r="BB200" t="str">
        <f>IF(Sistema!BB200="","",Sistema!BB200)</f>
        <v/>
      </c>
      <c r="BC200" t="str">
        <f>IF(Sistema!BC200="","",Sistema!BC200)</f>
        <v/>
      </c>
      <c r="BD200" t="str">
        <f>IF(Sistema!BD200="","",Sistema!BD200)</f>
        <v/>
      </c>
      <c r="BE200" t="str">
        <f>IF(Sistema!BE200="","",Sistema!BE200)</f>
        <v/>
      </c>
      <c r="BF200" t="str">
        <f>IF(Sistema!BF200="","",Sistema!BF200)</f>
        <v/>
      </c>
      <c r="BG200" t="str">
        <f>IF(Sistema!BG200="","",Sistema!BG200)</f>
        <v/>
      </c>
      <c r="BH200" t="str">
        <f>IF(Sistema!BH200="","",Sistema!BH200)</f>
        <v/>
      </c>
      <c r="BI200" t="str">
        <f>IF(Sistema!BI200="","",Sistema!BI200)</f>
        <v/>
      </c>
      <c r="BJ200" t="str">
        <f>IF(Sistema!BJ200="","",Sistema!BJ200)</f>
        <v/>
      </c>
      <c r="BK200" t="str">
        <f>IF(Sistema!BK200="","",Sistema!BK200)</f>
        <v/>
      </c>
      <c r="BL200" t="str">
        <f>IF(Sistema!BL200="","",Sistema!BL200)</f>
        <v/>
      </c>
      <c r="BM200" t="str">
        <f>IF(Sistema!BM200="","",Sistema!BM200)</f>
        <v/>
      </c>
      <c r="BN200" t="str">
        <f>IF(Sistema!BN200="","",Sistema!BN200)</f>
        <v/>
      </c>
      <c r="BO200" t="str">
        <f>IF(Sistema!BO200="","",Sistema!BO200)</f>
        <v/>
      </c>
      <c r="BP200" t="str">
        <f>IF(Sistema!BP200="","",Sistema!BP200)</f>
        <v/>
      </c>
      <c r="BQ200" t="str">
        <f>IF(Sistema!BQ200="","",Sistema!BQ200)</f>
        <v/>
      </c>
      <c r="BR200" t="str">
        <f>IF(Sistema!BR200="","",Sistema!BR200)</f>
        <v/>
      </c>
      <c r="BS200" t="str">
        <f>IF(Sistema!BS200="","",Sistema!BS200)</f>
        <v/>
      </c>
      <c r="BT200" t="str">
        <f>IF(Sistema!BT200="","",Sistema!BT200)</f>
        <v/>
      </c>
      <c r="BU200" t="str">
        <f>IF(Sistema!BU200="","",Sistema!BU200)</f>
        <v/>
      </c>
      <c r="BV200" t="str">
        <f>IF(Sistema!BV200="","",Sistema!BV200)</f>
        <v/>
      </c>
      <c r="BW200" t="str">
        <f>IF(Sistema!BW200="","",Sistema!BW200)</f>
        <v/>
      </c>
      <c r="BX200" t="str">
        <f>IF(Sistema!BX200="","",Sistema!BX200)</f>
        <v/>
      </c>
      <c r="BY200" t="str">
        <f>IF(Sistema!BY200="","",Sistema!BY200)</f>
        <v/>
      </c>
      <c r="BZ200" t="str">
        <f>IF(Sistema!BZ200="","",Sistema!BZ200)</f>
        <v/>
      </c>
      <c r="CA200" t="str">
        <f>IF(Sistema!CA200="","",Sistema!CA200)</f>
        <v/>
      </c>
      <c r="CB200" t="str">
        <f>IF(Sistema!CB200="","",Sistema!CB200)</f>
        <v/>
      </c>
      <c r="CC200" t="str">
        <f>IF(Sistema!CC200="","",Sistema!CC200)</f>
        <v/>
      </c>
      <c r="CD200" t="str">
        <f>IF(Sistema!CD200="","",Sistema!CD200)</f>
        <v/>
      </c>
    </row>
    <row r="201" spans="1:82" x14ac:dyDescent="0.25">
      <c r="A201" t="str">
        <f>IF(Sistema!A201="","",Sistema!A201)</f>
        <v/>
      </c>
      <c r="B201" t="str">
        <f>IF(Sistema!B201="","",Sistema!B201)</f>
        <v/>
      </c>
      <c r="C201" t="str">
        <f>IF(Sistema!C201="","",Sistema!C201)</f>
        <v/>
      </c>
      <c r="D201" t="str">
        <f>IF(Sistema!D201="","",Sistema!D201)</f>
        <v/>
      </c>
      <c r="E201" t="str">
        <f>IF(Sistema!E201="","",Sistema!E201)</f>
        <v/>
      </c>
      <c r="F201">
        <f>IF(P201&gt;0,1,IF(Sistema!F201=0,-1,1))</f>
        <v>-1</v>
      </c>
      <c r="G201">
        <f>Sistema!G201</f>
        <v>0</v>
      </c>
      <c r="H201" t="str">
        <f>IF(OR(R201="notify",R201=1),"visible",IF(OR(Sistema!F201=-1,Sistema!F201=0,ISNUMBER(SEARCH("PCK",E201))),"hidden",IF(P201&gt;0,"visible","hidden")))</f>
        <v>hidden</v>
      </c>
      <c r="I201" t="str">
        <f>IF(B201="simple",IF(P201&gt;0,"",IF(R201="notify",Info!C$2,"")),IF(B201="variable",IF(P201&gt;0,"",IF(R201="notify",Info!C$4,"")),""))</f>
        <v/>
      </c>
      <c r="J201" t="str">
        <f>IF(Sistema!J201="","",Sistema!J201)</f>
        <v/>
      </c>
      <c r="M201" t="str">
        <f>IF(Sistema!M201="","",Sistema!M201)</f>
        <v/>
      </c>
      <c r="N201" s="6" t="s">
        <v>1557</v>
      </c>
      <c r="O201" s="6">
        <v>1</v>
      </c>
      <c r="P201">
        <f>Sistema!P201</f>
        <v>0</v>
      </c>
      <c r="Q201">
        <f>Sistema!Q201</f>
        <v>0</v>
      </c>
      <c r="R201">
        <f>IF(Sistema!R201=1,"notify",Sistema!R201)</f>
        <v>0</v>
      </c>
      <c r="T201" t="str">
        <f>IF(Sistema!T201="","",Sistema!T201)</f>
        <v/>
      </c>
      <c r="U201" t="str">
        <f>IF(Sistema!U201="","",Sistema!U201)</f>
        <v/>
      </c>
      <c r="V201" t="str">
        <f>IF(Sistema!V201="","",Sistema!V201)</f>
        <v/>
      </c>
      <c r="W201" t="str">
        <f>IF(Sistema!W201="","",Sistema!W201)</f>
        <v/>
      </c>
      <c r="X201" s="6">
        <v>1</v>
      </c>
      <c r="Z201" t="str">
        <f>IF(Sistema!Z201="","",Sistema!Z201)</f>
        <v/>
      </c>
      <c r="AA201" t="str">
        <f>IF(Sistema!AA201="","",Sistema!AA201)</f>
        <v/>
      </c>
      <c r="AB201" t="str">
        <f>IF(Sistema!AB201="","",IF(OR(ISNUMBER(SEARCH("MKP",E201)),ISNUMBER(SEARCH("MKP",C201))),"Marketplace &gt; "&amp;Sistema!AB201,Sistema!AB201))</f>
        <v/>
      </c>
      <c r="AC201" t="str">
        <f>IF(Sistema!AC201="","",Sistema!AC201)</f>
        <v/>
      </c>
      <c r="AE201" t="str">
        <f>IF(Sistema!AE201="","",Sistema!AE201)</f>
        <v/>
      </c>
      <c r="AH201" t="str">
        <f>IF(Sistema!AH201="","",Sistema!AH201)</f>
        <v/>
      </c>
      <c r="AQ201" t="str">
        <f>IF(Sistema!AQ201="","",Sistema!AQ201)</f>
        <v/>
      </c>
      <c r="AR201" t="str">
        <f>IF(Sistema!AR201="","",Sistema!AR201)</f>
        <v/>
      </c>
      <c r="AS201" t="str">
        <f>IF(Sistema!AS201="","",Sistema!AS201)</f>
        <v/>
      </c>
      <c r="AT201" t="str">
        <f>IF(Sistema!AT201="","",Sistema!AT201)</f>
        <v/>
      </c>
      <c r="AU201" t="str">
        <f>IF(Sistema!AU201="","",Sistema!AU201)</f>
        <v/>
      </c>
      <c r="AV201" t="str">
        <f>IF(Sistema!AV201="","",Sistema!AV201)</f>
        <v/>
      </c>
      <c r="AW201" t="str">
        <f>IF(Sistema!AW201="","",Sistema!AW201)</f>
        <v/>
      </c>
      <c r="AX201" t="str">
        <f>IF(Sistema!AX201="","",Sistema!AX201)</f>
        <v/>
      </c>
      <c r="AY201" t="str">
        <f>IF(Sistema!AY201="","",Sistema!AY201)</f>
        <v/>
      </c>
      <c r="AZ201" t="str">
        <f>IF(Sistema!AZ201="","",Sistema!AZ201)</f>
        <v/>
      </c>
      <c r="BA201" t="str">
        <f>IF(Sistema!BA201="","",Sistema!BA201)</f>
        <v/>
      </c>
      <c r="BB201" t="str">
        <f>IF(Sistema!BB201="","",Sistema!BB201)</f>
        <v/>
      </c>
      <c r="BC201" t="str">
        <f>IF(Sistema!BC201="","",Sistema!BC201)</f>
        <v/>
      </c>
      <c r="BD201" t="str">
        <f>IF(Sistema!BD201="","",Sistema!BD201)</f>
        <v/>
      </c>
      <c r="BE201" t="str">
        <f>IF(Sistema!BE201="","",Sistema!BE201)</f>
        <v/>
      </c>
      <c r="BF201" t="str">
        <f>IF(Sistema!BF201="","",Sistema!BF201)</f>
        <v/>
      </c>
      <c r="BG201" t="str">
        <f>IF(Sistema!BG201="","",Sistema!BG201)</f>
        <v/>
      </c>
      <c r="BH201" t="str">
        <f>IF(Sistema!BH201="","",Sistema!BH201)</f>
        <v/>
      </c>
      <c r="BI201" t="str">
        <f>IF(Sistema!BI201="","",Sistema!BI201)</f>
        <v/>
      </c>
      <c r="BJ201" t="str">
        <f>IF(Sistema!BJ201="","",Sistema!BJ201)</f>
        <v/>
      </c>
      <c r="BK201" t="str">
        <f>IF(Sistema!BK201="","",Sistema!BK201)</f>
        <v/>
      </c>
      <c r="BL201" t="str">
        <f>IF(Sistema!BL201="","",Sistema!BL201)</f>
        <v/>
      </c>
      <c r="BM201" t="str">
        <f>IF(Sistema!BM201="","",Sistema!BM201)</f>
        <v/>
      </c>
      <c r="BN201" t="str">
        <f>IF(Sistema!BN201="","",Sistema!BN201)</f>
        <v/>
      </c>
      <c r="BO201" t="str">
        <f>IF(Sistema!BO201="","",Sistema!BO201)</f>
        <v/>
      </c>
      <c r="BP201" t="str">
        <f>IF(Sistema!BP201="","",Sistema!BP201)</f>
        <v/>
      </c>
      <c r="BQ201" t="str">
        <f>IF(Sistema!BQ201="","",Sistema!BQ201)</f>
        <v/>
      </c>
      <c r="BR201" t="str">
        <f>IF(Sistema!BR201="","",Sistema!BR201)</f>
        <v/>
      </c>
      <c r="BS201" t="str">
        <f>IF(Sistema!BS201="","",Sistema!BS201)</f>
        <v/>
      </c>
      <c r="BT201" t="str">
        <f>IF(Sistema!BT201="","",Sistema!BT201)</f>
        <v/>
      </c>
      <c r="BU201" t="str">
        <f>IF(Sistema!BU201="","",Sistema!BU201)</f>
        <v/>
      </c>
      <c r="BV201" t="str">
        <f>IF(Sistema!BV201="","",Sistema!BV201)</f>
        <v/>
      </c>
      <c r="BW201" t="str">
        <f>IF(Sistema!BW201="","",Sistema!BW201)</f>
        <v/>
      </c>
      <c r="BX201" t="str">
        <f>IF(Sistema!BX201="","",Sistema!BX201)</f>
        <v/>
      </c>
      <c r="BY201" t="str">
        <f>IF(Sistema!BY201="","",Sistema!BY201)</f>
        <v/>
      </c>
      <c r="BZ201" t="str">
        <f>IF(Sistema!BZ201="","",Sistema!BZ201)</f>
        <v/>
      </c>
      <c r="CA201" t="str">
        <f>IF(Sistema!CA201="","",Sistema!CA201)</f>
        <v/>
      </c>
      <c r="CB201" t="str">
        <f>IF(Sistema!CB201="","",Sistema!CB201)</f>
        <v/>
      </c>
      <c r="CC201" t="str">
        <f>IF(Sistema!CC201="","",Sistema!CC201)</f>
        <v/>
      </c>
      <c r="CD201" t="str">
        <f>IF(Sistema!CD201="","",Sistema!CD201)</f>
        <v/>
      </c>
    </row>
    <row r="202" spans="1:82" x14ac:dyDescent="0.25">
      <c r="A202" t="str">
        <f>IF(Sistema!A202="","",Sistema!A202)</f>
        <v/>
      </c>
      <c r="B202" t="str">
        <f>IF(Sistema!B202="","",Sistema!B202)</f>
        <v/>
      </c>
      <c r="C202" t="str">
        <f>IF(Sistema!C202="","",Sistema!C202)</f>
        <v/>
      </c>
      <c r="D202" t="str">
        <f>IF(Sistema!D202="","",Sistema!D202)</f>
        <v/>
      </c>
      <c r="E202" t="str">
        <f>IF(Sistema!E202="","",Sistema!E202)</f>
        <v/>
      </c>
      <c r="F202">
        <f>IF(P202&gt;0,1,IF(Sistema!F202=0,-1,1))</f>
        <v>-1</v>
      </c>
      <c r="G202">
        <f>Sistema!G202</f>
        <v>0</v>
      </c>
      <c r="H202" t="str">
        <f>IF(OR(R202="notify",R202=1),"visible",IF(OR(Sistema!F202=-1,Sistema!F202=0,ISNUMBER(SEARCH("PCK",E202))),"hidden",IF(P202&gt;0,"visible","hidden")))</f>
        <v>hidden</v>
      </c>
      <c r="I202" t="str">
        <f>IF(B202="simple",IF(P202&gt;0,"",IF(R202="notify",Info!C$2,"")),IF(B202="variable",IF(P202&gt;0,"",IF(R202="notify",Info!C$4,"")),""))</f>
        <v/>
      </c>
      <c r="J202" t="str">
        <f>IF(Sistema!J202="","",Sistema!J202)</f>
        <v/>
      </c>
      <c r="M202" t="str">
        <f>IF(Sistema!M202="","",Sistema!M202)</f>
        <v/>
      </c>
      <c r="N202" s="6" t="s">
        <v>1557</v>
      </c>
      <c r="O202" s="6">
        <v>1</v>
      </c>
      <c r="P202">
        <f>Sistema!P202</f>
        <v>0</v>
      </c>
      <c r="Q202">
        <f>Sistema!Q202</f>
        <v>0</v>
      </c>
      <c r="R202">
        <f>IF(Sistema!R202=1,"notify",Sistema!R202)</f>
        <v>0</v>
      </c>
      <c r="T202" t="str">
        <f>IF(Sistema!T202="","",Sistema!T202)</f>
        <v/>
      </c>
      <c r="U202" t="str">
        <f>IF(Sistema!U202="","",Sistema!U202)</f>
        <v/>
      </c>
      <c r="V202" t="str">
        <f>IF(Sistema!V202="","",Sistema!V202)</f>
        <v/>
      </c>
      <c r="W202" t="str">
        <f>IF(Sistema!W202="","",Sistema!W202)</f>
        <v/>
      </c>
      <c r="X202" s="6">
        <v>1</v>
      </c>
      <c r="Z202" t="str">
        <f>IF(Sistema!Z202="","",Sistema!Z202)</f>
        <v/>
      </c>
      <c r="AA202" t="str">
        <f>IF(Sistema!AA202="","",Sistema!AA202)</f>
        <v/>
      </c>
      <c r="AB202" t="str">
        <f>IF(Sistema!AB202="","",IF(OR(ISNUMBER(SEARCH("MKP",E202)),ISNUMBER(SEARCH("MKP",C202))),"Marketplace &gt; "&amp;Sistema!AB202,Sistema!AB202))</f>
        <v/>
      </c>
      <c r="AC202" t="str">
        <f>IF(Sistema!AC202="","",Sistema!AC202)</f>
        <v/>
      </c>
      <c r="AE202" t="str">
        <f>IF(Sistema!AE202="","",Sistema!AE202)</f>
        <v/>
      </c>
      <c r="AH202" t="str">
        <f>IF(Sistema!AH202="","",Sistema!AH202)</f>
        <v/>
      </c>
      <c r="AQ202" t="str">
        <f>IF(Sistema!AQ202="","",Sistema!AQ202)</f>
        <v/>
      </c>
      <c r="AR202" t="str">
        <f>IF(Sistema!AR202="","",Sistema!AR202)</f>
        <v/>
      </c>
      <c r="AS202" t="str">
        <f>IF(Sistema!AS202="","",Sistema!AS202)</f>
        <v/>
      </c>
      <c r="AT202" t="str">
        <f>IF(Sistema!AT202="","",Sistema!AT202)</f>
        <v/>
      </c>
      <c r="AU202" t="str">
        <f>IF(Sistema!AU202="","",Sistema!AU202)</f>
        <v/>
      </c>
      <c r="AV202" t="str">
        <f>IF(Sistema!AV202="","",Sistema!AV202)</f>
        <v/>
      </c>
      <c r="AW202" t="str">
        <f>IF(Sistema!AW202="","",Sistema!AW202)</f>
        <v/>
      </c>
      <c r="AX202" t="str">
        <f>IF(Sistema!AX202="","",Sistema!AX202)</f>
        <v/>
      </c>
      <c r="AY202" t="str">
        <f>IF(Sistema!AY202="","",Sistema!AY202)</f>
        <v/>
      </c>
      <c r="AZ202" t="str">
        <f>IF(Sistema!AZ202="","",Sistema!AZ202)</f>
        <v/>
      </c>
      <c r="BA202" t="str">
        <f>IF(Sistema!BA202="","",Sistema!BA202)</f>
        <v/>
      </c>
      <c r="BB202" t="str">
        <f>IF(Sistema!BB202="","",Sistema!BB202)</f>
        <v/>
      </c>
      <c r="BC202" t="str">
        <f>IF(Sistema!BC202="","",Sistema!BC202)</f>
        <v/>
      </c>
      <c r="BD202" t="str">
        <f>IF(Sistema!BD202="","",Sistema!BD202)</f>
        <v/>
      </c>
      <c r="BE202" t="str">
        <f>IF(Sistema!BE202="","",Sistema!BE202)</f>
        <v/>
      </c>
      <c r="BF202" t="str">
        <f>IF(Sistema!BF202="","",Sistema!BF202)</f>
        <v/>
      </c>
      <c r="BG202" t="str">
        <f>IF(Sistema!BG202="","",Sistema!BG202)</f>
        <v/>
      </c>
      <c r="BH202" t="str">
        <f>IF(Sistema!BH202="","",Sistema!BH202)</f>
        <v/>
      </c>
      <c r="BI202" t="str">
        <f>IF(Sistema!BI202="","",Sistema!BI202)</f>
        <v/>
      </c>
      <c r="BJ202" t="str">
        <f>IF(Sistema!BJ202="","",Sistema!BJ202)</f>
        <v/>
      </c>
      <c r="BK202" t="str">
        <f>IF(Sistema!BK202="","",Sistema!BK202)</f>
        <v/>
      </c>
      <c r="BL202" t="str">
        <f>IF(Sistema!BL202="","",Sistema!BL202)</f>
        <v/>
      </c>
      <c r="BM202" t="str">
        <f>IF(Sistema!BM202="","",Sistema!BM202)</f>
        <v/>
      </c>
      <c r="BN202" t="str">
        <f>IF(Sistema!BN202="","",Sistema!BN202)</f>
        <v/>
      </c>
      <c r="BO202" t="str">
        <f>IF(Sistema!BO202="","",Sistema!BO202)</f>
        <v/>
      </c>
      <c r="BP202" t="str">
        <f>IF(Sistema!BP202="","",Sistema!BP202)</f>
        <v/>
      </c>
      <c r="BQ202" t="str">
        <f>IF(Sistema!BQ202="","",Sistema!BQ202)</f>
        <v/>
      </c>
      <c r="BR202" t="str">
        <f>IF(Sistema!BR202="","",Sistema!BR202)</f>
        <v/>
      </c>
      <c r="BS202" t="str">
        <f>IF(Sistema!BS202="","",Sistema!BS202)</f>
        <v/>
      </c>
      <c r="BT202" t="str">
        <f>IF(Sistema!BT202="","",Sistema!BT202)</f>
        <v/>
      </c>
      <c r="BU202" t="str">
        <f>IF(Sistema!BU202="","",Sistema!BU202)</f>
        <v/>
      </c>
      <c r="BV202" t="str">
        <f>IF(Sistema!BV202="","",Sistema!BV202)</f>
        <v/>
      </c>
      <c r="BW202" t="str">
        <f>IF(Sistema!BW202="","",Sistema!BW202)</f>
        <v/>
      </c>
      <c r="BX202" t="str">
        <f>IF(Sistema!BX202="","",Sistema!BX202)</f>
        <v/>
      </c>
      <c r="BY202" t="str">
        <f>IF(Sistema!BY202="","",Sistema!BY202)</f>
        <v/>
      </c>
      <c r="BZ202" t="str">
        <f>IF(Sistema!BZ202="","",Sistema!BZ202)</f>
        <v/>
      </c>
      <c r="CA202" t="str">
        <f>IF(Sistema!CA202="","",Sistema!CA202)</f>
        <v/>
      </c>
      <c r="CB202" t="str">
        <f>IF(Sistema!CB202="","",Sistema!CB202)</f>
        <v/>
      </c>
      <c r="CC202" t="str">
        <f>IF(Sistema!CC202="","",Sistema!CC202)</f>
        <v/>
      </c>
      <c r="CD202" t="str">
        <f>IF(Sistema!CD202="","",Sistema!CD202)</f>
        <v/>
      </c>
    </row>
    <row r="203" spans="1:82" x14ac:dyDescent="0.25">
      <c r="A203" t="str">
        <f>IF(Sistema!A203="","",Sistema!A203)</f>
        <v/>
      </c>
      <c r="B203" t="str">
        <f>IF(Sistema!B203="","",Sistema!B203)</f>
        <v/>
      </c>
      <c r="C203" t="str">
        <f>IF(Sistema!C203="","",Sistema!C203)</f>
        <v/>
      </c>
      <c r="D203" t="str">
        <f>IF(Sistema!D203="","",Sistema!D203)</f>
        <v/>
      </c>
      <c r="E203" t="str">
        <f>IF(Sistema!E203="","",Sistema!E203)</f>
        <v/>
      </c>
      <c r="F203">
        <f>IF(P203&gt;0,1,IF(Sistema!F203=0,-1,1))</f>
        <v>-1</v>
      </c>
      <c r="G203">
        <f>Sistema!G203</f>
        <v>0</v>
      </c>
      <c r="H203" t="str">
        <f>IF(OR(R203="notify",R203=1),"visible",IF(OR(Sistema!F203=-1,Sistema!F203=0,ISNUMBER(SEARCH("PCK",E203))),"hidden",IF(P203&gt;0,"visible","hidden")))</f>
        <v>hidden</v>
      </c>
      <c r="I203" t="str">
        <f>IF(B203="simple",IF(P203&gt;0,"",IF(R203="notify",Info!C$2,"")),IF(B203="variable",IF(P203&gt;0,"",IF(R203="notify",Info!C$4,"")),""))</f>
        <v/>
      </c>
      <c r="J203" t="str">
        <f>IF(Sistema!J203="","",Sistema!J203)</f>
        <v/>
      </c>
      <c r="M203" t="str">
        <f>IF(Sistema!M203="","",Sistema!M203)</f>
        <v/>
      </c>
      <c r="N203" s="6" t="s">
        <v>1557</v>
      </c>
      <c r="O203" s="6">
        <v>1</v>
      </c>
      <c r="P203">
        <f>Sistema!P203</f>
        <v>0</v>
      </c>
      <c r="Q203">
        <f>Sistema!Q203</f>
        <v>0</v>
      </c>
      <c r="R203">
        <f>IF(Sistema!R203=1,"notify",Sistema!R203)</f>
        <v>0</v>
      </c>
      <c r="T203" t="str">
        <f>IF(Sistema!T203="","",Sistema!T203)</f>
        <v/>
      </c>
      <c r="U203" t="str">
        <f>IF(Sistema!U203="","",Sistema!U203)</f>
        <v/>
      </c>
      <c r="V203" t="str">
        <f>IF(Sistema!V203="","",Sistema!V203)</f>
        <v/>
      </c>
      <c r="W203" t="str">
        <f>IF(Sistema!W203="","",Sistema!W203)</f>
        <v/>
      </c>
      <c r="X203" s="6">
        <v>1</v>
      </c>
      <c r="Z203" t="str">
        <f>IF(Sistema!Z203="","",Sistema!Z203)</f>
        <v/>
      </c>
      <c r="AA203" t="str">
        <f>IF(Sistema!AA203="","",Sistema!AA203)</f>
        <v/>
      </c>
      <c r="AB203" t="str">
        <f>IF(Sistema!AB203="","",IF(OR(ISNUMBER(SEARCH("MKP",E203)),ISNUMBER(SEARCH("MKP",C203))),"Marketplace &gt; "&amp;Sistema!AB203,Sistema!AB203))</f>
        <v/>
      </c>
      <c r="AC203" t="str">
        <f>IF(Sistema!AC203="","",Sistema!AC203)</f>
        <v/>
      </c>
      <c r="AE203" t="str">
        <f>IF(Sistema!AE203="","",Sistema!AE203)</f>
        <v/>
      </c>
      <c r="AH203" t="str">
        <f>IF(Sistema!AH203="","",Sistema!AH203)</f>
        <v/>
      </c>
      <c r="AQ203" t="str">
        <f>IF(Sistema!AQ203="","",Sistema!AQ203)</f>
        <v/>
      </c>
      <c r="AR203" t="str">
        <f>IF(Sistema!AR203="","",Sistema!AR203)</f>
        <v/>
      </c>
      <c r="AS203" t="str">
        <f>IF(Sistema!AS203="","",Sistema!AS203)</f>
        <v/>
      </c>
      <c r="AT203" t="str">
        <f>IF(Sistema!AT203="","",Sistema!AT203)</f>
        <v/>
      </c>
      <c r="AU203" t="str">
        <f>IF(Sistema!AU203="","",Sistema!AU203)</f>
        <v/>
      </c>
      <c r="AV203" t="str">
        <f>IF(Sistema!AV203="","",Sistema!AV203)</f>
        <v/>
      </c>
      <c r="AW203" t="str">
        <f>IF(Sistema!AW203="","",Sistema!AW203)</f>
        <v/>
      </c>
      <c r="AX203" t="str">
        <f>IF(Sistema!AX203="","",Sistema!AX203)</f>
        <v/>
      </c>
      <c r="AY203" t="str">
        <f>IF(Sistema!AY203="","",Sistema!AY203)</f>
        <v/>
      </c>
      <c r="AZ203" t="str">
        <f>IF(Sistema!AZ203="","",Sistema!AZ203)</f>
        <v/>
      </c>
      <c r="BA203" t="str">
        <f>IF(Sistema!BA203="","",Sistema!BA203)</f>
        <v/>
      </c>
      <c r="BB203" t="str">
        <f>IF(Sistema!BB203="","",Sistema!BB203)</f>
        <v/>
      </c>
      <c r="BC203" t="str">
        <f>IF(Sistema!BC203="","",Sistema!BC203)</f>
        <v/>
      </c>
      <c r="BD203" t="str">
        <f>IF(Sistema!BD203="","",Sistema!BD203)</f>
        <v/>
      </c>
      <c r="BE203" t="str">
        <f>IF(Sistema!BE203="","",Sistema!BE203)</f>
        <v/>
      </c>
      <c r="BF203" t="str">
        <f>IF(Sistema!BF203="","",Sistema!BF203)</f>
        <v/>
      </c>
      <c r="BG203" t="str">
        <f>IF(Sistema!BG203="","",Sistema!BG203)</f>
        <v/>
      </c>
      <c r="BH203" t="str">
        <f>IF(Sistema!BH203="","",Sistema!BH203)</f>
        <v/>
      </c>
      <c r="BI203" t="str">
        <f>IF(Sistema!BI203="","",Sistema!BI203)</f>
        <v/>
      </c>
      <c r="BJ203" t="str">
        <f>IF(Sistema!BJ203="","",Sistema!BJ203)</f>
        <v/>
      </c>
      <c r="BK203" t="str">
        <f>IF(Sistema!BK203="","",Sistema!BK203)</f>
        <v/>
      </c>
      <c r="BL203" t="str">
        <f>IF(Sistema!BL203="","",Sistema!BL203)</f>
        <v/>
      </c>
      <c r="BM203" t="str">
        <f>IF(Sistema!BM203="","",Sistema!BM203)</f>
        <v/>
      </c>
      <c r="BN203" t="str">
        <f>IF(Sistema!BN203="","",Sistema!BN203)</f>
        <v/>
      </c>
      <c r="BO203" t="str">
        <f>IF(Sistema!BO203="","",Sistema!BO203)</f>
        <v/>
      </c>
      <c r="BP203" t="str">
        <f>IF(Sistema!BP203="","",Sistema!BP203)</f>
        <v/>
      </c>
      <c r="BQ203" t="str">
        <f>IF(Sistema!BQ203="","",Sistema!BQ203)</f>
        <v/>
      </c>
      <c r="BR203" t="str">
        <f>IF(Sistema!BR203="","",Sistema!BR203)</f>
        <v/>
      </c>
      <c r="BS203" t="str">
        <f>IF(Sistema!BS203="","",Sistema!BS203)</f>
        <v/>
      </c>
      <c r="BT203" t="str">
        <f>IF(Sistema!BT203="","",Sistema!BT203)</f>
        <v/>
      </c>
      <c r="BU203" t="str">
        <f>IF(Sistema!BU203="","",Sistema!BU203)</f>
        <v/>
      </c>
      <c r="BV203" t="str">
        <f>IF(Sistema!BV203="","",Sistema!BV203)</f>
        <v/>
      </c>
      <c r="BW203" t="str">
        <f>IF(Sistema!BW203="","",Sistema!BW203)</f>
        <v/>
      </c>
      <c r="BX203" t="str">
        <f>IF(Sistema!BX203="","",Sistema!BX203)</f>
        <v/>
      </c>
      <c r="BY203" t="str">
        <f>IF(Sistema!BY203="","",Sistema!BY203)</f>
        <v/>
      </c>
      <c r="BZ203" t="str">
        <f>IF(Sistema!BZ203="","",Sistema!BZ203)</f>
        <v/>
      </c>
      <c r="CA203" t="str">
        <f>IF(Sistema!CA203="","",Sistema!CA203)</f>
        <v/>
      </c>
      <c r="CB203" t="str">
        <f>IF(Sistema!CB203="","",Sistema!CB203)</f>
        <v/>
      </c>
      <c r="CC203" t="str">
        <f>IF(Sistema!CC203="","",Sistema!CC203)</f>
        <v/>
      </c>
      <c r="CD203" t="str">
        <f>IF(Sistema!CD203="","",Sistema!CD203)</f>
        <v/>
      </c>
    </row>
    <row r="204" spans="1:82" x14ac:dyDescent="0.25">
      <c r="A204" t="str">
        <f>IF(Sistema!A204="","",Sistema!A204)</f>
        <v/>
      </c>
      <c r="B204" t="str">
        <f>IF(Sistema!B204="","",Sistema!B204)</f>
        <v/>
      </c>
      <c r="C204" t="str">
        <f>IF(Sistema!C204="","",Sistema!C204)</f>
        <v/>
      </c>
      <c r="D204" t="str">
        <f>IF(Sistema!D204="","",Sistema!D204)</f>
        <v/>
      </c>
      <c r="E204" t="str">
        <f>IF(Sistema!E204="","",Sistema!E204)</f>
        <v/>
      </c>
      <c r="F204">
        <f>IF(P204&gt;0,1,IF(Sistema!F204=0,-1,1))</f>
        <v>-1</v>
      </c>
      <c r="G204">
        <f>Sistema!G204</f>
        <v>0</v>
      </c>
      <c r="H204" t="str">
        <f>IF(OR(R204="notify",R204=1),"visible",IF(OR(Sistema!F204=-1,Sistema!F204=0,ISNUMBER(SEARCH("PCK",E204))),"hidden",IF(P204&gt;0,"visible","hidden")))</f>
        <v>hidden</v>
      </c>
      <c r="I204" t="str">
        <f>IF(B204="simple",IF(P204&gt;0,"",IF(R204="notify",Info!C$2,"")),IF(B204="variable",IF(P204&gt;0,"",IF(R204="notify",Info!C$4,"")),""))</f>
        <v/>
      </c>
      <c r="J204" t="str">
        <f>IF(Sistema!J204="","",Sistema!J204)</f>
        <v/>
      </c>
      <c r="M204" t="str">
        <f>IF(Sistema!M204="","",Sistema!M204)</f>
        <v/>
      </c>
      <c r="N204" s="6" t="s">
        <v>1557</v>
      </c>
      <c r="O204" s="6">
        <v>1</v>
      </c>
      <c r="P204">
        <f>Sistema!P204</f>
        <v>0</v>
      </c>
      <c r="Q204">
        <f>Sistema!Q204</f>
        <v>0</v>
      </c>
      <c r="R204">
        <f>IF(Sistema!R204=1,"notify",Sistema!R204)</f>
        <v>0</v>
      </c>
      <c r="T204" t="str">
        <f>IF(Sistema!T204="","",Sistema!T204)</f>
        <v/>
      </c>
      <c r="U204" t="str">
        <f>IF(Sistema!U204="","",Sistema!U204)</f>
        <v/>
      </c>
      <c r="V204" t="str">
        <f>IF(Sistema!V204="","",Sistema!V204)</f>
        <v/>
      </c>
      <c r="W204" t="str">
        <f>IF(Sistema!W204="","",Sistema!W204)</f>
        <v/>
      </c>
      <c r="X204" s="6">
        <v>1</v>
      </c>
      <c r="Z204" t="str">
        <f>IF(Sistema!Z204="","",Sistema!Z204)</f>
        <v/>
      </c>
      <c r="AA204" t="str">
        <f>IF(Sistema!AA204="","",Sistema!AA204)</f>
        <v/>
      </c>
      <c r="AB204" t="str">
        <f>IF(Sistema!AB204="","",IF(OR(ISNUMBER(SEARCH("MKP",E204)),ISNUMBER(SEARCH("MKP",C204))),"Marketplace &gt; "&amp;Sistema!AB204,Sistema!AB204))</f>
        <v/>
      </c>
      <c r="AC204" t="str">
        <f>IF(Sistema!AC204="","",Sistema!AC204)</f>
        <v/>
      </c>
      <c r="AE204" t="str">
        <f>IF(Sistema!AE204="","",Sistema!AE204)</f>
        <v/>
      </c>
      <c r="AH204" t="str">
        <f>IF(Sistema!AH204="","",Sistema!AH204)</f>
        <v/>
      </c>
      <c r="AQ204" t="str">
        <f>IF(Sistema!AQ204="","",Sistema!AQ204)</f>
        <v/>
      </c>
      <c r="AR204" t="str">
        <f>IF(Sistema!AR204="","",Sistema!AR204)</f>
        <v/>
      </c>
      <c r="AS204" t="str">
        <f>IF(Sistema!AS204="","",Sistema!AS204)</f>
        <v/>
      </c>
      <c r="AT204" t="str">
        <f>IF(Sistema!AT204="","",Sistema!AT204)</f>
        <v/>
      </c>
      <c r="AU204" t="str">
        <f>IF(Sistema!AU204="","",Sistema!AU204)</f>
        <v/>
      </c>
      <c r="AV204" t="str">
        <f>IF(Sistema!AV204="","",Sistema!AV204)</f>
        <v/>
      </c>
      <c r="AW204" t="str">
        <f>IF(Sistema!AW204="","",Sistema!AW204)</f>
        <v/>
      </c>
      <c r="AX204" t="str">
        <f>IF(Sistema!AX204="","",Sistema!AX204)</f>
        <v/>
      </c>
      <c r="AY204" t="str">
        <f>IF(Sistema!AY204="","",Sistema!AY204)</f>
        <v/>
      </c>
      <c r="AZ204" t="str">
        <f>IF(Sistema!AZ204="","",Sistema!AZ204)</f>
        <v/>
      </c>
      <c r="BA204" t="str">
        <f>IF(Sistema!BA204="","",Sistema!BA204)</f>
        <v/>
      </c>
      <c r="BB204" t="str">
        <f>IF(Sistema!BB204="","",Sistema!BB204)</f>
        <v/>
      </c>
      <c r="BC204" t="str">
        <f>IF(Sistema!BC204="","",Sistema!BC204)</f>
        <v/>
      </c>
      <c r="BD204" t="str">
        <f>IF(Sistema!BD204="","",Sistema!BD204)</f>
        <v/>
      </c>
      <c r="BE204" t="str">
        <f>IF(Sistema!BE204="","",Sistema!BE204)</f>
        <v/>
      </c>
      <c r="BF204" t="str">
        <f>IF(Sistema!BF204="","",Sistema!BF204)</f>
        <v/>
      </c>
      <c r="BG204" t="str">
        <f>IF(Sistema!BG204="","",Sistema!BG204)</f>
        <v/>
      </c>
      <c r="BH204" t="str">
        <f>IF(Sistema!BH204="","",Sistema!BH204)</f>
        <v/>
      </c>
      <c r="BI204" t="str">
        <f>IF(Sistema!BI204="","",Sistema!BI204)</f>
        <v/>
      </c>
      <c r="BJ204" t="str">
        <f>IF(Sistema!BJ204="","",Sistema!BJ204)</f>
        <v/>
      </c>
      <c r="BK204" t="str">
        <f>IF(Sistema!BK204="","",Sistema!BK204)</f>
        <v/>
      </c>
      <c r="BL204" t="str">
        <f>IF(Sistema!BL204="","",Sistema!BL204)</f>
        <v/>
      </c>
      <c r="BM204" t="str">
        <f>IF(Sistema!BM204="","",Sistema!BM204)</f>
        <v/>
      </c>
      <c r="BN204" t="str">
        <f>IF(Sistema!BN204="","",Sistema!BN204)</f>
        <v/>
      </c>
      <c r="BO204" t="str">
        <f>IF(Sistema!BO204="","",Sistema!BO204)</f>
        <v/>
      </c>
      <c r="BP204" t="str">
        <f>IF(Sistema!BP204="","",Sistema!BP204)</f>
        <v/>
      </c>
      <c r="BQ204" t="str">
        <f>IF(Sistema!BQ204="","",Sistema!BQ204)</f>
        <v/>
      </c>
      <c r="BR204" t="str">
        <f>IF(Sistema!BR204="","",Sistema!BR204)</f>
        <v/>
      </c>
      <c r="BS204" t="str">
        <f>IF(Sistema!BS204="","",Sistema!BS204)</f>
        <v/>
      </c>
      <c r="BT204" t="str">
        <f>IF(Sistema!BT204="","",Sistema!BT204)</f>
        <v/>
      </c>
      <c r="BU204" t="str">
        <f>IF(Sistema!BU204="","",Sistema!BU204)</f>
        <v/>
      </c>
      <c r="BV204" t="str">
        <f>IF(Sistema!BV204="","",Sistema!BV204)</f>
        <v/>
      </c>
      <c r="BW204" t="str">
        <f>IF(Sistema!BW204="","",Sistema!BW204)</f>
        <v/>
      </c>
      <c r="BX204" t="str">
        <f>IF(Sistema!BX204="","",Sistema!BX204)</f>
        <v/>
      </c>
      <c r="BY204" t="str">
        <f>IF(Sistema!BY204="","",Sistema!BY204)</f>
        <v/>
      </c>
      <c r="BZ204" t="str">
        <f>IF(Sistema!BZ204="","",Sistema!BZ204)</f>
        <v/>
      </c>
      <c r="CA204" t="str">
        <f>IF(Sistema!CA204="","",Sistema!CA204)</f>
        <v/>
      </c>
      <c r="CB204" t="str">
        <f>IF(Sistema!CB204="","",Sistema!CB204)</f>
        <v/>
      </c>
      <c r="CC204" t="str">
        <f>IF(Sistema!CC204="","",Sistema!CC204)</f>
        <v/>
      </c>
      <c r="CD204" t="str">
        <f>IF(Sistema!CD204="","",Sistema!CD204)</f>
        <v/>
      </c>
    </row>
    <row r="205" spans="1:82" x14ac:dyDescent="0.25">
      <c r="A205" t="str">
        <f>IF(Sistema!A205="","",Sistema!A205)</f>
        <v/>
      </c>
      <c r="B205" t="str">
        <f>IF(Sistema!B205="","",Sistema!B205)</f>
        <v/>
      </c>
      <c r="C205" t="str">
        <f>IF(Sistema!C205="","",Sistema!C205)</f>
        <v/>
      </c>
      <c r="D205" t="str">
        <f>IF(Sistema!D205="","",Sistema!D205)</f>
        <v/>
      </c>
      <c r="E205" t="str">
        <f>IF(Sistema!E205="","",Sistema!E205)</f>
        <v/>
      </c>
      <c r="F205">
        <f>IF(P205&gt;0,1,IF(Sistema!F205=0,-1,1))</f>
        <v>-1</v>
      </c>
      <c r="G205">
        <f>Sistema!G205</f>
        <v>0</v>
      </c>
      <c r="H205" t="str">
        <f>IF(OR(R205="notify",R205=1),"visible",IF(OR(Sistema!F205=-1,Sistema!F205=0,ISNUMBER(SEARCH("PCK",E205))),"hidden",IF(P205&gt;0,"visible","hidden")))</f>
        <v>hidden</v>
      </c>
      <c r="I205" t="str">
        <f>IF(B205="simple",IF(P205&gt;0,"",IF(R205="notify",Info!C$2,"")),IF(B205="variable",IF(P205&gt;0,"",IF(R205="notify",Info!C$4,"")),""))</f>
        <v/>
      </c>
      <c r="J205" t="str">
        <f>IF(Sistema!J205="","",Sistema!J205)</f>
        <v/>
      </c>
      <c r="M205" t="str">
        <f>IF(Sistema!M205="","",Sistema!M205)</f>
        <v/>
      </c>
      <c r="N205" s="6" t="s">
        <v>1557</v>
      </c>
      <c r="O205" s="6">
        <v>1</v>
      </c>
      <c r="P205">
        <f>Sistema!P205</f>
        <v>0</v>
      </c>
      <c r="Q205">
        <f>Sistema!Q205</f>
        <v>0</v>
      </c>
      <c r="R205">
        <f>IF(Sistema!R205=1,"notify",Sistema!R205)</f>
        <v>0</v>
      </c>
      <c r="T205" t="str">
        <f>IF(Sistema!T205="","",Sistema!T205)</f>
        <v/>
      </c>
      <c r="U205" t="str">
        <f>IF(Sistema!U205="","",Sistema!U205)</f>
        <v/>
      </c>
      <c r="V205" t="str">
        <f>IF(Sistema!V205="","",Sistema!V205)</f>
        <v/>
      </c>
      <c r="W205" t="str">
        <f>IF(Sistema!W205="","",Sistema!W205)</f>
        <v/>
      </c>
      <c r="X205" s="6">
        <v>1</v>
      </c>
      <c r="Z205" t="str">
        <f>IF(Sistema!Z205="","",Sistema!Z205)</f>
        <v/>
      </c>
      <c r="AA205" t="str">
        <f>IF(Sistema!AA205="","",Sistema!AA205)</f>
        <v/>
      </c>
      <c r="AB205" t="str">
        <f>IF(Sistema!AB205="","",IF(OR(ISNUMBER(SEARCH("MKP",E205)),ISNUMBER(SEARCH("MKP",C205))),"Marketplace &gt; "&amp;Sistema!AB205,Sistema!AB205))</f>
        <v/>
      </c>
      <c r="AC205" t="str">
        <f>IF(Sistema!AC205="","",Sistema!AC205)</f>
        <v/>
      </c>
      <c r="AE205" t="str">
        <f>IF(Sistema!AE205="","",Sistema!AE205)</f>
        <v/>
      </c>
      <c r="AH205" t="str">
        <f>IF(Sistema!AH205="","",Sistema!AH205)</f>
        <v/>
      </c>
      <c r="AQ205" t="str">
        <f>IF(Sistema!AQ205="","",Sistema!AQ205)</f>
        <v/>
      </c>
      <c r="AR205" t="str">
        <f>IF(Sistema!AR205="","",Sistema!AR205)</f>
        <v/>
      </c>
      <c r="AS205" t="str">
        <f>IF(Sistema!AS205="","",Sistema!AS205)</f>
        <v/>
      </c>
      <c r="AT205" t="str">
        <f>IF(Sistema!AT205="","",Sistema!AT205)</f>
        <v/>
      </c>
      <c r="AU205" t="str">
        <f>IF(Sistema!AU205="","",Sistema!AU205)</f>
        <v/>
      </c>
      <c r="AV205" t="str">
        <f>IF(Sistema!AV205="","",Sistema!AV205)</f>
        <v/>
      </c>
      <c r="AW205" t="str">
        <f>IF(Sistema!AW205="","",Sistema!AW205)</f>
        <v/>
      </c>
      <c r="AX205" t="str">
        <f>IF(Sistema!AX205="","",Sistema!AX205)</f>
        <v/>
      </c>
      <c r="AY205" t="str">
        <f>IF(Sistema!AY205="","",Sistema!AY205)</f>
        <v/>
      </c>
      <c r="AZ205" t="str">
        <f>IF(Sistema!AZ205="","",Sistema!AZ205)</f>
        <v/>
      </c>
      <c r="BA205" t="str">
        <f>IF(Sistema!BA205="","",Sistema!BA205)</f>
        <v/>
      </c>
      <c r="BB205" t="str">
        <f>IF(Sistema!BB205="","",Sistema!BB205)</f>
        <v/>
      </c>
      <c r="BC205" t="str">
        <f>IF(Sistema!BC205="","",Sistema!BC205)</f>
        <v/>
      </c>
      <c r="BD205" t="str">
        <f>IF(Sistema!BD205="","",Sistema!BD205)</f>
        <v/>
      </c>
      <c r="BE205" t="str">
        <f>IF(Sistema!BE205="","",Sistema!BE205)</f>
        <v/>
      </c>
      <c r="BF205" t="str">
        <f>IF(Sistema!BF205="","",Sistema!BF205)</f>
        <v/>
      </c>
      <c r="BG205" t="str">
        <f>IF(Sistema!BG205="","",Sistema!BG205)</f>
        <v/>
      </c>
      <c r="BH205" t="str">
        <f>IF(Sistema!BH205="","",Sistema!BH205)</f>
        <v/>
      </c>
      <c r="BI205" t="str">
        <f>IF(Sistema!BI205="","",Sistema!BI205)</f>
        <v/>
      </c>
      <c r="BJ205" t="str">
        <f>IF(Sistema!BJ205="","",Sistema!BJ205)</f>
        <v/>
      </c>
      <c r="BK205" t="str">
        <f>IF(Sistema!BK205="","",Sistema!BK205)</f>
        <v/>
      </c>
      <c r="BL205" t="str">
        <f>IF(Sistema!BL205="","",Sistema!BL205)</f>
        <v/>
      </c>
      <c r="BM205" t="str">
        <f>IF(Sistema!BM205="","",Sistema!BM205)</f>
        <v/>
      </c>
      <c r="BN205" t="str">
        <f>IF(Sistema!BN205="","",Sistema!BN205)</f>
        <v/>
      </c>
      <c r="BO205" t="str">
        <f>IF(Sistema!BO205="","",Sistema!BO205)</f>
        <v/>
      </c>
      <c r="BP205" t="str">
        <f>IF(Sistema!BP205="","",Sistema!BP205)</f>
        <v/>
      </c>
      <c r="BQ205" t="str">
        <f>IF(Sistema!BQ205="","",Sistema!BQ205)</f>
        <v/>
      </c>
      <c r="BR205" t="str">
        <f>IF(Sistema!BR205="","",Sistema!BR205)</f>
        <v/>
      </c>
      <c r="BS205" t="str">
        <f>IF(Sistema!BS205="","",Sistema!BS205)</f>
        <v/>
      </c>
      <c r="BT205" t="str">
        <f>IF(Sistema!BT205="","",Sistema!BT205)</f>
        <v/>
      </c>
      <c r="BU205" t="str">
        <f>IF(Sistema!BU205="","",Sistema!BU205)</f>
        <v/>
      </c>
      <c r="BV205" t="str">
        <f>IF(Sistema!BV205="","",Sistema!BV205)</f>
        <v/>
      </c>
      <c r="BW205" t="str">
        <f>IF(Sistema!BW205="","",Sistema!BW205)</f>
        <v/>
      </c>
      <c r="BX205" t="str">
        <f>IF(Sistema!BX205="","",Sistema!BX205)</f>
        <v/>
      </c>
      <c r="BY205" t="str">
        <f>IF(Sistema!BY205="","",Sistema!BY205)</f>
        <v/>
      </c>
      <c r="BZ205" t="str">
        <f>IF(Sistema!BZ205="","",Sistema!BZ205)</f>
        <v/>
      </c>
      <c r="CA205" t="str">
        <f>IF(Sistema!CA205="","",Sistema!CA205)</f>
        <v/>
      </c>
      <c r="CB205" t="str">
        <f>IF(Sistema!CB205="","",Sistema!CB205)</f>
        <v/>
      </c>
      <c r="CC205" t="str">
        <f>IF(Sistema!CC205="","",Sistema!CC205)</f>
        <v/>
      </c>
      <c r="CD205" t="str">
        <f>IF(Sistema!CD205="","",Sistema!CD205)</f>
        <v/>
      </c>
    </row>
    <row r="206" spans="1:82" x14ac:dyDescent="0.25">
      <c r="A206" t="str">
        <f>IF(Sistema!A206="","",Sistema!A206)</f>
        <v/>
      </c>
      <c r="B206" t="str">
        <f>IF(Sistema!B206="","",Sistema!B206)</f>
        <v/>
      </c>
      <c r="C206" t="str">
        <f>IF(Sistema!C206="","",Sistema!C206)</f>
        <v/>
      </c>
      <c r="D206" t="str">
        <f>IF(Sistema!D206="","",Sistema!D206)</f>
        <v/>
      </c>
      <c r="E206" t="str">
        <f>IF(Sistema!E206="","",Sistema!E206)</f>
        <v/>
      </c>
      <c r="F206">
        <f>IF(P206&gt;0,1,IF(Sistema!F206=0,-1,1))</f>
        <v>-1</v>
      </c>
      <c r="G206">
        <f>Sistema!G206</f>
        <v>0</v>
      </c>
      <c r="H206" t="str">
        <f>IF(OR(R206="notify",R206=1),"visible",IF(OR(Sistema!F206=-1,Sistema!F206=0,ISNUMBER(SEARCH("PCK",E206))),"hidden",IF(P206&gt;0,"visible","hidden")))</f>
        <v>hidden</v>
      </c>
      <c r="I206" t="str">
        <f>IF(B206="simple",IF(P206&gt;0,"",IF(R206="notify",Info!C$2,"")),IF(B206="variable",IF(P206&gt;0,"",IF(R206="notify",Info!C$4,"")),""))</f>
        <v/>
      </c>
      <c r="J206" t="str">
        <f>IF(Sistema!J206="","",Sistema!J206)</f>
        <v/>
      </c>
      <c r="M206" t="str">
        <f>IF(Sistema!M206="","",Sistema!M206)</f>
        <v/>
      </c>
      <c r="N206" s="6" t="s">
        <v>1557</v>
      </c>
      <c r="O206" s="6">
        <v>1</v>
      </c>
      <c r="P206">
        <f>Sistema!P206</f>
        <v>0</v>
      </c>
      <c r="Q206">
        <f>Sistema!Q206</f>
        <v>0</v>
      </c>
      <c r="R206">
        <f>IF(Sistema!R206=1,"notify",Sistema!R206)</f>
        <v>0</v>
      </c>
      <c r="T206" t="str">
        <f>IF(Sistema!T206="","",Sistema!T206)</f>
        <v/>
      </c>
      <c r="U206" t="str">
        <f>IF(Sistema!U206="","",Sistema!U206)</f>
        <v/>
      </c>
      <c r="V206" t="str">
        <f>IF(Sistema!V206="","",Sistema!V206)</f>
        <v/>
      </c>
      <c r="W206" t="str">
        <f>IF(Sistema!W206="","",Sistema!W206)</f>
        <v/>
      </c>
      <c r="X206" s="6">
        <v>1</v>
      </c>
      <c r="Z206" t="str">
        <f>IF(Sistema!Z206="","",Sistema!Z206)</f>
        <v/>
      </c>
      <c r="AA206" t="str">
        <f>IF(Sistema!AA206="","",Sistema!AA206)</f>
        <v/>
      </c>
      <c r="AB206" t="str">
        <f>IF(Sistema!AB206="","",IF(OR(ISNUMBER(SEARCH("MKP",E206)),ISNUMBER(SEARCH("MKP",C206))),"Marketplace &gt; "&amp;Sistema!AB206,Sistema!AB206))</f>
        <v/>
      </c>
      <c r="AC206" t="str">
        <f>IF(Sistema!AC206="","",Sistema!AC206)</f>
        <v/>
      </c>
      <c r="AE206" t="str">
        <f>IF(Sistema!AE206="","",Sistema!AE206)</f>
        <v/>
      </c>
      <c r="AH206" t="str">
        <f>IF(Sistema!AH206="","",Sistema!AH206)</f>
        <v/>
      </c>
      <c r="AQ206" t="str">
        <f>IF(Sistema!AQ206="","",Sistema!AQ206)</f>
        <v/>
      </c>
      <c r="AR206" t="str">
        <f>IF(Sistema!AR206="","",Sistema!AR206)</f>
        <v/>
      </c>
      <c r="AS206" t="str">
        <f>IF(Sistema!AS206="","",Sistema!AS206)</f>
        <v/>
      </c>
      <c r="AT206" t="str">
        <f>IF(Sistema!AT206="","",Sistema!AT206)</f>
        <v/>
      </c>
      <c r="AU206" t="str">
        <f>IF(Sistema!AU206="","",Sistema!AU206)</f>
        <v/>
      </c>
      <c r="AV206" t="str">
        <f>IF(Sistema!AV206="","",Sistema!AV206)</f>
        <v/>
      </c>
      <c r="AW206" t="str">
        <f>IF(Sistema!AW206="","",Sistema!AW206)</f>
        <v/>
      </c>
      <c r="AX206" t="str">
        <f>IF(Sistema!AX206="","",Sistema!AX206)</f>
        <v/>
      </c>
      <c r="AY206" t="str">
        <f>IF(Sistema!AY206="","",Sistema!AY206)</f>
        <v/>
      </c>
      <c r="AZ206" t="str">
        <f>IF(Sistema!AZ206="","",Sistema!AZ206)</f>
        <v/>
      </c>
      <c r="BA206" t="str">
        <f>IF(Sistema!BA206="","",Sistema!BA206)</f>
        <v/>
      </c>
      <c r="BB206" t="str">
        <f>IF(Sistema!BB206="","",Sistema!BB206)</f>
        <v/>
      </c>
      <c r="BC206" t="str">
        <f>IF(Sistema!BC206="","",Sistema!BC206)</f>
        <v/>
      </c>
      <c r="BD206" t="str">
        <f>IF(Sistema!BD206="","",Sistema!BD206)</f>
        <v/>
      </c>
      <c r="BE206" t="str">
        <f>IF(Sistema!BE206="","",Sistema!BE206)</f>
        <v/>
      </c>
      <c r="BF206" t="str">
        <f>IF(Sistema!BF206="","",Sistema!BF206)</f>
        <v/>
      </c>
      <c r="BG206" t="str">
        <f>IF(Sistema!BG206="","",Sistema!BG206)</f>
        <v/>
      </c>
      <c r="BH206" t="str">
        <f>IF(Sistema!BH206="","",Sistema!BH206)</f>
        <v/>
      </c>
      <c r="BI206" t="str">
        <f>IF(Sistema!BI206="","",Sistema!BI206)</f>
        <v/>
      </c>
      <c r="BJ206" t="str">
        <f>IF(Sistema!BJ206="","",Sistema!BJ206)</f>
        <v/>
      </c>
      <c r="BK206" t="str">
        <f>IF(Sistema!BK206="","",Sistema!BK206)</f>
        <v/>
      </c>
      <c r="BL206" t="str">
        <f>IF(Sistema!BL206="","",Sistema!BL206)</f>
        <v/>
      </c>
      <c r="BM206" t="str">
        <f>IF(Sistema!BM206="","",Sistema!BM206)</f>
        <v/>
      </c>
      <c r="BN206" t="str">
        <f>IF(Sistema!BN206="","",Sistema!BN206)</f>
        <v/>
      </c>
      <c r="BO206" t="str">
        <f>IF(Sistema!BO206="","",Sistema!BO206)</f>
        <v/>
      </c>
      <c r="BP206" t="str">
        <f>IF(Sistema!BP206="","",Sistema!BP206)</f>
        <v/>
      </c>
      <c r="BQ206" t="str">
        <f>IF(Sistema!BQ206="","",Sistema!BQ206)</f>
        <v/>
      </c>
      <c r="BR206" t="str">
        <f>IF(Sistema!BR206="","",Sistema!BR206)</f>
        <v/>
      </c>
      <c r="BS206" t="str">
        <f>IF(Sistema!BS206="","",Sistema!BS206)</f>
        <v/>
      </c>
      <c r="BT206" t="str">
        <f>IF(Sistema!BT206="","",Sistema!BT206)</f>
        <v/>
      </c>
      <c r="BU206" t="str">
        <f>IF(Sistema!BU206="","",Sistema!BU206)</f>
        <v/>
      </c>
      <c r="BV206" t="str">
        <f>IF(Sistema!BV206="","",Sistema!BV206)</f>
        <v/>
      </c>
      <c r="BW206" t="str">
        <f>IF(Sistema!BW206="","",Sistema!BW206)</f>
        <v/>
      </c>
      <c r="BX206" t="str">
        <f>IF(Sistema!BX206="","",Sistema!BX206)</f>
        <v/>
      </c>
      <c r="BY206" t="str">
        <f>IF(Sistema!BY206="","",Sistema!BY206)</f>
        <v/>
      </c>
      <c r="BZ206" t="str">
        <f>IF(Sistema!BZ206="","",Sistema!BZ206)</f>
        <v/>
      </c>
      <c r="CA206" t="str">
        <f>IF(Sistema!CA206="","",Sistema!CA206)</f>
        <v/>
      </c>
      <c r="CB206" t="str">
        <f>IF(Sistema!CB206="","",Sistema!CB206)</f>
        <v/>
      </c>
      <c r="CC206" t="str">
        <f>IF(Sistema!CC206="","",Sistema!CC206)</f>
        <v/>
      </c>
      <c r="CD206" t="str">
        <f>IF(Sistema!CD206="","",Sistema!CD206)</f>
        <v/>
      </c>
    </row>
    <row r="207" spans="1:82" x14ac:dyDescent="0.25">
      <c r="A207" t="str">
        <f>IF(Sistema!A207="","",Sistema!A207)</f>
        <v/>
      </c>
      <c r="B207" t="str">
        <f>IF(Sistema!B207="","",Sistema!B207)</f>
        <v/>
      </c>
      <c r="C207" t="str">
        <f>IF(Sistema!C207="","",Sistema!C207)</f>
        <v/>
      </c>
      <c r="D207" t="str">
        <f>IF(Sistema!D207="","",Sistema!D207)</f>
        <v/>
      </c>
      <c r="E207" t="str">
        <f>IF(Sistema!E207="","",Sistema!E207)</f>
        <v/>
      </c>
      <c r="F207">
        <f>IF(P207&gt;0,1,IF(Sistema!F207=0,-1,1))</f>
        <v>-1</v>
      </c>
      <c r="G207">
        <f>Sistema!G207</f>
        <v>0</v>
      </c>
      <c r="H207" t="str">
        <f>IF(OR(R207="notify",R207=1),"visible",IF(OR(Sistema!F207=-1,Sistema!F207=0,ISNUMBER(SEARCH("PCK",E207))),"hidden",IF(P207&gt;0,"visible","hidden")))</f>
        <v>hidden</v>
      </c>
      <c r="I207" t="str">
        <f>IF(B207="simple",IF(P207&gt;0,"",IF(R207="notify",Info!C$2,"")),IF(B207="variable",IF(P207&gt;0,"",IF(R207="notify",Info!C$4,"")),""))</f>
        <v/>
      </c>
      <c r="J207" t="str">
        <f>IF(Sistema!J207="","",Sistema!J207)</f>
        <v/>
      </c>
      <c r="M207" t="str">
        <f>IF(Sistema!M207="","",Sistema!M207)</f>
        <v/>
      </c>
      <c r="N207" s="6" t="s">
        <v>1557</v>
      </c>
      <c r="O207" s="6">
        <v>1</v>
      </c>
      <c r="P207">
        <f>Sistema!P207</f>
        <v>0</v>
      </c>
      <c r="Q207">
        <f>Sistema!Q207</f>
        <v>0</v>
      </c>
      <c r="R207">
        <f>IF(Sistema!R207=1,"notify",Sistema!R207)</f>
        <v>0</v>
      </c>
      <c r="T207" t="str">
        <f>IF(Sistema!T207="","",Sistema!T207)</f>
        <v/>
      </c>
      <c r="U207" t="str">
        <f>IF(Sistema!U207="","",Sistema!U207)</f>
        <v/>
      </c>
      <c r="V207" t="str">
        <f>IF(Sistema!V207="","",Sistema!V207)</f>
        <v/>
      </c>
      <c r="W207" t="str">
        <f>IF(Sistema!W207="","",Sistema!W207)</f>
        <v/>
      </c>
      <c r="X207" s="6">
        <v>1</v>
      </c>
      <c r="Z207" t="str">
        <f>IF(Sistema!Z207="","",Sistema!Z207)</f>
        <v/>
      </c>
      <c r="AA207" t="str">
        <f>IF(Sistema!AA207="","",Sistema!AA207)</f>
        <v/>
      </c>
      <c r="AB207" t="str">
        <f>IF(Sistema!AB207="","",IF(OR(ISNUMBER(SEARCH("MKP",E207)),ISNUMBER(SEARCH("MKP",C207))),"Marketplace &gt; "&amp;Sistema!AB207,Sistema!AB207))</f>
        <v/>
      </c>
      <c r="AC207" t="str">
        <f>IF(Sistema!AC207="","",Sistema!AC207)</f>
        <v/>
      </c>
      <c r="AE207" t="str">
        <f>IF(Sistema!AE207="","",Sistema!AE207)</f>
        <v/>
      </c>
      <c r="AH207" t="str">
        <f>IF(Sistema!AH207="","",Sistema!AH207)</f>
        <v/>
      </c>
      <c r="AQ207" t="str">
        <f>IF(Sistema!AQ207="","",Sistema!AQ207)</f>
        <v/>
      </c>
      <c r="AR207" t="str">
        <f>IF(Sistema!AR207="","",Sistema!AR207)</f>
        <v/>
      </c>
      <c r="AS207" t="str">
        <f>IF(Sistema!AS207="","",Sistema!AS207)</f>
        <v/>
      </c>
      <c r="AT207" t="str">
        <f>IF(Sistema!AT207="","",Sistema!AT207)</f>
        <v/>
      </c>
      <c r="AU207" t="str">
        <f>IF(Sistema!AU207="","",Sistema!AU207)</f>
        <v/>
      </c>
      <c r="AV207" t="str">
        <f>IF(Sistema!AV207="","",Sistema!AV207)</f>
        <v/>
      </c>
      <c r="AW207" t="str">
        <f>IF(Sistema!AW207="","",Sistema!AW207)</f>
        <v/>
      </c>
      <c r="AX207" t="str">
        <f>IF(Sistema!AX207="","",Sistema!AX207)</f>
        <v/>
      </c>
      <c r="AY207" t="str">
        <f>IF(Sistema!AY207="","",Sistema!AY207)</f>
        <v/>
      </c>
      <c r="AZ207" t="str">
        <f>IF(Sistema!AZ207="","",Sistema!AZ207)</f>
        <v/>
      </c>
      <c r="BA207" t="str">
        <f>IF(Sistema!BA207="","",Sistema!BA207)</f>
        <v/>
      </c>
      <c r="BB207" t="str">
        <f>IF(Sistema!BB207="","",Sistema!BB207)</f>
        <v/>
      </c>
      <c r="BC207" t="str">
        <f>IF(Sistema!BC207="","",Sistema!BC207)</f>
        <v/>
      </c>
      <c r="BD207" t="str">
        <f>IF(Sistema!BD207="","",Sistema!BD207)</f>
        <v/>
      </c>
      <c r="BE207" t="str">
        <f>IF(Sistema!BE207="","",Sistema!BE207)</f>
        <v/>
      </c>
      <c r="BF207" t="str">
        <f>IF(Sistema!BF207="","",Sistema!BF207)</f>
        <v/>
      </c>
      <c r="BG207" t="str">
        <f>IF(Sistema!BG207="","",Sistema!BG207)</f>
        <v/>
      </c>
      <c r="BH207" t="str">
        <f>IF(Sistema!BH207="","",Sistema!BH207)</f>
        <v/>
      </c>
      <c r="BI207" t="str">
        <f>IF(Sistema!BI207="","",Sistema!BI207)</f>
        <v/>
      </c>
      <c r="BJ207" t="str">
        <f>IF(Sistema!BJ207="","",Sistema!BJ207)</f>
        <v/>
      </c>
      <c r="BK207" t="str">
        <f>IF(Sistema!BK207="","",Sistema!BK207)</f>
        <v/>
      </c>
      <c r="BL207" t="str">
        <f>IF(Sistema!BL207="","",Sistema!BL207)</f>
        <v/>
      </c>
      <c r="BM207" t="str">
        <f>IF(Sistema!BM207="","",Sistema!BM207)</f>
        <v/>
      </c>
      <c r="BN207" t="str">
        <f>IF(Sistema!BN207="","",Sistema!BN207)</f>
        <v/>
      </c>
      <c r="BO207" t="str">
        <f>IF(Sistema!BO207="","",Sistema!BO207)</f>
        <v/>
      </c>
      <c r="BP207" t="str">
        <f>IF(Sistema!BP207="","",Sistema!BP207)</f>
        <v/>
      </c>
      <c r="BQ207" t="str">
        <f>IF(Sistema!BQ207="","",Sistema!BQ207)</f>
        <v/>
      </c>
      <c r="BR207" t="str">
        <f>IF(Sistema!BR207="","",Sistema!BR207)</f>
        <v/>
      </c>
      <c r="BS207" t="str">
        <f>IF(Sistema!BS207="","",Sistema!BS207)</f>
        <v/>
      </c>
      <c r="BT207" t="str">
        <f>IF(Sistema!BT207="","",Sistema!BT207)</f>
        <v/>
      </c>
      <c r="BU207" t="str">
        <f>IF(Sistema!BU207="","",Sistema!BU207)</f>
        <v/>
      </c>
      <c r="BV207" t="str">
        <f>IF(Sistema!BV207="","",Sistema!BV207)</f>
        <v/>
      </c>
      <c r="BW207" t="str">
        <f>IF(Sistema!BW207="","",Sistema!BW207)</f>
        <v/>
      </c>
      <c r="BX207" t="str">
        <f>IF(Sistema!BX207="","",Sistema!BX207)</f>
        <v/>
      </c>
      <c r="BY207" t="str">
        <f>IF(Sistema!BY207="","",Sistema!BY207)</f>
        <v/>
      </c>
      <c r="BZ207" t="str">
        <f>IF(Sistema!BZ207="","",Sistema!BZ207)</f>
        <v/>
      </c>
      <c r="CA207" t="str">
        <f>IF(Sistema!CA207="","",Sistema!CA207)</f>
        <v/>
      </c>
      <c r="CB207" t="str">
        <f>IF(Sistema!CB207="","",Sistema!CB207)</f>
        <v/>
      </c>
      <c r="CC207" t="str">
        <f>IF(Sistema!CC207="","",Sistema!CC207)</f>
        <v/>
      </c>
      <c r="CD207" t="str">
        <f>IF(Sistema!CD207="","",Sistema!CD207)</f>
        <v/>
      </c>
    </row>
    <row r="208" spans="1:82" x14ac:dyDescent="0.25">
      <c r="A208" t="str">
        <f>IF(Sistema!A208="","",Sistema!A208)</f>
        <v/>
      </c>
      <c r="B208" t="str">
        <f>IF(Sistema!B208="","",Sistema!B208)</f>
        <v/>
      </c>
      <c r="C208" t="str">
        <f>IF(Sistema!C208="","",Sistema!C208)</f>
        <v/>
      </c>
      <c r="D208" t="str">
        <f>IF(Sistema!D208="","",Sistema!D208)</f>
        <v/>
      </c>
      <c r="E208" t="str">
        <f>IF(Sistema!E208="","",Sistema!E208)</f>
        <v/>
      </c>
      <c r="F208">
        <f>IF(P208&gt;0,1,IF(Sistema!F208=0,-1,1))</f>
        <v>-1</v>
      </c>
      <c r="G208">
        <f>Sistema!G208</f>
        <v>0</v>
      </c>
      <c r="H208" t="str">
        <f>IF(OR(R208="notify",R208=1),"visible",IF(OR(Sistema!F208=-1,Sistema!F208=0,ISNUMBER(SEARCH("PCK",E208))),"hidden",IF(P208&gt;0,"visible","hidden")))</f>
        <v>hidden</v>
      </c>
      <c r="I208" t="str">
        <f>IF(B208="simple",IF(P208&gt;0,"",IF(R208="notify",Info!C$2,"")),IF(B208="variable",IF(P208&gt;0,"",IF(R208="notify",Info!C$4,"")),""))</f>
        <v/>
      </c>
      <c r="J208" t="str">
        <f>IF(Sistema!J208="","",Sistema!J208)</f>
        <v/>
      </c>
      <c r="M208" t="str">
        <f>IF(Sistema!M208="","",Sistema!M208)</f>
        <v/>
      </c>
      <c r="N208" s="6" t="s">
        <v>1557</v>
      </c>
      <c r="O208" s="6">
        <v>1</v>
      </c>
      <c r="P208">
        <f>Sistema!P208</f>
        <v>0</v>
      </c>
      <c r="Q208">
        <f>Sistema!Q208</f>
        <v>0</v>
      </c>
      <c r="R208">
        <f>IF(Sistema!R208=1,"notify",Sistema!R208)</f>
        <v>0</v>
      </c>
      <c r="T208" t="str">
        <f>IF(Sistema!T208="","",Sistema!T208)</f>
        <v/>
      </c>
      <c r="U208" t="str">
        <f>IF(Sistema!U208="","",Sistema!U208)</f>
        <v/>
      </c>
      <c r="V208" t="str">
        <f>IF(Sistema!V208="","",Sistema!V208)</f>
        <v/>
      </c>
      <c r="W208" t="str">
        <f>IF(Sistema!W208="","",Sistema!W208)</f>
        <v/>
      </c>
      <c r="X208" s="6">
        <v>1</v>
      </c>
      <c r="Z208" t="str">
        <f>IF(Sistema!Z208="","",Sistema!Z208)</f>
        <v/>
      </c>
      <c r="AA208" t="str">
        <f>IF(Sistema!AA208="","",Sistema!AA208)</f>
        <v/>
      </c>
      <c r="AB208" t="str">
        <f>IF(Sistema!AB208="","",IF(OR(ISNUMBER(SEARCH("MKP",E208)),ISNUMBER(SEARCH("MKP",C208))),"Marketplace &gt; "&amp;Sistema!AB208,Sistema!AB208))</f>
        <v/>
      </c>
      <c r="AC208" t="str">
        <f>IF(Sistema!AC208="","",Sistema!AC208)</f>
        <v/>
      </c>
      <c r="AE208" t="str">
        <f>IF(Sistema!AE208="","",Sistema!AE208)</f>
        <v/>
      </c>
      <c r="AH208" t="str">
        <f>IF(Sistema!AH208="","",Sistema!AH208)</f>
        <v/>
      </c>
      <c r="AQ208" t="str">
        <f>IF(Sistema!AQ208="","",Sistema!AQ208)</f>
        <v/>
      </c>
      <c r="AR208" t="str">
        <f>IF(Sistema!AR208="","",Sistema!AR208)</f>
        <v/>
      </c>
      <c r="AS208" t="str">
        <f>IF(Sistema!AS208="","",Sistema!AS208)</f>
        <v/>
      </c>
      <c r="AT208" t="str">
        <f>IF(Sistema!AT208="","",Sistema!AT208)</f>
        <v/>
      </c>
      <c r="AU208" t="str">
        <f>IF(Sistema!AU208="","",Sistema!AU208)</f>
        <v/>
      </c>
      <c r="AV208" t="str">
        <f>IF(Sistema!AV208="","",Sistema!AV208)</f>
        <v/>
      </c>
      <c r="AW208" t="str">
        <f>IF(Sistema!AW208="","",Sistema!AW208)</f>
        <v/>
      </c>
      <c r="AX208" t="str">
        <f>IF(Sistema!AX208="","",Sistema!AX208)</f>
        <v/>
      </c>
      <c r="AY208" t="str">
        <f>IF(Sistema!AY208="","",Sistema!AY208)</f>
        <v/>
      </c>
      <c r="AZ208" t="str">
        <f>IF(Sistema!AZ208="","",Sistema!AZ208)</f>
        <v/>
      </c>
      <c r="BA208" t="str">
        <f>IF(Sistema!BA208="","",Sistema!BA208)</f>
        <v/>
      </c>
      <c r="BB208" t="str">
        <f>IF(Sistema!BB208="","",Sistema!BB208)</f>
        <v/>
      </c>
      <c r="BC208" t="str">
        <f>IF(Sistema!BC208="","",Sistema!BC208)</f>
        <v/>
      </c>
      <c r="BD208" t="str">
        <f>IF(Sistema!BD208="","",Sistema!BD208)</f>
        <v/>
      </c>
      <c r="BE208" t="str">
        <f>IF(Sistema!BE208="","",Sistema!BE208)</f>
        <v/>
      </c>
      <c r="BF208" t="str">
        <f>IF(Sistema!BF208="","",Sistema!BF208)</f>
        <v/>
      </c>
      <c r="BG208" t="str">
        <f>IF(Sistema!BG208="","",Sistema!BG208)</f>
        <v/>
      </c>
      <c r="BH208" t="str">
        <f>IF(Sistema!BH208="","",Sistema!BH208)</f>
        <v/>
      </c>
      <c r="BI208" t="str">
        <f>IF(Sistema!BI208="","",Sistema!BI208)</f>
        <v/>
      </c>
      <c r="BJ208" t="str">
        <f>IF(Sistema!BJ208="","",Sistema!BJ208)</f>
        <v/>
      </c>
      <c r="BK208" t="str">
        <f>IF(Sistema!BK208="","",Sistema!BK208)</f>
        <v/>
      </c>
      <c r="BL208" t="str">
        <f>IF(Sistema!BL208="","",Sistema!BL208)</f>
        <v/>
      </c>
      <c r="BM208" t="str">
        <f>IF(Sistema!BM208="","",Sistema!BM208)</f>
        <v/>
      </c>
      <c r="BN208" t="str">
        <f>IF(Sistema!BN208="","",Sistema!BN208)</f>
        <v/>
      </c>
      <c r="BO208" t="str">
        <f>IF(Sistema!BO208="","",Sistema!BO208)</f>
        <v/>
      </c>
      <c r="BP208" t="str">
        <f>IF(Sistema!BP208="","",Sistema!BP208)</f>
        <v/>
      </c>
      <c r="BQ208" t="str">
        <f>IF(Sistema!BQ208="","",Sistema!BQ208)</f>
        <v/>
      </c>
      <c r="BR208" t="str">
        <f>IF(Sistema!BR208="","",Sistema!BR208)</f>
        <v/>
      </c>
      <c r="BS208" t="str">
        <f>IF(Sistema!BS208="","",Sistema!BS208)</f>
        <v/>
      </c>
      <c r="BT208" t="str">
        <f>IF(Sistema!BT208="","",Sistema!BT208)</f>
        <v/>
      </c>
      <c r="BU208" t="str">
        <f>IF(Sistema!BU208="","",Sistema!BU208)</f>
        <v/>
      </c>
      <c r="BV208" t="str">
        <f>IF(Sistema!BV208="","",Sistema!BV208)</f>
        <v/>
      </c>
      <c r="BW208" t="str">
        <f>IF(Sistema!BW208="","",Sistema!BW208)</f>
        <v/>
      </c>
      <c r="BX208" t="str">
        <f>IF(Sistema!BX208="","",Sistema!BX208)</f>
        <v/>
      </c>
      <c r="BY208" t="str">
        <f>IF(Sistema!BY208="","",Sistema!BY208)</f>
        <v/>
      </c>
      <c r="BZ208" t="str">
        <f>IF(Sistema!BZ208="","",Sistema!BZ208)</f>
        <v/>
      </c>
      <c r="CA208" t="str">
        <f>IF(Sistema!CA208="","",Sistema!CA208)</f>
        <v/>
      </c>
      <c r="CB208" t="str">
        <f>IF(Sistema!CB208="","",Sistema!CB208)</f>
        <v/>
      </c>
      <c r="CC208" t="str">
        <f>IF(Sistema!CC208="","",Sistema!CC208)</f>
        <v/>
      </c>
      <c r="CD208" t="str">
        <f>IF(Sistema!CD208="","",Sistema!CD208)</f>
        <v/>
      </c>
    </row>
    <row r="209" spans="1:82" x14ac:dyDescent="0.25">
      <c r="A209" t="str">
        <f>IF(Sistema!A209="","",Sistema!A209)</f>
        <v/>
      </c>
      <c r="B209" t="str">
        <f>IF(Sistema!B209="","",Sistema!B209)</f>
        <v/>
      </c>
      <c r="C209" t="str">
        <f>IF(Sistema!C209="","",Sistema!C209)</f>
        <v/>
      </c>
      <c r="D209" t="str">
        <f>IF(Sistema!D209="","",Sistema!D209)</f>
        <v/>
      </c>
      <c r="E209" t="str">
        <f>IF(Sistema!E209="","",Sistema!E209)</f>
        <v/>
      </c>
      <c r="F209">
        <f>IF(P209&gt;0,1,IF(Sistema!F209=0,-1,1))</f>
        <v>-1</v>
      </c>
      <c r="G209">
        <f>Sistema!G209</f>
        <v>0</v>
      </c>
      <c r="H209" t="str">
        <f>IF(OR(R209="notify",R209=1),"visible",IF(OR(Sistema!F209=-1,Sistema!F209=0,ISNUMBER(SEARCH("PCK",E209))),"hidden",IF(P209&gt;0,"visible","hidden")))</f>
        <v>hidden</v>
      </c>
      <c r="I209" t="str">
        <f>IF(B209="simple",IF(P209&gt;0,"",IF(R209="notify",Info!C$2,"")),IF(B209="variable",IF(P209&gt;0,"",IF(R209="notify",Info!C$4,"")),""))</f>
        <v/>
      </c>
      <c r="J209" t="str">
        <f>IF(Sistema!J209="","",Sistema!J209)</f>
        <v/>
      </c>
      <c r="M209" t="str">
        <f>IF(Sistema!M209="","",Sistema!M209)</f>
        <v/>
      </c>
      <c r="N209" s="6" t="s">
        <v>1557</v>
      </c>
      <c r="O209" s="6">
        <v>1</v>
      </c>
      <c r="P209">
        <f>Sistema!P209</f>
        <v>0</v>
      </c>
      <c r="Q209">
        <f>Sistema!Q209</f>
        <v>0</v>
      </c>
      <c r="R209">
        <f>IF(Sistema!R209=1,"notify",Sistema!R209)</f>
        <v>0</v>
      </c>
      <c r="T209" t="str">
        <f>IF(Sistema!T209="","",Sistema!T209)</f>
        <v/>
      </c>
      <c r="U209" t="str">
        <f>IF(Sistema!U209="","",Sistema!U209)</f>
        <v/>
      </c>
      <c r="V209" t="str">
        <f>IF(Sistema!V209="","",Sistema!V209)</f>
        <v/>
      </c>
      <c r="W209" t="str">
        <f>IF(Sistema!W209="","",Sistema!W209)</f>
        <v/>
      </c>
      <c r="X209" s="6">
        <v>1</v>
      </c>
      <c r="Z209" t="str">
        <f>IF(Sistema!Z209="","",Sistema!Z209)</f>
        <v/>
      </c>
      <c r="AA209" t="str">
        <f>IF(Sistema!AA209="","",Sistema!AA209)</f>
        <v/>
      </c>
      <c r="AB209" t="str">
        <f>IF(Sistema!AB209="","",IF(OR(ISNUMBER(SEARCH("MKP",E209)),ISNUMBER(SEARCH("MKP",C209))),"Marketplace &gt; "&amp;Sistema!AB209,Sistema!AB209))</f>
        <v/>
      </c>
      <c r="AC209" t="str">
        <f>IF(Sistema!AC209="","",Sistema!AC209)</f>
        <v/>
      </c>
      <c r="AE209" t="str">
        <f>IF(Sistema!AE209="","",Sistema!AE209)</f>
        <v/>
      </c>
      <c r="AH209" t="str">
        <f>IF(Sistema!AH209="","",Sistema!AH209)</f>
        <v/>
      </c>
      <c r="AQ209" t="str">
        <f>IF(Sistema!AQ209="","",Sistema!AQ209)</f>
        <v/>
      </c>
      <c r="AR209" t="str">
        <f>IF(Sistema!AR209="","",Sistema!AR209)</f>
        <v/>
      </c>
      <c r="AS209" t="str">
        <f>IF(Sistema!AS209="","",Sistema!AS209)</f>
        <v/>
      </c>
      <c r="AT209" t="str">
        <f>IF(Sistema!AT209="","",Sistema!AT209)</f>
        <v/>
      </c>
      <c r="AU209" t="str">
        <f>IF(Sistema!AU209="","",Sistema!AU209)</f>
        <v/>
      </c>
      <c r="AV209" t="str">
        <f>IF(Sistema!AV209="","",Sistema!AV209)</f>
        <v/>
      </c>
      <c r="AW209" t="str">
        <f>IF(Sistema!AW209="","",Sistema!AW209)</f>
        <v/>
      </c>
      <c r="AX209" t="str">
        <f>IF(Sistema!AX209="","",Sistema!AX209)</f>
        <v/>
      </c>
      <c r="AY209" t="str">
        <f>IF(Sistema!AY209="","",Sistema!AY209)</f>
        <v/>
      </c>
      <c r="AZ209" t="str">
        <f>IF(Sistema!AZ209="","",Sistema!AZ209)</f>
        <v/>
      </c>
      <c r="BA209" t="str">
        <f>IF(Sistema!BA209="","",Sistema!BA209)</f>
        <v/>
      </c>
      <c r="BB209" t="str">
        <f>IF(Sistema!BB209="","",Sistema!BB209)</f>
        <v/>
      </c>
      <c r="BC209" t="str">
        <f>IF(Sistema!BC209="","",Sistema!BC209)</f>
        <v/>
      </c>
      <c r="BD209" t="str">
        <f>IF(Sistema!BD209="","",Sistema!BD209)</f>
        <v/>
      </c>
      <c r="BE209" t="str">
        <f>IF(Sistema!BE209="","",Sistema!BE209)</f>
        <v/>
      </c>
      <c r="BF209" t="str">
        <f>IF(Sistema!BF209="","",Sistema!BF209)</f>
        <v/>
      </c>
      <c r="BG209" t="str">
        <f>IF(Sistema!BG209="","",Sistema!BG209)</f>
        <v/>
      </c>
      <c r="BH209" t="str">
        <f>IF(Sistema!BH209="","",Sistema!BH209)</f>
        <v/>
      </c>
      <c r="BI209" t="str">
        <f>IF(Sistema!BI209="","",Sistema!BI209)</f>
        <v/>
      </c>
      <c r="BJ209" t="str">
        <f>IF(Sistema!BJ209="","",Sistema!BJ209)</f>
        <v/>
      </c>
      <c r="BK209" t="str">
        <f>IF(Sistema!BK209="","",Sistema!BK209)</f>
        <v/>
      </c>
      <c r="BL209" t="str">
        <f>IF(Sistema!BL209="","",Sistema!BL209)</f>
        <v/>
      </c>
      <c r="BM209" t="str">
        <f>IF(Sistema!BM209="","",Sistema!BM209)</f>
        <v/>
      </c>
      <c r="BN209" t="str">
        <f>IF(Sistema!BN209="","",Sistema!BN209)</f>
        <v/>
      </c>
      <c r="BO209" t="str">
        <f>IF(Sistema!BO209="","",Sistema!BO209)</f>
        <v/>
      </c>
      <c r="BP209" t="str">
        <f>IF(Sistema!BP209="","",Sistema!BP209)</f>
        <v/>
      </c>
      <c r="BQ209" t="str">
        <f>IF(Sistema!BQ209="","",Sistema!BQ209)</f>
        <v/>
      </c>
      <c r="BR209" t="str">
        <f>IF(Sistema!BR209="","",Sistema!BR209)</f>
        <v/>
      </c>
      <c r="BS209" t="str">
        <f>IF(Sistema!BS209="","",Sistema!BS209)</f>
        <v/>
      </c>
      <c r="BT209" t="str">
        <f>IF(Sistema!BT209="","",Sistema!BT209)</f>
        <v/>
      </c>
      <c r="BU209" t="str">
        <f>IF(Sistema!BU209="","",Sistema!BU209)</f>
        <v/>
      </c>
      <c r="BV209" t="str">
        <f>IF(Sistema!BV209="","",Sistema!BV209)</f>
        <v/>
      </c>
      <c r="BW209" t="str">
        <f>IF(Sistema!BW209="","",Sistema!BW209)</f>
        <v/>
      </c>
      <c r="BX209" t="str">
        <f>IF(Sistema!BX209="","",Sistema!BX209)</f>
        <v/>
      </c>
      <c r="BY209" t="str">
        <f>IF(Sistema!BY209="","",Sistema!BY209)</f>
        <v/>
      </c>
      <c r="BZ209" t="str">
        <f>IF(Sistema!BZ209="","",Sistema!BZ209)</f>
        <v/>
      </c>
      <c r="CA209" t="str">
        <f>IF(Sistema!CA209="","",Sistema!CA209)</f>
        <v/>
      </c>
      <c r="CB209" t="str">
        <f>IF(Sistema!CB209="","",Sistema!CB209)</f>
        <v/>
      </c>
      <c r="CC209" t="str">
        <f>IF(Sistema!CC209="","",Sistema!CC209)</f>
        <v/>
      </c>
      <c r="CD209" t="str">
        <f>IF(Sistema!CD209="","",Sistema!CD209)</f>
        <v/>
      </c>
    </row>
    <row r="210" spans="1:82" x14ac:dyDescent="0.25">
      <c r="A210" t="str">
        <f>IF(Sistema!A210="","",Sistema!A210)</f>
        <v/>
      </c>
      <c r="B210" t="str">
        <f>IF(Sistema!B210="","",Sistema!B210)</f>
        <v/>
      </c>
      <c r="C210" t="str">
        <f>IF(Sistema!C210="","",Sistema!C210)</f>
        <v/>
      </c>
      <c r="D210" t="str">
        <f>IF(Sistema!D210="","",Sistema!D210)</f>
        <v/>
      </c>
      <c r="E210" t="str">
        <f>IF(Sistema!E210="","",Sistema!E210)</f>
        <v/>
      </c>
      <c r="F210">
        <f>IF(P210&gt;0,1,IF(Sistema!F210=0,-1,1))</f>
        <v>-1</v>
      </c>
      <c r="G210">
        <f>Sistema!G210</f>
        <v>0</v>
      </c>
      <c r="H210" t="str">
        <f>IF(OR(R210="notify",R210=1),"visible",IF(OR(Sistema!F210=-1,Sistema!F210=0,ISNUMBER(SEARCH("PCK",E210))),"hidden",IF(P210&gt;0,"visible","hidden")))</f>
        <v>hidden</v>
      </c>
      <c r="I210" t="str">
        <f>IF(B210="simple",IF(P210&gt;0,"",IF(R210="notify",Info!C$2,"")),IF(B210="variable",IF(P210&gt;0,"",IF(R210="notify",Info!C$4,"")),""))</f>
        <v/>
      </c>
      <c r="J210" t="str">
        <f>IF(Sistema!J210="","",Sistema!J210)</f>
        <v/>
      </c>
      <c r="M210" t="str">
        <f>IF(Sistema!M210="","",Sistema!M210)</f>
        <v/>
      </c>
      <c r="N210" s="6" t="s">
        <v>1557</v>
      </c>
      <c r="O210" s="6">
        <v>1</v>
      </c>
      <c r="P210">
        <f>Sistema!P210</f>
        <v>0</v>
      </c>
      <c r="Q210">
        <f>Sistema!Q210</f>
        <v>0</v>
      </c>
      <c r="R210">
        <f>IF(Sistema!R210=1,"notify",Sistema!R210)</f>
        <v>0</v>
      </c>
      <c r="T210" t="str">
        <f>IF(Sistema!T210="","",Sistema!T210)</f>
        <v/>
      </c>
      <c r="U210" t="str">
        <f>IF(Sistema!U210="","",Sistema!U210)</f>
        <v/>
      </c>
      <c r="V210" t="str">
        <f>IF(Sistema!V210="","",Sistema!V210)</f>
        <v/>
      </c>
      <c r="W210" t="str">
        <f>IF(Sistema!W210="","",Sistema!W210)</f>
        <v/>
      </c>
      <c r="X210" s="6">
        <v>1</v>
      </c>
      <c r="Z210" t="str">
        <f>IF(Sistema!Z210="","",Sistema!Z210)</f>
        <v/>
      </c>
      <c r="AA210" t="str">
        <f>IF(Sistema!AA210="","",Sistema!AA210)</f>
        <v/>
      </c>
      <c r="AB210" t="str">
        <f>IF(Sistema!AB210="","",IF(OR(ISNUMBER(SEARCH("MKP",E210)),ISNUMBER(SEARCH("MKP",C210))),"Marketplace &gt; "&amp;Sistema!AB210,Sistema!AB210))</f>
        <v/>
      </c>
      <c r="AC210" t="str">
        <f>IF(Sistema!AC210="","",Sistema!AC210)</f>
        <v/>
      </c>
      <c r="AE210" t="str">
        <f>IF(Sistema!AE210="","",Sistema!AE210)</f>
        <v/>
      </c>
      <c r="AH210" t="str">
        <f>IF(Sistema!AH210="","",Sistema!AH210)</f>
        <v/>
      </c>
      <c r="AQ210" t="str">
        <f>IF(Sistema!AQ210="","",Sistema!AQ210)</f>
        <v/>
      </c>
      <c r="AR210" t="str">
        <f>IF(Sistema!AR210="","",Sistema!AR210)</f>
        <v/>
      </c>
      <c r="AS210" t="str">
        <f>IF(Sistema!AS210="","",Sistema!AS210)</f>
        <v/>
      </c>
      <c r="AT210" t="str">
        <f>IF(Sistema!AT210="","",Sistema!AT210)</f>
        <v/>
      </c>
      <c r="AU210" t="str">
        <f>IF(Sistema!AU210="","",Sistema!AU210)</f>
        <v/>
      </c>
      <c r="AV210" t="str">
        <f>IF(Sistema!AV210="","",Sistema!AV210)</f>
        <v/>
      </c>
      <c r="AW210" t="str">
        <f>IF(Sistema!AW210="","",Sistema!AW210)</f>
        <v/>
      </c>
      <c r="AX210" t="str">
        <f>IF(Sistema!AX210="","",Sistema!AX210)</f>
        <v/>
      </c>
      <c r="AY210" t="str">
        <f>IF(Sistema!AY210="","",Sistema!AY210)</f>
        <v/>
      </c>
      <c r="AZ210" t="str">
        <f>IF(Sistema!AZ210="","",Sistema!AZ210)</f>
        <v/>
      </c>
      <c r="BA210" t="str">
        <f>IF(Sistema!BA210="","",Sistema!BA210)</f>
        <v/>
      </c>
      <c r="BB210" t="str">
        <f>IF(Sistema!BB210="","",Sistema!BB210)</f>
        <v/>
      </c>
      <c r="BC210" t="str">
        <f>IF(Sistema!BC210="","",Sistema!BC210)</f>
        <v/>
      </c>
      <c r="BD210" t="str">
        <f>IF(Sistema!BD210="","",Sistema!BD210)</f>
        <v/>
      </c>
      <c r="BE210" t="str">
        <f>IF(Sistema!BE210="","",Sistema!BE210)</f>
        <v/>
      </c>
      <c r="BF210" t="str">
        <f>IF(Sistema!BF210="","",Sistema!BF210)</f>
        <v/>
      </c>
      <c r="BG210" t="str">
        <f>IF(Sistema!BG210="","",Sistema!BG210)</f>
        <v/>
      </c>
      <c r="BH210" t="str">
        <f>IF(Sistema!BH210="","",Sistema!BH210)</f>
        <v/>
      </c>
      <c r="BI210" t="str">
        <f>IF(Sistema!BI210="","",Sistema!BI210)</f>
        <v/>
      </c>
      <c r="BJ210" t="str">
        <f>IF(Sistema!BJ210="","",Sistema!BJ210)</f>
        <v/>
      </c>
      <c r="BK210" t="str">
        <f>IF(Sistema!BK210="","",Sistema!BK210)</f>
        <v/>
      </c>
      <c r="BL210" t="str">
        <f>IF(Sistema!BL210="","",Sistema!BL210)</f>
        <v/>
      </c>
      <c r="BM210" t="str">
        <f>IF(Sistema!BM210="","",Sistema!BM210)</f>
        <v/>
      </c>
      <c r="BN210" t="str">
        <f>IF(Sistema!BN210="","",Sistema!BN210)</f>
        <v/>
      </c>
      <c r="BO210" t="str">
        <f>IF(Sistema!BO210="","",Sistema!BO210)</f>
        <v/>
      </c>
      <c r="BP210" t="str">
        <f>IF(Sistema!BP210="","",Sistema!BP210)</f>
        <v/>
      </c>
      <c r="BQ210" t="str">
        <f>IF(Sistema!BQ210="","",Sistema!BQ210)</f>
        <v/>
      </c>
      <c r="BR210" t="str">
        <f>IF(Sistema!BR210="","",Sistema!BR210)</f>
        <v/>
      </c>
      <c r="BS210" t="str">
        <f>IF(Sistema!BS210="","",Sistema!BS210)</f>
        <v/>
      </c>
      <c r="BT210" t="str">
        <f>IF(Sistema!BT210="","",Sistema!BT210)</f>
        <v/>
      </c>
      <c r="BU210" t="str">
        <f>IF(Sistema!BU210="","",Sistema!BU210)</f>
        <v/>
      </c>
      <c r="BV210" t="str">
        <f>IF(Sistema!BV210="","",Sistema!BV210)</f>
        <v/>
      </c>
      <c r="BW210" t="str">
        <f>IF(Sistema!BW210="","",Sistema!BW210)</f>
        <v/>
      </c>
      <c r="BX210" t="str">
        <f>IF(Sistema!BX210="","",Sistema!BX210)</f>
        <v/>
      </c>
      <c r="BY210" t="str">
        <f>IF(Sistema!BY210="","",Sistema!BY210)</f>
        <v/>
      </c>
      <c r="BZ210" t="str">
        <f>IF(Sistema!BZ210="","",Sistema!BZ210)</f>
        <v/>
      </c>
      <c r="CA210" t="str">
        <f>IF(Sistema!CA210="","",Sistema!CA210)</f>
        <v/>
      </c>
      <c r="CB210" t="str">
        <f>IF(Sistema!CB210="","",Sistema!CB210)</f>
        <v/>
      </c>
      <c r="CC210" t="str">
        <f>IF(Sistema!CC210="","",Sistema!CC210)</f>
        <v/>
      </c>
      <c r="CD210" t="str">
        <f>IF(Sistema!CD210="","",Sistema!CD210)</f>
        <v/>
      </c>
    </row>
    <row r="211" spans="1:82" x14ac:dyDescent="0.25">
      <c r="A211" t="str">
        <f>IF(Sistema!A211="","",Sistema!A211)</f>
        <v/>
      </c>
      <c r="B211" t="str">
        <f>IF(Sistema!B211="","",Sistema!B211)</f>
        <v/>
      </c>
      <c r="C211" t="str">
        <f>IF(Sistema!C211="","",Sistema!C211)</f>
        <v/>
      </c>
      <c r="D211" t="str">
        <f>IF(Sistema!D211="","",Sistema!D211)</f>
        <v/>
      </c>
      <c r="E211" t="str">
        <f>IF(Sistema!E211="","",Sistema!E211)</f>
        <v/>
      </c>
      <c r="F211">
        <f>IF(P211&gt;0,1,IF(Sistema!F211=0,-1,1))</f>
        <v>-1</v>
      </c>
      <c r="G211">
        <f>Sistema!G211</f>
        <v>0</v>
      </c>
      <c r="H211" t="str">
        <f>IF(OR(R211="notify",R211=1),"visible",IF(OR(Sistema!F211=-1,Sistema!F211=0,ISNUMBER(SEARCH("PCK",E211))),"hidden",IF(P211&gt;0,"visible","hidden")))</f>
        <v>hidden</v>
      </c>
      <c r="I211" t="str">
        <f>IF(B211="simple",IF(P211&gt;0,"",IF(R211="notify",Info!C$2,"")),IF(B211="variable",IF(P211&gt;0,"",IF(R211="notify",Info!C$4,"")),""))</f>
        <v/>
      </c>
      <c r="J211" t="str">
        <f>IF(Sistema!J211="","",Sistema!J211)</f>
        <v/>
      </c>
      <c r="M211" t="str">
        <f>IF(Sistema!M211="","",Sistema!M211)</f>
        <v/>
      </c>
      <c r="N211" s="6" t="s">
        <v>1557</v>
      </c>
      <c r="O211" s="6">
        <v>1</v>
      </c>
      <c r="P211">
        <f>Sistema!P211</f>
        <v>0</v>
      </c>
      <c r="Q211">
        <f>Sistema!Q211</f>
        <v>0</v>
      </c>
      <c r="R211">
        <f>IF(Sistema!R211=1,"notify",Sistema!R211)</f>
        <v>0</v>
      </c>
      <c r="T211" t="str">
        <f>IF(Sistema!T211="","",Sistema!T211)</f>
        <v/>
      </c>
      <c r="U211" t="str">
        <f>IF(Sistema!U211="","",Sistema!U211)</f>
        <v/>
      </c>
      <c r="V211" t="str">
        <f>IF(Sistema!V211="","",Sistema!V211)</f>
        <v/>
      </c>
      <c r="W211" t="str">
        <f>IF(Sistema!W211="","",Sistema!W211)</f>
        <v/>
      </c>
      <c r="X211" s="6">
        <v>1</v>
      </c>
      <c r="Z211" t="str">
        <f>IF(Sistema!Z211="","",Sistema!Z211)</f>
        <v/>
      </c>
      <c r="AA211" t="str">
        <f>IF(Sistema!AA211="","",Sistema!AA211)</f>
        <v/>
      </c>
      <c r="AB211" t="str">
        <f>IF(Sistema!AB211="","",IF(OR(ISNUMBER(SEARCH("MKP",E211)),ISNUMBER(SEARCH("MKP",C211))),"Marketplace &gt; "&amp;Sistema!AB211,Sistema!AB211))</f>
        <v/>
      </c>
      <c r="AC211" t="str">
        <f>IF(Sistema!AC211="","",Sistema!AC211)</f>
        <v/>
      </c>
      <c r="AE211" t="str">
        <f>IF(Sistema!AE211="","",Sistema!AE211)</f>
        <v/>
      </c>
      <c r="AH211" t="str">
        <f>IF(Sistema!AH211="","",Sistema!AH211)</f>
        <v/>
      </c>
      <c r="AQ211" t="str">
        <f>IF(Sistema!AQ211="","",Sistema!AQ211)</f>
        <v/>
      </c>
      <c r="AR211" t="str">
        <f>IF(Sistema!AR211="","",Sistema!AR211)</f>
        <v/>
      </c>
      <c r="AS211" t="str">
        <f>IF(Sistema!AS211="","",Sistema!AS211)</f>
        <v/>
      </c>
      <c r="AT211" t="str">
        <f>IF(Sistema!AT211="","",Sistema!AT211)</f>
        <v/>
      </c>
      <c r="AU211" t="str">
        <f>IF(Sistema!AU211="","",Sistema!AU211)</f>
        <v/>
      </c>
      <c r="AV211" t="str">
        <f>IF(Sistema!AV211="","",Sistema!AV211)</f>
        <v/>
      </c>
      <c r="AW211" t="str">
        <f>IF(Sistema!AW211="","",Sistema!AW211)</f>
        <v/>
      </c>
      <c r="AX211" t="str">
        <f>IF(Sistema!AX211="","",Sistema!AX211)</f>
        <v/>
      </c>
      <c r="AY211" t="str">
        <f>IF(Sistema!AY211="","",Sistema!AY211)</f>
        <v/>
      </c>
      <c r="AZ211" t="str">
        <f>IF(Sistema!AZ211="","",Sistema!AZ211)</f>
        <v/>
      </c>
      <c r="BA211" t="str">
        <f>IF(Sistema!BA211="","",Sistema!BA211)</f>
        <v/>
      </c>
      <c r="BB211" t="str">
        <f>IF(Sistema!BB211="","",Sistema!BB211)</f>
        <v/>
      </c>
      <c r="BC211" t="str">
        <f>IF(Sistema!BC211="","",Sistema!BC211)</f>
        <v/>
      </c>
      <c r="BD211" t="str">
        <f>IF(Sistema!BD211="","",Sistema!BD211)</f>
        <v/>
      </c>
      <c r="BE211" t="str">
        <f>IF(Sistema!BE211="","",Sistema!BE211)</f>
        <v/>
      </c>
      <c r="BF211" t="str">
        <f>IF(Sistema!BF211="","",Sistema!BF211)</f>
        <v/>
      </c>
      <c r="BG211" t="str">
        <f>IF(Sistema!BG211="","",Sistema!BG211)</f>
        <v/>
      </c>
      <c r="BH211" t="str">
        <f>IF(Sistema!BH211="","",Sistema!BH211)</f>
        <v/>
      </c>
      <c r="BI211" t="str">
        <f>IF(Sistema!BI211="","",Sistema!BI211)</f>
        <v/>
      </c>
      <c r="BJ211" t="str">
        <f>IF(Sistema!BJ211="","",Sistema!BJ211)</f>
        <v/>
      </c>
      <c r="BK211" t="str">
        <f>IF(Sistema!BK211="","",Sistema!BK211)</f>
        <v/>
      </c>
      <c r="BL211" t="str">
        <f>IF(Sistema!BL211="","",Sistema!BL211)</f>
        <v/>
      </c>
      <c r="BM211" t="str">
        <f>IF(Sistema!BM211="","",Sistema!BM211)</f>
        <v/>
      </c>
      <c r="BN211" t="str">
        <f>IF(Sistema!BN211="","",Sistema!BN211)</f>
        <v/>
      </c>
      <c r="BO211" t="str">
        <f>IF(Sistema!BO211="","",Sistema!BO211)</f>
        <v/>
      </c>
      <c r="BP211" t="str">
        <f>IF(Sistema!BP211="","",Sistema!BP211)</f>
        <v/>
      </c>
      <c r="BQ211" t="str">
        <f>IF(Sistema!BQ211="","",Sistema!BQ211)</f>
        <v/>
      </c>
      <c r="BR211" t="str">
        <f>IF(Sistema!BR211="","",Sistema!BR211)</f>
        <v/>
      </c>
      <c r="BS211" t="str">
        <f>IF(Sistema!BS211="","",Sistema!BS211)</f>
        <v/>
      </c>
      <c r="BT211" t="str">
        <f>IF(Sistema!BT211="","",Sistema!BT211)</f>
        <v/>
      </c>
      <c r="BU211" t="str">
        <f>IF(Sistema!BU211="","",Sistema!BU211)</f>
        <v/>
      </c>
      <c r="BV211" t="str">
        <f>IF(Sistema!BV211="","",Sistema!BV211)</f>
        <v/>
      </c>
      <c r="BW211" t="str">
        <f>IF(Sistema!BW211="","",Sistema!BW211)</f>
        <v/>
      </c>
      <c r="BX211" t="str">
        <f>IF(Sistema!BX211="","",Sistema!BX211)</f>
        <v/>
      </c>
      <c r="BY211" t="str">
        <f>IF(Sistema!BY211="","",Sistema!BY211)</f>
        <v/>
      </c>
      <c r="BZ211" t="str">
        <f>IF(Sistema!BZ211="","",Sistema!BZ211)</f>
        <v/>
      </c>
      <c r="CA211" t="str">
        <f>IF(Sistema!CA211="","",Sistema!CA211)</f>
        <v/>
      </c>
      <c r="CB211" t="str">
        <f>IF(Sistema!CB211="","",Sistema!CB211)</f>
        <v/>
      </c>
      <c r="CC211" t="str">
        <f>IF(Sistema!CC211="","",Sistema!CC211)</f>
        <v/>
      </c>
      <c r="CD211" t="str">
        <f>IF(Sistema!CD211="","",Sistema!CD211)</f>
        <v/>
      </c>
    </row>
    <row r="212" spans="1:82" x14ac:dyDescent="0.25">
      <c r="A212" t="str">
        <f>IF(Sistema!A212="","",Sistema!A212)</f>
        <v/>
      </c>
      <c r="B212" t="str">
        <f>IF(Sistema!B212="","",Sistema!B212)</f>
        <v/>
      </c>
      <c r="C212" t="str">
        <f>IF(Sistema!C212="","",Sistema!C212)</f>
        <v/>
      </c>
      <c r="D212" t="str">
        <f>IF(Sistema!D212="","",Sistema!D212)</f>
        <v/>
      </c>
      <c r="E212" t="str">
        <f>IF(Sistema!E212="","",Sistema!E212)</f>
        <v/>
      </c>
      <c r="F212">
        <f>IF(P212&gt;0,1,IF(Sistema!F212=0,-1,1))</f>
        <v>-1</v>
      </c>
      <c r="G212">
        <f>Sistema!G212</f>
        <v>0</v>
      </c>
      <c r="H212" t="str">
        <f>IF(OR(R212="notify",R212=1),"visible",IF(OR(Sistema!F212=-1,Sistema!F212=0,ISNUMBER(SEARCH("PCK",E212))),"hidden",IF(P212&gt;0,"visible","hidden")))</f>
        <v>hidden</v>
      </c>
      <c r="I212" t="str">
        <f>IF(B212="simple",IF(P212&gt;0,"",IF(R212="notify",Info!C$2,"")),IF(B212="variable",IF(P212&gt;0,"",IF(R212="notify",Info!C$4,"")),""))</f>
        <v/>
      </c>
      <c r="J212" t="str">
        <f>IF(Sistema!J212="","",Sistema!J212)</f>
        <v/>
      </c>
      <c r="M212" t="str">
        <f>IF(Sistema!M212="","",Sistema!M212)</f>
        <v/>
      </c>
      <c r="N212" s="6" t="s">
        <v>1557</v>
      </c>
      <c r="O212" s="6">
        <v>1</v>
      </c>
      <c r="P212">
        <f>Sistema!P212</f>
        <v>0</v>
      </c>
      <c r="Q212">
        <f>Sistema!Q212</f>
        <v>0</v>
      </c>
      <c r="R212">
        <f>IF(Sistema!R212=1,"notify",Sistema!R212)</f>
        <v>0</v>
      </c>
      <c r="T212" t="str">
        <f>IF(Sistema!T212="","",Sistema!T212)</f>
        <v/>
      </c>
      <c r="U212" t="str">
        <f>IF(Sistema!U212="","",Sistema!U212)</f>
        <v/>
      </c>
      <c r="V212" t="str">
        <f>IF(Sistema!V212="","",Sistema!V212)</f>
        <v/>
      </c>
      <c r="W212" t="str">
        <f>IF(Sistema!W212="","",Sistema!W212)</f>
        <v/>
      </c>
      <c r="X212" s="6">
        <v>1</v>
      </c>
      <c r="Z212" t="str">
        <f>IF(Sistema!Z212="","",Sistema!Z212)</f>
        <v/>
      </c>
      <c r="AA212" t="str">
        <f>IF(Sistema!AA212="","",Sistema!AA212)</f>
        <v/>
      </c>
      <c r="AB212" t="str">
        <f>IF(Sistema!AB212="","",IF(OR(ISNUMBER(SEARCH("MKP",E212)),ISNUMBER(SEARCH("MKP",C212))),"Marketplace &gt; "&amp;Sistema!AB212,Sistema!AB212))</f>
        <v/>
      </c>
      <c r="AC212" t="str">
        <f>IF(Sistema!AC212="","",Sistema!AC212)</f>
        <v/>
      </c>
      <c r="AE212" t="str">
        <f>IF(Sistema!AE212="","",Sistema!AE212)</f>
        <v/>
      </c>
      <c r="AH212" t="str">
        <f>IF(Sistema!AH212="","",Sistema!AH212)</f>
        <v/>
      </c>
      <c r="AQ212" t="str">
        <f>IF(Sistema!AQ212="","",Sistema!AQ212)</f>
        <v/>
      </c>
      <c r="AR212" t="str">
        <f>IF(Sistema!AR212="","",Sistema!AR212)</f>
        <v/>
      </c>
      <c r="AS212" t="str">
        <f>IF(Sistema!AS212="","",Sistema!AS212)</f>
        <v/>
      </c>
      <c r="AT212" t="str">
        <f>IF(Sistema!AT212="","",Sistema!AT212)</f>
        <v/>
      </c>
      <c r="AU212" t="str">
        <f>IF(Sistema!AU212="","",Sistema!AU212)</f>
        <v/>
      </c>
      <c r="AV212" t="str">
        <f>IF(Sistema!AV212="","",Sistema!AV212)</f>
        <v/>
      </c>
      <c r="AW212" t="str">
        <f>IF(Sistema!AW212="","",Sistema!AW212)</f>
        <v/>
      </c>
      <c r="AX212" t="str">
        <f>IF(Sistema!AX212="","",Sistema!AX212)</f>
        <v/>
      </c>
      <c r="AY212" t="str">
        <f>IF(Sistema!AY212="","",Sistema!AY212)</f>
        <v/>
      </c>
      <c r="AZ212" t="str">
        <f>IF(Sistema!AZ212="","",Sistema!AZ212)</f>
        <v/>
      </c>
      <c r="BA212" t="str">
        <f>IF(Sistema!BA212="","",Sistema!BA212)</f>
        <v/>
      </c>
      <c r="BB212" t="str">
        <f>IF(Sistema!BB212="","",Sistema!BB212)</f>
        <v/>
      </c>
      <c r="BC212" t="str">
        <f>IF(Sistema!BC212="","",Sistema!BC212)</f>
        <v/>
      </c>
      <c r="BD212" t="str">
        <f>IF(Sistema!BD212="","",Sistema!BD212)</f>
        <v/>
      </c>
      <c r="BE212" t="str">
        <f>IF(Sistema!BE212="","",Sistema!BE212)</f>
        <v/>
      </c>
      <c r="BF212" t="str">
        <f>IF(Sistema!BF212="","",Sistema!BF212)</f>
        <v/>
      </c>
      <c r="BG212" t="str">
        <f>IF(Sistema!BG212="","",Sistema!BG212)</f>
        <v/>
      </c>
      <c r="BH212" t="str">
        <f>IF(Sistema!BH212="","",Sistema!BH212)</f>
        <v/>
      </c>
      <c r="BI212" t="str">
        <f>IF(Sistema!BI212="","",Sistema!BI212)</f>
        <v/>
      </c>
      <c r="BJ212" t="str">
        <f>IF(Sistema!BJ212="","",Sistema!BJ212)</f>
        <v/>
      </c>
      <c r="BK212" t="str">
        <f>IF(Sistema!BK212="","",Sistema!BK212)</f>
        <v/>
      </c>
      <c r="BL212" t="str">
        <f>IF(Sistema!BL212="","",Sistema!BL212)</f>
        <v/>
      </c>
      <c r="BM212" t="str">
        <f>IF(Sistema!BM212="","",Sistema!BM212)</f>
        <v/>
      </c>
      <c r="BN212" t="str">
        <f>IF(Sistema!BN212="","",Sistema!BN212)</f>
        <v/>
      </c>
      <c r="BO212" t="str">
        <f>IF(Sistema!BO212="","",Sistema!BO212)</f>
        <v/>
      </c>
      <c r="BP212" t="str">
        <f>IF(Sistema!BP212="","",Sistema!BP212)</f>
        <v/>
      </c>
      <c r="BQ212" t="str">
        <f>IF(Sistema!BQ212="","",Sistema!BQ212)</f>
        <v/>
      </c>
      <c r="BR212" t="str">
        <f>IF(Sistema!BR212="","",Sistema!BR212)</f>
        <v/>
      </c>
      <c r="BS212" t="str">
        <f>IF(Sistema!BS212="","",Sistema!BS212)</f>
        <v/>
      </c>
      <c r="BT212" t="str">
        <f>IF(Sistema!BT212="","",Sistema!BT212)</f>
        <v/>
      </c>
      <c r="BU212" t="str">
        <f>IF(Sistema!BU212="","",Sistema!BU212)</f>
        <v/>
      </c>
      <c r="BV212" t="str">
        <f>IF(Sistema!BV212="","",Sistema!BV212)</f>
        <v/>
      </c>
      <c r="BW212" t="str">
        <f>IF(Sistema!BW212="","",Sistema!BW212)</f>
        <v/>
      </c>
      <c r="BX212" t="str">
        <f>IF(Sistema!BX212="","",Sistema!BX212)</f>
        <v/>
      </c>
      <c r="BY212" t="str">
        <f>IF(Sistema!BY212="","",Sistema!BY212)</f>
        <v/>
      </c>
      <c r="BZ212" t="str">
        <f>IF(Sistema!BZ212="","",Sistema!BZ212)</f>
        <v/>
      </c>
      <c r="CA212" t="str">
        <f>IF(Sistema!CA212="","",Sistema!CA212)</f>
        <v/>
      </c>
      <c r="CB212" t="str">
        <f>IF(Sistema!CB212="","",Sistema!CB212)</f>
        <v/>
      </c>
      <c r="CC212" t="str">
        <f>IF(Sistema!CC212="","",Sistema!CC212)</f>
        <v/>
      </c>
      <c r="CD212" t="str">
        <f>IF(Sistema!CD212="","",Sistema!CD212)</f>
        <v/>
      </c>
    </row>
    <row r="213" spans="1:82" x14ac:dyDescent="0.25">
      <c r="A213" t="str">
        <f>IF(Sistema!A213="","",Sistema!A213)</f>
        <v/>
      </c>
      <c r="B213" t="str">
        <f>IF(Sistema!B213="","",Sistema!B213)</f>
        <v/>
      </c>
      <c r="C213" t="str">
        <f>IF(Sistema!C213="","",Sistema!C213)</f>
        <v/>
      </c>
      <c r="D213" t="str">
        <f>IF(Sistema!D213="","",Sistema!D213)</f>
        <v/>
      </c>
      <c r="E213" t="str">
        <f>IF(Sistema!E213="","",Sistema!E213)</f>
        <v/>
      </c>
      <c r="F213">
        <f>IF(P213&gt;0,1,IF(Sistema!F213=0,-1,1))</f>
        <v>-1</v>
      </c>
      <c r="G213">
        <f>Sistema!G213</f>
        <v>0</v>
      </c>
      <c r="H213" t="str">
        <f>IF(OR(R213="notify",R213=1),"visible",IF(OR(Sistema!F213=-1,Sistema!F213=0,ISNUMBER(SEARCH("PCK",E213))),"hidden",IF(P213&gt;0,"visible","hidden")))</f>
        <v>hidden</v>
      </c>
      <c r="I213" t="str">
        <f>IF(B213="simple",IF(P213&gt;0,"",IF(R213="notify",Info!C$2,"")),IF(B213="variable",IF(P213&gt;0,"",IF(R213="notify",Info!C$4,"")),""))</f>
        <v/>
      </c>
      <c r="J213" t="str">
        <f>IF(Sistema!J213="","",Sistema!J213)</f>
        <v/>
      </c>
      <c r="M213" t="str">
        <f>IF(Sistema!M213="","",Sistema!M213)</f>
        <v/>
      </c>
      <c r="N213" s="6" t="s">
        <v>1557</v>
      </c>
      <c r="O213" s="6">
        <v>1</v>
      </c>
      <c r="P213">
        <f>Sistema!P213</f>
        <v>0</v>
      </c>
      <c r="Q213">
        <f>Sistema!Q213</f>
        <v>0</v>
      </c>
      <c r="R213">
        <f>IF(Sistema!R213=1,"notify",Sistema!R213)</f>
        <v>0</v>
      </c>
      <c r="T213" t="str">
        <f>IF(Sistema!T213="","",Sistema!T213)</f>
        <v/>
      </c>
      <c r="U213" t="str">
        <f>IF(Sistema!U213="","",Sistema!U213)</f>
        <v/>
      </c>
      <c r="V213" t="str">
        <f>IF(Sistema!V213="","",Sistema!V213)</f>
        <v/>
      </c>
      <c r="W213" t="str">
        <f>IF(Sistema!W213="","",Sistema!W213)</f>
        <v/>
      </c>
      <c r="X213" s="6">
        <v>1</v>
      </c>
      <c r="Z213" t="str">
        <f>IF(Sistema!Z213="","",Sistema!Z213)</f>
        <v/>
      </c>
      <c r="AA213" t="str">
        <f>IF(Sistema!AA213="","",Sistema!AA213)</f>
        <v/>
      </c>
      <c r="AB213" t="str">
        <f>IF(Sistema!AB213="","",IF(OR(ISNUMBER(SEARCH("MKP",E213)),ISNUMBER(SEARCH("MKP",C213))),"Marketplace &gt; "&amp;Sistema!AB213,Sistema!AB213))</f>
        <v/>
      </c>
      <c r="AC213" t="str">
        <f>IF(Sistema!AC213="","",Sistema!AC213)</f>
        <v/>
      </c>
      <c r="AE213" t="str">
        <f>IF(Sistema!AE213="","",Sistema!AE213)</f>
        <v/>
      </c>
      <c r="AH213" t="str">
        <f>IF(Sistema!AH213="","",Sistema!AH213)</f>
        <v/>
      </c>
      <c r="AQ213" t="str">
        <f>IF(Sistema!AQ213="","",Sistema!AQ213)</f>
        <v/>
      </c>
      <c r="AR213" t="str">
        <f>IF(Sistema!AR213="","",Sistema!AR213)</f>
        <v/>
      </c>
      <c r="AS213" t="str">
        <f>IF(Sistema!AS213="","",Sistema!AS213)</f>
        <v/>
      </c>
      <c r="AT213" t="str">
        <f>IF(Sistema!AT213="","",Sistema!AT213)</f>
        <v/>
      </c>
      <c r="AU213" t="str">
        <f>IF(Sistema!AU213="","",Sistema!AU213)</f>
        <v/>
      </c>
      <c r="AV213" t="str">
        <f>IF(Sistema!AV213="","",Sistema!AV213)</f>
        <v/>
      </c>
      <c r="AW213" t="str">
        <f>IF(Sistema!AW213="","",Sistema!AW213)</f>
        <v/>
      </c>
      <c r="AX213" t="str">
        <f>IF(Sistema!AX213="","",Sistema!AX213)</f>
        <v/>
      </c>
      <c r="AY213" t="str">
        <f>IF(Sistema!AY213="","",Sistema!AY213)</f>
        <v/>
      </c>
      <c r="AZ213" t="str">
        <f>IF(Sistema!AZ213="","",Sistema!AZ213)</f>
        <v/>
      </c>
      <c r="BA213" t="str">
        <f>IF(Sistema!BA213="","",Sistema!BA213)</f>
        <v/>
      </c>
      <c r="BB213" t="str">
        <f>IF(Sistema!BB213="","",Sistema!BB213)</f>
        <v/>
      </c>
      <c r="BC213" t="str">
        <f>IF(Sistema!BC213="","",Sistema!BC213)</f>
        <v/>
      </c>
      <c r="BD213" t="str">
        <f>IF(Sistema!BD213="","",Sistema!BD213)</f>
        <v/>
      </c>
      <c r="BE213" t="str">
        <f>IF(Sistema!BE213="","",Sistema!BE213)</f>
        <v/>
      </c>
      <c r="BF213" t="str">
        <f>IF(Sistema!BF213="","",Sistema!BF213)</f>
        <v/>
      </c>
      <c r="BG213" t="str">
        <f>IF(Sistema!BG213="","",Sistema!BG213)</f>
        <v/>
      </c>
      <c r="BH213" t="str">
        <f>IF(Sistema!BH213="","",Sistema!BH213)</f>
        <v/>
      </c>
      <c r="BI213" t="str">
        <f>IF(Sistema!BI213="","",Sistema!BI213)</f>
        <v/>
      </c>
      <c r="BJ213" t="str">
        <f>IF(Sistema!BJ213="","",Sistema!BJ213)</f>
        <v/>
      </c>
      <c r="BK213" t="str">
        <f>IF(Sistema!BK213="","",Sistema!BK213)</f>
        <v/>
      </c>
      <c r="BL213" t="str">
        <f>IF(Sistema!BL213="","",Sistema!BL213)</f>
        <v/>
      </c>
      <c r="BM213" t="str">
        <f>IF(Sistema!BM213="","",Sistema!BM213)</f>
        <v/>
      </c>
      <c r="BN213" t="str">
        <f>IF(Sistema!BN213="","",Sistema!BN213)</f>
        <v/>
      </c>
      <c r="BO213" t="str">
        <f>IF(Sistema!BO213="","",Sistema!BO213)</f>
        <v/>
      </c>
      <c r="BP213" t="str">
        <f>IF(Sistema!BP213="","",Sistema!BP213)</f>
        <v/>
      </c>
      <c r="BQ213" t="str">
        <f>IF(Sistema!BQ213="","",Sistema!BQ213)</f>
        <v/>
      </c>
      <c r="BR213" t="str">
        <f>IF(Sistema!BR213="","",Sistema!BR213)</f>
        <v/>
      </c>
      <c r="BS213" t="str">
        <f>IF(Sistema!BS213="","",Sistema!BS213)</f>
        <v/>
      </c>
      <c r="BT213" t="str">
        <f>IF(Sistema!BT213="","",Sistema!BT213)</f>
        <v/>
      </c>
      <c r="BU213" t="str">
        <f>IF(Sistema!BU213="","",Sistema!BU213)</f>
        <v/>
      </c>
      <c r="BV213" t="str">
        <f>IF(Sistema!BV213="","",Sistema!BV213)</f>
        <v/>
      </c>
      <c r="BW213" t="str">
        <f>IF(Sistema!BW213="","",Sistema!BW213)</f>
        <v/>
      </c>
      <c r="BX213" t="str">
        <f>IF(Sistema!BX213="","",Sistema!BX213)</f>
        <v/>
      </c>
      <c r="BY213" t="str">
        <f>IF(Sistema!BY213="","",Sistema!BY213)</f>
        <v/>
      </c>
      <c r="BZ213" t="str">
        <f>IF(Sistema!BZ213="","",Sistema!BZ213)</f>
        <v/>
      </c>
      <c r="CA213" t="str">
        <f>IF(Sistema!CA213="","",Sistema!CA213)</f>
        <v/>
      </c>
      <c r="CB213" t="str">
        <f>IF(Sistema!CB213="","",Sistema!CB213)</f>
        <v/>
      </c>
      <c r="CC213" t="str">
        <f>IF(Sistema!CC213="","",Sistema!CC213)</f>
        <v/>
      </c>
      <c r="CD213" t="str">
        <f>IF(Sistema!CD213="","",Sistema!CD213)</f>
        <v/>
      </c>
    </row>
    <row r="214" spans="1:82" x14ac:dyDescent="0.25">
      <c r="A214" t="str">
        <f>IF(Sistema!A214="","",Sistema!A214)</f>
        <v/>
      </c>
      <c r="B214" t="str">
        <f>IF(Sistema!B214="","",Sistema!B214)</f>
        <v/>
      </c>
      <c r="C214" t="str">
        <f>IF(Sistema!C214="","",Sistema!C214)</f>
        <v/>
      </c>
      <c r="D214" t="str">
        <f>IF(Sistema!D214="","",Sistema!D214)</f>
        <v/>
      </c>
      <c r="E214" t="str">
        <f>IF(Sistema!E214="","",Sistema!E214)</f>
        <v/>
      </c>
      <c r="F214">
        <f>IF(P214&gt;0,1,IF(Sistema!F214=0,-1,1))</f>
        <v>-1</v>
      </c>
      <c r="G214">
        <f>Sistema!G214</f>
        <v>0</v>
      </c>
      <c r="H214" t="str">
        <f>IF(OR(R214="notify",R214=1),"visible",IF(OR(Sistema!F214=-1,Sistema!F214=0,ISNUMBER(SEARCH("PCK",E214))),"hidden",IF(P214&gt;0,"visible","hidden")))</f>
        <v>hidden</v>
      </c>
      <c r="I214" t="str">
        <f>IF(B214="simple",IF(P214&gt;0,"",IF(R214="notify",Info!C$2,"")),IF(B214="variable",IF(P214&gt;0,"",IF(R214="notify",Info!C$4,"")),""))</f>
        <v/>
      </c>
      <c r="J214" t="str">
        <f>IF(Sistema!J214="","",Sistema!J214)</f>
        <v/>
      </c>
      <c r="M214" t="str">
        <f>IF(Sistema!M214="","",Sistema!M214)</f>
        <v/>
      </c>
      <c r="N214" s="6" t="s">
        <v>1557</v>
      </c>
      <c r="O214" s="6">
        <v>1</v>
      </c>
      <c r="P214">
        <f>Sistema!P214</f>
        <v>0</v>
      </c>
      <c r="Q214">
        <f>Sistema!Q214</f>
        <v>0</v>
      </c>
      <c r="R214">
        <f>IF(Sistema!R214=1,"notify",Sistema!R214)</f>
        <v>0</v>
      </c>
      <c r="T214" t="str">
        <f>IF(Sistema!T214="","",Sistema!T214)</f>
        <v/>
      </c>
      <c r="U214" t="str">
        <f>IF(Sistema!U214="","",Sistema!U214)</f>
        <v/>
      </c>
      <c r="V214" t="str">
        <f>IF(Sistema!V214="","",Sistema!V214)</f>
        <v/>
      </c>
      <c r="W214" t="str">
        <f>IF(Sistema!W214="","",Sistema!W214)</f>
        <v/>
      </c>
      <c r="X214" s="6">
        <v>1</v>
      </c>
      <c r="Z214" t="str">
        <f>IF(Sistema!Z214="","",Sistema!Z214)</f>
        <v/>
      </c>
      <c r="AA214" t="str">
        <f>IF(Sistema!AA214="","",Sistema!AA214)</f>
        <v/>
      </c>
      <c r="AB214" t="str">
        <f>IF(Sistema!AB214="","",IF(OR(ISNUMBER(SEARCH("MKP",E214)),ISNUMBER(SEARCH("MKP",C214))),"Marketplace &gt; "&amp;Sistema!AB214,Sistema!AB214))</f>
        <v/>
      </c>
      <c r="AC214" t="str">
        <f>IF(Sistema!AC214="","",Sistema!AC214)</f>
        <v/>
      </c>
      <c r="AE214" t="str">
        <f>IF(Sistema!AE214="","",Sistema!AE214)</f>
        <v/>
      </c>
      <c r="AH214" t="str">
        <f>IF(Sistema!AH214="","",Sistema!AH214)</f>
        <v/>
      </c>
      <c r="AQ214" t="str">
        <f>IF(Sistema!AQ214="","",Sistema!AQ214)</f>
        <v/>
      </c>
      <c r="AR214" t="str">
        <f>IF(Sistema!AR214="","",Sistema!AR214)</f>
        <v/>
      </c>
      <c r="AS214" t="str">
        <f>IF(Sistema!AS214="","",Sistema!AS214)</f>
        <v/>
      </c>
      <c r="AT214" t="str">
        <f>IF(Sistema!AT214="","",Sistema!AT214)</f>
        <v/>
      </c>
      <c r="AU214" t="str">
        <f>IF(Sistema!AU214="","",Sistema!AU214)</f>
        <v/>
      </c>
      <c r="AV214" t="str">
        <f>IF(Sistema!AV214="","",Sistema!AV214)</f>
        <v/>
      </c>
      <c r="AW214" t="str">
        <f>IF(Sistema!AW214="","",Sistema!AW214)</f>
        <v/>
      </c>
      <c r="AX214" t="str">
        <f>IF(Sistema!AX214="","",Sistema!AX214)</f>
        <v/>
      </c>
      <c r="AY214" t="str">
        <f>IF(Sistema!AY214="","",Sistema!AY214)</f>
        <v/>
      </c>
      <c r="AZ214" t="str">
        <f>IF(Sistema!AZ214="","",Sistema!AZ214)</f>
        <v/>
      </c>
      <c r="BA214" t="str">
        <f>IF(Sistema!BA214="","",Sistema!BA214)</f>
        <v/>
      </c>
      <c r="BB214" t="str">
        <f>IF(Sistema!BB214="","",Sistema!BB214)</f>
        <v/>
      </c>
      <c r="BC214" t="str">
        <f>IF(Sistema!BC214="","",Sistema!BC214)</f>
        <v/>
      </c>
      <c r="BD214" t="str">
        <f>IF(Sistema!BD214="","",Sistema!BD214)</f>
        <v/>
      </c>
      <c r="BE214" t="str">
        <f>IF(Sistema!BE214="","",Sistema!BE214)</f>
        <v/>
      </c>
      <c r="BF214" t="str">
        <f>IF(Sistema!BF214="","",Sistema!BF214)</f>
        <v/>
      </c>
      <c r="BG214" t="str">
        <f>IF(Sistema!BG214="","",Sistema!BG214)</f>
        <v/>
      </c>
      <c r="BH214" t="str">
        <f>IF(Sistema!BH214="","",Sistema!BH214)</f>
        <v/>
      </c>
      <c r="BI214" t="str">
        <f>IF(Sistema!BI214="","",Sistema!BI214)</f>
        <v/>
      </c>
      <c r="BJ214" t="str">
        <f>IF(Sistema!BJ214="","",Sistema!BJ214)</f>
        <v/>
      </c>
      <c r="BK214" t="str">
        <f>IF(Sistema!BK214="","",Sistema!BK214)</f>
        <v/>
      </c>
      <c r="BL214" t="str">
        <f>IF(Sistema!BL214="","",Sistema!BL214)</f>
        <v/>
      </c>
      <c r="BM214" t="str">
        <f>IF(Sistema!BM214="","",Sistema!BM214)</f>
        <v/>
      </c>
      <c r="BN214" t="str">
        <f>IF(Sistema!BN214="","",Sistema!BN214)</f>
        <v/>
      </c>
      <c r="BO214" t="str">
        <f>IF(Sistema!BO214="","",Sistema!BO214)</f>
        <v/>
      </c>
      <c r="BP214" t="str">
        <f>IF(Sistema!BP214="","",Sistema!BP214)</f>
        <v/>
      </c>
      <c r="BQ214" t="str">
        <f>IF(Sistema!BQ214="","",Sistema!BQ214)</f>
        <v/>
      </c>
      <c r="BR214" t="str">
        <f>IF(Sistema!BR214="","",Sistema!BR214)</f>
        <v/>
      </c>
      <c r="BS214" t="str">
        <f>IF(Sistema!BS214="","",Sistema!BS214)</f>
        <v/>
      </c>
      <c r="BT214" t="str">
        <f>IF(Sistema!BT214="","",Sistema!BT214)</f>
        <v/>
      </c>
      <c r="BU214" t="str">
        <f>IF(Sistema!BU214="","",Sistema!BU214)</f>
        <v/>
      </c>
      <c r="BV214" t="str">
        <f>IF(Sistema!BV214="","",Sistema!BV214)</f>
        <v/>
      </c>
      <c r="BW214" t="str">
        <f>IF(Sistema!BW214="","",Sistema!BW214)</f>
        <v/>
      </c>
      <c r="BX214" t="str">
        <f>IF(Sistema!BX214="","",Sistema!BX214)</f>
        <v/>
      </c>
      <c r="BY214" t="str">
        <f>IF(Sistema!BY214="","",Sistema!BY214)</f>
        <v/>
      </c>
      <c r="BZ214" t="str">
        <f>IF(Sistema!BZ214="","",Sistema!BZ214)</f>
        <v/>
      </c>
      <c r="CA214" t="str">
        <f>IF(Sistema!CA214="","",Sistema!CA214)</f>
        <v/>
      </c>
      <c r="CB214" t="str">
        <f>IF(Sistema!CB214="","",Sistema!CB214)</f>
        <v/>
      </c>
      <c r="CC214" t="str">
        <f>IF(Sistema!CC214="","",Sistema!CC214)</f>
        <v/>
      </c>
      <c r="CD214" t="str">
        <f>IF(Sistema!CD214="","",Sistema!CD214)</f>
        <v/>
      </c>
    </row>
    <row r="215" spans="1:82" x14ac:dyDescent="0.25">
      <c r="A215" t="str">
        <f>IF(Sistema!A215="","",Sistema!A215)</f>
        <v/>
      </c>
      <c r="B215" t="str">
        <f>IF(Sistema!B215="","",Sistema!B215)</f>
        <v/>
      </c>
      <c r="C215" t="str">
        <f>IF(Sistema!C215="","",Sistema!C215)</f>
        <v/>
      </c>
      <c r="D215" t="str">
        <f>IF(Sistema!D215="","",Sistema!D215)</f>
        <v/>
      </c>
      <c r="E215" t="str">
        <f>IF(Sistema!E215="","",Sistema!E215)</f>
        <v/>
      </c>
      <c r="F215">
        <f>IF(P215&gt;0,1,IF(Sistema!F215=0,-1,1))</f>
        <v>-1</v>
      </c>
      <c r="G215">
        <f>Sistema!G215</f>
        <v>0</v>
      </c>
      <c r="H215" t="str">
        <f>IF(OR(R215="notify",R215=1),"visible",IF(OR(Sistema!F215=-1,Sistema!F215=0,ISNUMBER(SEARCH("PCK",E215))),"hidden",IF(P215&gt;0,"visible","hidden")))</f>
        <v>hidden</v>
      </c>
      <c r="I215" t="str">
        <f>IF(B215="simple",IF(P215&gt;0,"",IF(R215="notify",Info!C$2,"")),IF(B215="variable",IF(P215&gt;0,"",IF(R215="notify",Info!C$4,"")),""))</f>
        <v/>
      </c>
      <c r="J215" t="str">
        <f>IF(Sistema!J215="","",Sistema!J215)</f>
        <v/>
      </c>
      <c r="M215" t="str">
        <f>IF(Sistema!M215="","",Sistema!M215)</f>
        <v/>
      </c>
      <c r="N215" s="6" t="s">
        <v>1557</v>
      </c>
      <c r="O215" s="6">
        <v>1</v>
      </c>
      <c r="P215">
        <f>Sistema!P215</f>
        <v>0</v>
      </c>
      <c r="Q215">
        <f>Sistema!Q215</f>
        <v>0</v>
      </c>
      <c r="R215">
        <f>IF(Sistema!R215=1,"notify",Sistema!R215)</f>
        <v>0</v>
      </c>
      <c r="T215" t="str">
        <f>IF(Sistema!T215="","",Sistema!T215)</f>
        <v/>
      </c>
      <c r="U215" t="str">
        <f>IF(Sistema!U215="","",Sistema!U215)</f>
        <v/>
      </c>
      <c r="V215" t="str">
        <f>IF(Sistema!V215="","",Sistema!V215)</f>
        <v/>
      </c>
      <c r="W215" t="str">
        <f>IF(Sistema!W215="","",Sistema!W215)</f>
        <v/>
      </c>
      <c r="X215" s="6">
        <v>1</v>
      </c>
      <c r="Z215" t="str">
        <f>IF(Sistema!Z215="","",Sistema!Z215)</f>
        <v/>
      </c>
      <c r="AA215" t="str">
        <f>IF(Sistema!AA215="","",Sistema!AA215)</f>
        <v/>
      </c>
      <c r="AB215" t="str">
        <f>IF(Sistema!AB215="","",IF(OR(ISNUMBER(SEARCH("MKP",E215)),ISNUMBER(SEARCH("MKP",C215))),"Marketplace &gt; "&amp;Sistema!AB215,Sistema!AB215))</f>
        <v/>
      </c>
      <c r="AC215" t="str">
        <f>IF(Sistema!AC215="","",Sistema!AC215)</f>
        <v/>
      </c>
      <c r="AE215" t="str">
        <f>IF(Sistema!AE215="","",Sistema!AE215)</f>
        <v/>
      </c>
      <c r="AH215" t="str">
        <f>IF(Sistema!AH215="","",Sistema!AH215)</f>
        <v/>
      </c>
      <c r="AQ215" t="str">
        <f>IF(Sistema!AQ215="","",Sistema!AQ215)</f>
        <v/>
      </c>
      <c r="AR215" t="str">
        <f>IF(Sistema!AR215="","",Sistema!AR215)</f>
        <v/>
      </c>
      <c r="AS215" t="str">
        <f>IF(Sistema!AS215="","",Sistema!AS215)</f>
        <v/>
      </c>
      <c r="AT215" t="str">
        <f>IF(Sistema!AT215="","",Sistema!AT215)</f>
        <v/>
      </c>
      <c r="AU215" t="str">
        <f>IF(Sistema!AU215="","",Sistema!AU215)</f>
        <v/>
      </c>
      <c r="AV215" t="str">
        <f>IF(Sistema!AV215="","",Sistema!AV215)</f>
        <v/>
      </c>
      <c r="AW215" t="str">
        <f>IF(Sistema!AW215="","",Sistema!AW215)</f>
        <v/>
      </c>
      <c r="AX215" t="str">
        <f>IF(Sistema!AX215="","",Sistema!AX215)</f>
        <v/>
      </c>
      <c r="AY215" t="str">
        <f>IF(Sistema!AY215="","",Sistema!AY215)</f>
        <v/>
      </c>
      <c r="AZ215" t="str">
        <f>IF(Sistema!AZ215="","",Sistema!AZ215)</f>
        <v/>
      </c>
      <c r="BA215" t="str">
        <f>IF(Sistema!BA215="","",Sistema!BA215)</f>
        <v/>
      </c>
      <c r="BB215" t="str">
        <f>IF(Sistema!BB215="","",Sistema!BB215)</f>
        <v/>
      </c>
      <c r="BC215" t="str">
        <f>IF(Sistema!BC215="","",Sistema!BC215)</f>
        <v/>
      </c>
      <c r="BD215" t="str">
        <f>IF(Sistema!BD215="","",Sistema!BD215)</f>
        <v/>
      </c>
      <c r="BE215" t="str">
        <f>IF(Sistema!BE215="","",Sistema!BE215)</f>
        <v/>
      </c>
      <c r="BF215" t="str">
        <f>IF(Sistema!BF215="","",Sistema!BF215)</f>
        <v/>
      </c>
      <c r="BG215" t="str">
        <f>IF(Sistema!BG215="","",Sistema!BG215)</f>
        <v/>
      </c>
      <c r="BH215" t="str">
        <f>IF(Sistema!BH215="","",Sistema!BH215)</f>
        <v/>
      </c>
      <c r="BI215" t="str">
        <f>IF(Sistema!BI215="","",Sistema!BI215)</f>
        <v/>
      </c>
      <c r="BJ215" t="str">
        <f>IF(Sistema!BJ215="","",Sistema!BJ215)</f>
        <v/>
      </c>
      <c r="BK215" t="str">
        <f>IF(Sistema!BK215="","",Sistema!BK215)</f>
        <v/>
      </c>
      <c r="BL215" t="str">
        <f>IF(Sistema!BL215="","",Sistema!BL215)</f>
        <v/>
      </c>
      <c r="BM215" t="str">
        <f>IF(Sistema!BM215="","",Sistema!BM215)</f>
        <v/>
      </c>
      <c r="BN215" t="str">
        <f>IF(Sistema!BN215="","",Sistema!BN215)</f>
        <v/>
      </c>
      <c r="BO215" t="str">
        <f>IF(Sistema!BO215="","",Sistema!BO215)</f>
        <v/>
      </c>
      <c r="BP215" t="str">
        <f>IF(Sistema!BP215="","",Sistema!BP215)</f>
        <v/>
      </c>
      <c r="BQ215" t="str">
        <f>IF(Sistema!BQ215="","",Sistema!BQ215)</f>
        <v/>
      </c>
      <c r="BR215" t="str">
        <f>IF(Sistema!BR215="","",Sistema!BR215)</f>
        <v/>
      </c>
      <c r="BS215" t="str">
        <f>IF(Sistema!BS215="","",Sistema!BS215)</f>
        <v/>
      </c>
      <c r="BT215" t="str">
        <f>IF(Sistema!BT215="","",Sistema!BT215)</f>
        <v/>
      </c>
      <c r="BU215" t="str">
        <f>IF(Sistema!BU215="","",Sistema!BU215)</f>
        <v/>
      </c>
      <c r="BV215" t="str">
        <f>IF(Sistema!BV215="","",Sistema!BV215)</f>
        <v/>
      </c>
      <c r="BW215" t="str">
        <f>IF(Sistema!BW215="","",Sistema!BW215)</f>
        <v/>
      </c>
      <c r="BX215" t="str">
        <f>IF(Sistema!BX215="","",Sistema!BX215)</f>
        <v/>
      </c>
      <c r="BY215" t="str">
        <f>IF(Sistema!BY215="","",Sistema!BY215)</f>
        <v/>
      </c>
      <c r="BZ215" t="str">
        <f>IF(Sistema!BZ215="","",Sistema!BZ215)</f>
        <v/>
      </c>
      <c r="CA215" t="str">
        <f>IF(Sistema!CA215="","",Sistema!CA215)</f>
        <v/>
      </c>
      <c r="CB215" t="str">
        <f>IF(Sistema!CB215="","",Sistema!CB215)</f>
        <v/>
      </c>
      <c r="CC215" t="str">
        <f>IF(Sistema!CC215="","",Sistema!CC215)</f>
        <v/>
      </c>
      <c r="CD215" t="str">
        <f>IF(Sistema!CD215="","",Sistema!CD215)</f>
        <v/>
      </c>
    </row>
    <row r="216" spans="1:82" x14ac:dyDescent="0.25">
      <c r="A216" t="str">
        <f>IF(Sistema!A216="","",Sistema!A216)</f>
        <v/>
      </c>
      <c r="B216" t="str">
        <f>IF(Sistema!B216="","",Sistema!B216)</f>
        <v/>
      </c>
      <c r="C216" t="str">
        <f>IF(Sistema!C216="","",Sistema!C216)</f>
        <v/>
      </c>
      <c r="D216" t="str">
        <f>IF(Sistema!D216="","",Sistema!D216)</f>
        <v/>
      </c>
      <c r="E216" t="str">
        <f>IF(Sistema!E216="","",Sistema!E216)</f>
        <v/>
      </c>
      <c r="F216">
        <f>IF(P216&gt;0,1,IF(Sistema!F216=0,-1,1))</f>
        <v>-1</v>
      </c>
      <c r="G216">
        <f>Sistema!G216</f>
        <v>0</v>
      </c>
      <c r="H216" t="str">
        <f>IF(OR(R216="notify",R216=1),"visible",IF(OR(Sistema!F216=-1,Sistema!F216=0,ISNUMBER(SEARCH("PCK",E216))),"hidden",IF(P216&gt;0,"visible","hidden")))</f>
        <v>hidden</v>
      </c>
      <c r="I216" t="str">
        <f>IF(B216="simple",IF(P216&gt;0,"",IF(R216="notify",Info!C$2,"")),IF(B216="variable",IF(P216&gt;0,"",IF(R216="notify",Info!C$4,"")),""))</f>
        <v/>
      </c>
      <c r="J216" t="str">
        <f>IF(Sistema!J216="","",Sistema!J216)</f>
        <v/>
      </c>
      <c r="M216" t="str">
        <f>IF(Sistema!M216="","",Sistema!M216)</f>
        <v/>
      </c>
      <c r="N216" s="6" t="s">
        <v>1557</v>
      </c>
      <c r="O216" s="6">
        <v>1</v>
      </c>
      <c r="P216">
        <f>Sistema!P216</f>
        <v>0</v>
      </c>
      <c r="Q216">
        <f>Sistema!Q216</f>
        <v>0</v>
      </c>
      <c r="R216">
        <f>IF(Sistema!R216=1,"notify",Sistema!R216)</f>
        <v>0</v>
      </c>
      <c r="T216" t="str">
        <f>IF(Sistema!T216="","",Sistema!T216)</f>
        <v/>
      </c>
      <c r="U216" t="str">
        <f>IF(Sistema!U216="","",Sistema!U216)</f>
        <v/>
      </c>
      <c r="V216" t="str">
        <f>IF(Sistema!V216="","",Sistema!V216)</f>
        <v/>
      </c>
      <c r="W216" t="str">
        <f>IF(Sistema!W216="","",Sistema!W216)</f>
        <v/>
      </c>
      <c r="X216" s="6">
        <v>1</v>
      </c>
      <c r="Z216" t="str">
        <f>IF(Sistema!Z216="","",Sistema!Z216)</f>
        <v/>
      </c>
      <c r="AA216" t="str">
        <f>IF(Sistema!AA216="","",Sistema!AA216)</f>
        <v/>
      </c>
      <c r="AB216" t="str">
        <f>IF(Sistema!AB216="","",IF(OR(ISNUMBER(SEARCH("MKP",E216)),ISNUMBER(SEARCH("MKP",C216))),"Marketplace &gt; "&amp;Sistema!AB216,Sistema!AB216))</f>
        <v/>
      </c>
      <c r="AC216" t="str">
        <f>IF(Sistema!AC216="","",Sistema!AC216)</f>
        <v/>
      </c>
      <c r="AE216" t="str">
        <f>IF(Sistema!AE216="","",Sistema!AE216)</f>
        <v/>
      </c>
      <c r="AH216" t="str">
        <f>IF(Sistema!AH216="","",Sistema!AH216)</f>
        <v/>
      </c>
      <c r="AQ216" t="str">
        <f>IF(Sistema!AQ216="","",Sistema!AQ216)</f>
        <v/>
      </c>
      <c r="AR216" t="str">
        <f>IF(Sistema!AR216="","",Sistema!AR216)</f>
        <v/>
      </c>
      <c r="AS216" t="str">
        <f>IF(Sistema!AS216="","",Sistema!AS216)</f>
        <v/>
      </c>
      <c r="AT216" t="str">
        <f>IF(Sistema!AT216="","",Sistema!AT216)</f>
        <v/>
      </c>
      <c r="AU216" t="str">
        <f>IF(Sistema!AU216="","",Sistema!AU216)</f>
        <v/>
      </c>
      <c r="AV216" t="str">
        <f>IF(Sistema!AV216="","",Sistema!AV216)</f>
        <v/>
      </c>
      <c r="AW216" t="str">
        <f>IF(Sistema!AW216="","",Sistema!AW216)</f>
        <v/>
      </c>
      <c r="AX216" t="str">
        <f>IF(Sistema!AX216="","",Sistema!AX216)</f>
        <v/>
      </c>
      <c r="AY216" t="str">
        <f>IF(Sistema!AY216="","",Sistema!AY216)</f>
        <v/>
      </c>
      <c r="AZ216" t="str">
        <f>IF(Sistema!AZ216="","",Sistema!AZ216)</f>
        <v/>
      </c>
      <c r="BA216" t="str">
        <f>IF(Sistema!BA216="","",Sistema!BA216)</f>
        <v/>
      </c>
      <c r="BB216" t="str">
        <f>IF(Sistema!BB216="","",Sistema!BB216)</f>
        <v/>
      </c>
      <c r="BC216" t="str">
        <f>IF(Sistema!BC216="","",Sistema!BC216)</f>
        <v/>
      </c>
      <c r="BD216" t="str">
        <f>IF(Sistema!BD216="","",Sistema!BD216)</f>
        <v/>
      </c>
      <c r="BE216" t="str">
        <f>IF(Sistema!BE216="","",Sistema!BE216)</f>
        <v/>
      </c>
      <c r="BF216" t="str">
        <f>IF(Sistema!BF216="","",Sistema!BF216)</f>
        <v/>
      </c>
      <c r="BG216" t="str">
        <f>IF(Sistema!BG216="","",Sistema!BG216)</f>
        <v/>
      </c>
      <c r="BH216" t="str">
        <f>IF(Sistema!BH216="","",Sistema!BH216)</f>
        <v/>
      </c>
      <c r="BI216" t="str">
        <f>IF(Sistema!BI216="","",Sistema!BI216)</f>
        <v/>
      </c>
      <c r="BJ216" t="str">
        <f>IF(Sistema!BJ216="","",Sistema!BJ216)</f>
        <v/>
      </c>
      <c r="BK216" t="str">
        <f>IF(Sistema!BK216="","",Sistema!BK216)</f>
        <v/>
      </c>
      <c r="BL216" t="str">
        <f>IF(Sistema!BL216="","",Sistema!BL216)</f>
        <v/>
      </c>
      <c r="BM216" t="str">
        <f>IF(Sistema!BM216="","",Sistema!BM216)</f>
        <v/>
      </c>
      <c r="BN216" t="str">
        <f>IF(Sistema!BN216="","",Sistema!BN216)</f>
        <v/>
      </c>
      <c r="BO216" t="str">
        <f>IF(Sistema!BO216="","",Sistema!BO216)</f>
        <v/>
      </c>
      <c r="BP216" t="str">
        <f>IF(Sistema!BP216="","",Sistema!BP216)</f>
        <v/>
      </c>
      <c r="BQ216" t="str">
        <f>IF(Sistema!BQ216="","",Sistema!BQ216)</f>
        <v/>
      </c>
      <c r="BR216" t="str">
        <f>IF(Sistema!BR216="","",Sistema!BR216)</f>
        <v/>
      </c>
      <c r="BS216" t="str">
        <f>IF(Sistema!BS216="","",Sistema!BS216)</f>
        <v/>
      </c>
      <c r="BT216" t="str">
        <f>IF(Sistema!BT216="","",Sistema!BT216)</f>
        <v/>
      </c>
      <c r="BU216" t="str">
        <f>IF(Sistema!BU216="","",Sistema!BU216)</f>
        <v/>
      </c>
      <c r="BV216" t="str">
        <f>IF(Sistema!BV216="","",Sistema!BV216)</f>
        <v/>
      </c>
      <c r="BW216" t="str">
        <f>IF(Sistema!BW216="","",Sistema!BW216)</f>
        <v/>
      </c>
      <c r="BX216" t="str">
        <f>IF(Sistema!BX216="","",Sistema!BX216)</f>
        <v/>
      </c>
      <c r="BY216" t="str">
        <f>IF(Sistema!BY216="","",Sistema!BY216)</f>
        <v/>
      </c>
      <c r="BZ216" t="str">
        <f>IF(Sistema!BZ216="","",Sistema!BZ216)</f>
        <v/>
      </c>
      <c r="CA216" t="str">
        <f>IF(Sistema!CA216="","",Sistema!CA216)</f>
        <v/>
      </c>
      <c r="CB216" t="str">
        <f>IF(Sistema!CB216="","",Sistema!CB216)</f>
        <v/>
      </c>
      <c r="CC216" t="str">
        <f>IF(Sistema!CC216="","",Sistema!CC216)</f>
        <v/>
      </c>
      <c r="CD216" t="str">
        <f>IF(Sistema!CD216="","",Sistema!CD216)</f>
        <v/>
      </c>
    </row>
    <row r="217" spans="1:82" x14ac:dyDescent="0.25">
      <c r="A217" t="str">
        <f>IF(Sistema!A217="","",Sistema!A217)</f>
        <v/>
      </c>
      <c r="B217" t="str">
        <f>IF(Sistema!B217="","",Sistema!B217)</f>
        <v/>
      </c>
      <c r="C217" t="str">
        <f>IF(Sistema!C217="","",Sistema!C217)</f>
        <v/>
      </c>
      <c r="D217" t="str">
        <f>IF(Sistema!D217="","",Sistema!D217)</f>
        <v/>
      </c>
      <c r="E217" t="str">
        <f>IF(Sistema!E217="","",Sistema!E217)</f>
        <v/>
      </c>
      <c r="F217">
        <f>IF(P217&gt;0,1,IF(Sistema!F217=0,-1,1))</f>
        <v>-1</v>
      </c>
      <c r="G217">
        <f>Sistema!G217</f>
        <v>0</v>
      </c>
      <c r="H217" t="str">
        <f>IF(OR(R217="notify",R217=1),"visible",IF(OR(Sistema!F217=-1,Sistema!F217=0,ISNUMBER(SEARCH("PCK",E217))),"hidden",IF(P217&gt;0,"visible","hidden")))</f>
        <v>hidden</v>
      </c>
      <c r="I217" t="str">
        <f>IF(B217="simple",IF(P217&gt;0,"",IF(R217="notify",Info!C$2,"")),IF(B217="variable",IF(P217&gt;0,"",IF(R217="notify",Info!C$4,"")),""))</f>
        <v/>
      </c>
      <c r="J217" t="str">
        <f>IF(Sistema!J217="","",Sistema!J217)</f>
        <v/>
      </c>
      <c r="M217" t="str">
        <f>IF(Sistema!M217="","",Sistema!M217)</f>
        <v/>
      </c>
      <c r="N217" s="6" t="s">
        <v>1557</v>
      </c>
      <c r="O217" s="6">
        <v>1</v>
      </c>
      <c r="P217">
        <f>Sistema!P217</f>
        <v>0</v>
      </c>
      <c r="Q217">
        <f>Sistema!Q217</f>
        <v>0</v>
      </c>
      <c r="R217">
        <f>IF(Sistema!R217=1,"notify",Sistema!R217)</f>
        <v>0</v>
      </c>
      <c r="T217" t="str">
        <f>IF(Sistema!T217="","",Sistema!T217)</f>
        <v/>
      </c>
      <c r="U217" t="str">
        <f>IF(Sistema!U217="","",Sistema!U217)</f>
        <v/>
      </c>
      <c r="V217" t="str">
        <f>IF(Sistema!V217="","",Sistema!V217)</f>
        <v/>
      </c>
      <c r="W217" t="str">
        <f>IF(Sistema!W217="","",Sistema!W217)</f>
        <v/>
      </c>
      <c r="X217" s="6">
        <v>1</v>
      </c>
      <c r="Z217" t="str">
        <f>IF(Sistema!Z217="","",Sistema!Z217)</f>
        <v/>
      </c>
      <c r="AA217" t="str">
        <f>IF(Sistema!AA217="","",Sistema!AA217)</f>
        <v/>
      </c>
      <c r="AB217" t="str">
        <f>IF(Sistema!AB217="","",IF(OR(ISNUMBER(SEARCH("MKP",E217)),ISNUMBER(SEARCH("MKP",C217))),"Marketplace &gt; "&amp;Sistema!AB217,Sistema!AB217))</f>
        <v/>
      </c>
      <c r="AC217" t="str">
        <f>IF(Sistema!AC217="","",Sistema!AC217)</f>
        <v/>
      </c>
      <c r="AE217" t="str">
        <f>IF(Sistema!AE217="","",Sistema!AE217)</f>
        <v/>
      </c>
      <c r="AH217" t="str">
        <f>IF(Sistema!AH217="","",Sistema!AH217)</f>
        <v/>
      </c>
      <c r="AQ217" t="str">
        <f>IF(Sistema!AQ217="","",Sistema!AQ217)</f>
        <v/>
      </c>
      <c r="AR217" t="str">
        <f>IF(Sistema!AR217="","",Sistema!AR217)</f>
        <v/>
      </c>
      <c r="AS217" t="str">
        <f>IF(Sistema!AS217="","",Sistema!AS217)</f>
        <v/>
      </c>
      <c r="AT217" t="str">
        <f>IF(Sistema!AT217="","",Sistema!AT217)</f>
        <v/>
      </c>
      <c r="AU217" t="str">
        <f>IF(Sistema!AU217="","",Sistema!AU217)</f>
        <v/>
      </c>
      <c r="AV217" t="str">
        <f>IF(Sistema!AV217="","",Sistema!AV217)</f>
        <v/>
      </c>
      <c r="AW217" t="str">
        <f>IF(Sistema!AW217="","",Sistema!AW217)</f>
        <v/>
      </c>
      <c r="AX217" t="str">
        <f>IF(Sistema!AX217="","",Sistema!AX217)</f>
        <v/>
      </c>
      <c r="AY217" t="str">
        <f>IF(Sistema!AY217="","",Sistema!AY217)</f>
        <v/>
      </c>
      <c r="AZ217" t="str">
        <f>IF(Sistema!AZ217="","",Sistema!AZ217)</f>
        <v/>
      </c>
      <c r="BA217" t="str">
        <f>IF(Sistema!BA217="","",Sistema!BA217)</f>
        <v/>
      </c>
      <c r="BB217" t="str">
        <f>IF(Sistema!BB217="","",Sistema!BB217)</f>
        <v/>
      </c>
      <c r="BC217" t="str">
        <f>IF(Sistema!BC217="","",Sistema!BC217)</f>
        <v/>
      </c>
      <c r="BD217" t="str">
        <f>IF(Sistema!BD217="","",Sistema!BD217)</f>
        <v/>
      </c>
      <c r="BE217" t="str">
        <f>IF(Sistema!BE217="","",Sistema!BE217)</f>
        <v/>
      </c>
      <c r="BF217" t="str">
        <f>IF(Sistema!BF217="","",Sistema!BF217)</f>
        <v/>
      </c>
      <c r="BG217" t="str">
        <f>IF(Sistema!BG217="","",Sistema!BG217)</f>
        <v/>
      </c>
      <c r="BH217" t="str">
        <f>IF(Sistema!BH217="","",Sistema!BH217)</f>
        <v/>
      </c>
      <c r="BI217" t="str">
        <f>IF(Sistema!BI217="","",Sistema!BI217)</f>
        <v/>
      </c>
      <c r="BJ217" t="str">
        <f>IF(Sistema!BJ217="","",Sistema!BJ217)</f>
        <v/>
      </c>
      <c r="BK217" t="str">
        <f>IF(Sistema!BK217="","",Sistema!BK217)</f>
        <v/>
      </c>
      <c r="BL217" t="str">
        <f>IF(Sistema!BL217="","",Sistema!BL217)</f>
        <v/>
      </c>
      <c r="BM217" t="str">
        <f>IF(Sistema!BM217="","",Sistema!BM217)</f>
        <v/>
      </c>
      <c r="BN217" t="str">
        <f>IF(Sistema!BN217="","",Sistema!BN217)</f>
        <v/>
      </c>
      <c r="BO217" t="str">
        <f>IF(Sistema!BO217="","",Sistema!BO217)</f>
        <v/>
      </c>
      <c r="BP217" t="str">
        <f>IF(Sistema!BP217="","",Sistema!BP217)</f>
        <v/>
      </c>
      <c r="BQ217" t="str">
        <f>IF(Sistema!BQ217="","",Sistema!BQ217)</f>
        <v/>
      </c>
      <c r="BR217" t="str">
        <f>IF(Sistema!BR217="","",Sistema!BR217)</f>
        <v/>
      </c>
      <c r="BS217" t="str">
        <f>IF(Sistema!BS217="","",Sistema!BS217)</f>
        <v/>
      </c>
      <c r="BT217" t="str">
        <f>IF(Sistema!BT217="","",Sistema!BT217)</f>
        <v/>
      </c>
      <c r="BU217" t="str">
        <f>IF(Sistema!BU217="","",Sistema!BU217)</f>
        <v/>
      </c>
      <c r="BV217" t="str">
        <f>IF(Sistema!BV217="","",Sistema!BV217)</f>
        <v/>
      </c>
      <c r="BW217" t="str">
        <f>IF(Sistema!BW217="","",Sistema!BW217)</f>
        <v/>
      </c>
      <c r="BX217" t="str">
        <f>IF(Sistema!BX217="","",Sistema!BX217)</f>
        <v/>
      </c>
      <c r="BY217" t="str">
        <f>IF(Sistema!BY217="","",Sistema!BY217)</f>
        <v/>
      </c>
      <c r="BZ217" t="str">
        <f>IF(Sistema!BZ217="","",Sistema!BZ217)</f>
        <v/>
      </c>
      <c r="CA217" t="str">
        <f>IF(Sistema!CA217="","",Sistema!CA217)</f>
        <v/>
      </c>
      <c r="CB217" t="str">
        <f>IF(Sistema!CB217="","",Sistema!CB217)</f>
        <v/>
      </c>
      <c r="CC217" t="str">
        <f>IF(Sistema!CC217="","",Sistema!CC217)</f>
        <v/>
      </c>
      <c r="CD217" t="str">
        <f>IF(Sistema!CD217="","",Sistema!CD217)</f>
        <v/>
      </c>
    </row>
    <row r="218" spans="1:82" x14ac:dyDescent="0.25">
      <c r="A218" t="str">
        <f>IF(Sistema!A218="","",Sistema!A218)</f>
        <v/>
      </c>
      <c r="B218" t="str">
        <f>IF(Sistema!B218="","",Sistema!B218)</f>
        <v/>
      </c>
      <c r="C218" t="str">
        <f>IF(Sistema!C218="","",Sistema!C218)</f>
        <v/>
      </c>
      <c r="D218" t="str">
        <f>IF(Sistema!D218="","",Sistema!D218)</f>
        <v/>
      </c>
      <c r="E218" t="str">
        <f>IF(Sistema!E218="","",Sistema!E218)</f>
        <v/>
      </c>
      <c r="F218">
        <f>IF(P218&gt;0,1,IF(Sistema!F218=0,-1,1))</f>
        <v>-1</v>
      </c>
      <c r="G218">
        <f>Sistema!G218</f>
        <v>0</v>
      </c>
      <c r="H218" t="str">
        <f>IF(OR(R218="notify",R218=1),"visible",IF(OR(Sistema!F218=-1,Sistema!F218=0,ISNUMBER(SEARCH("PCK",E218))),"hidden",IF(P218&gt;0,"visible","hidden")))</f>
        <v>hidden</v>
      </c>
      <c r="I218" t="str">
        <f>IF(B218="simple",IF(P218&gt;0,"",IF(R218="notify",Info!C$2,"")),IF(B218="variable",IF(P218&gt;0,"",IF(R218="notify",Info!C$4,"")),""))</f>
        <v/>
      </c>
      <c r="J218" t="str">
        <f>IF(Sistema!J218="","",Sistema!J218)</f>
        <v/>
      </c>
      <c r="M218" t="str">
        <f>IF(Sistema!M218="","",Sistema!M218)</f>
        <v/>
      </c>
      <c r="N218" s="6" t="s">
        <v>1557</v>
      </c>
      <c r="O218" s="6">
        <v>1</v>
      </c>
      <c r="P218">
        <f>Sistema!P218</f>
        <v>0</v>
      </c>
      <c r="Q218">
        <f>Sistema!Q218</f>
        <v>0</v>
      </c>
      <c r="R218">
        <f>IF(Sistema!R218=1,"notify",Sistema!R218)</f>
        <v>0</v>
      </c>
      <c r="T218" t="str">
        <f>IF(Sistema!T218="","",Sistema!T218)</f>
        <v/>
      </c>
      <c r="U218" t="str">
        <f>IF(Sistema!U218="","",Sistema!U218)</f>
        <v/>
      </c>
      <c r="V218" t="str">
        <f>IF(Sistema!V218="","",Sistema!V218)</f>
        <v/>
      </c>
      <c r="W218" t="str">
        <f>IF(Sistema!W218="","",Sistema!W218)</f>
        <v/>
      </c>
      <c r="X218" s="6">
        <v>1</v>
      </c>
      <c r="Z218" t="str">
        <f>IF(Sistema!Z218="","",Sistema!Z218)</f>
        <v/>
      </c>
      <c r="AA218" t="str">
        <f>IF(Sistema!AA218="","",Sistema!AA218)</f>
        <v/>
      </c>
      <c r="AB218" t="str">
        <f>IF(Sistema!AB218="","",IF(OR(ISNUMBER(SEARCH("MKP",E218)),ISNUMBER(SEARCH("MKP",C218))),"Marketplace &gt; "&amp;Sistema!AB218,Sistema!AB218))</f>
        <v/>
      </c>
      <c r="AC218" t="str">
        <f>IF(Sistema!AC218="","",Sistema!AC218)</f>
        <v/>
      </c>
      <c r="AE218" t="str">
        <f>IF(Sistema!AE218="","",Sistema!AE218)</f>
        <v/>
      </c>
      <c r="AH218" t="str">
        <f>IF(Sistema!AH218="","",Sistema!AH218)</f>
        <v/>
      </c>
      <c r="AQ218" t="str">
        <f>IF(Sistema!AQ218="","",Sistema!AQ218)</f>
        <v/>
      </c>
      <c r="AR218" t="str">
        <f>IF(Sistema!AR218="","",Sistema!AR218)</f>
        <v/>
      </c>
      <c r="AS218" t="str">
        <f>IF(Sistema!AS218="","",Sistema!AS218)</f>
        <v/>
      </c>
      <c r="AT218" t="str">
        <f>IF(Sistema!AT218="","",Sistema!AT218)</f>
        <v/>
      </c>
      <c r="AU218" t="str">
        <f>IF(Sistema!AU218="","",Sistema!AU218)</f>
        <v/>
      </c>
      <c r="AV218" t="str">
        <f>IF(Sistema!AV218="","",Sistema!AV218)</f>
        <v/>
      </c>
      <c r="AW218" t="str">
        <f>IF(Sistema!AW218="","",Sistema!AW218)</f>
        <v/>
      </c>
      <c r="AX218" t="str">
        <f>IF(Sistema!AX218="","",Sistema!AX218)</f>
        <v/>
      </c>
      <c r="AY218" t="str">
        <f>IF(Sistema!AY218="","",Sistema!AY218)</f>
        <v/>
      </c>
      <c r="AZ218" t="str">
        <f>IF(Sistema!AZ218="","",Sistema!AZ218)</f>
        <v/>
      </c>
      <c r="BA218" t="str">
        <f>IF(Sistema!BA218="","",Sistema!BA218)</f>
        <v/>
      </c>
      <c r="BB218" t="str">
        <f>IF(Sistema!BB218="","",Sistema!BB218)</f>
        <v/>
      </c>
      <c r="BC218" t="str">
        <f>IF(Sistema!BC218="","",Sistema!BC218)</f>
        <v/>
      </c>
      <c r="BD218" t="str">
        <f>IF(Sistema!BD218="","",Sistema!BD218)</f>
        <v/>
      </c>
      <c r="BE218" t="str">
        <f>IF(Sistema!BE218="","",Sistema!BE218)</f>
        <v/>
      </c>
      <c r="BF218" t="str">
        <f>IF(Sistema!BF218="","",Sistema!BF218)</f>
        <v/>
      </c>
      <c r="BG218" t="str">
        <f>IF(Sistema!BG218="","",Sistema!BG218)</f>
        <v/>
      </c>
      <c r="BH218" t="str">
        <f>IF(Sistema!BH218="","",Sistema!BH218)</f>
        <v/>
      </c>
      <c r="BI218" t="str">
        <f>IF(Sistema!BI218="","",Sistema!BI218)</f>
        <v/>
      </c>
      <c r="BJ218" t="str">
        <f>IF(Sistema!BJ218="","",Sistema!BJ218)</f>
        <v/>
      </c>
      <c r="BK218" t="str">
        <f>IF(Sistema!BK218="","",Sistema!BK218)</f>
        <v/>
      </c>
      <c r="BL218" t="str">
        <f>IF(Sistema!BL218="","",Sistema!BL218)</f>
        <v/>
      </c>
      <c r="BM218" t="str">
        <f>IF(Sistema!BM218="","",Sistema!BM218)</f>
        <v/>
      </c>
      <c r="BN218" t="str">
        <f>IF(Sistema!BN218="","",Sistema!BN218)</f>
        <v/>
      </c>
      <c r="BO218" t="str">
        <f>IF(Sistema!BO218="","",Sistema!BO218)</f>
        <v/>
      </c>
      <c r="BP218" t="str">
        <f>IF(Sistema!BP218="","",Sistema!BP218)</f>
        <v/>
      </c>
      <c r="BQ218" t="str">
        <f>IF(Sistema!BQ218="","",Sistema!BQ218)</f>
        <v/>
      </c>
      <c r="BR218" t="str">
        <f>IF(Sistema!BR218="","",Sistema!BR218)</f>
        <v/>
      </c>
      <c r="BS218" t="str">
        <f>IF(Sistema!BS218="","",Sistema!BS218)</f>
        <v/>
      </c>
      <c r="BT218" t="str">
        <f>IF(Sistema!BT218="","",Sistema!BT218)</f>
        <v/>
      </c>
      <c r="BU218" t="str">
        <f>IF(Sistema!BU218="","",Sistema!BU218)</f>
        <v/>
      </c>
      <c r="BV218" t="str">
        <f>IF(Sistema!BV218="","",Sistema!BV218)</f>
        <v/>
      </c>
      <c r="BW218" t="str">
        <f>IF(Sistema!BW218="","",Sistema!BW218)</f>
        <v/>
      </c>
      <c r="BX218" t="str">
        <f>IF(Sistema!BX218="","",Sistema!BX218)</f>
        <v/>
      </c>
      <c r="BY218" t="str">
        <f>IF(Sistema!BY218="","",Sistema!BY218)</f>
        <v/>
      </c>
      <c r="BZ218" t="str">
        <f>IF(Sistema!BZ218="","",Sistema!BZ218)</f>
        <v/>
      </c>
      <c r="CA218" t="str">
        <f>IF(Sistema!CA218="","",Sistema!CA218)</f>
        <v/>
      </c>
      <c r="CB218" t="str">
        <f>IF(Sistema!CB218="","",Sistema!CB218)</f>
        <v/>
      </c>
      <c r="CC218" t="str">
        <f>IF(Sistema!CC218="","",Sistema!CC218)</f>
        <v/>
      </c>
      <c r="CD218" t="str">
        <f>IF(Sistema!CD218="","",Sistema!CD218)</f>
        <v/>
      </c>
    </row>
    <row r="219" spans="1:82" x14ac:dyDescent="0.25">
      <c r="A219" t="str">
        <f>IF(Sistema!A219="","",Sistema!A219)</f>
        <v/>
      </c>
      <c r="B219" t="str">
        <f>IF(Sistema!B219="","",Sistema!B219)</f>
        <v/>
      </c>
      <c r="C219" t="str">
        <f>IF(Sistema!C219="","",Sistema!C219)</f>
        <v/>
      </c>
      <c r="D219" t="str">
        <f>IF(Sistema!D219="","",Sistema!D219)</f>
        <v/>
      </c>
      <c r="E219" t="str">
        <f>IF(Sistema!E219="","",Sistema!E219)</f>
        <v/>
      </c>
      <c r="F219">
        <f>IF(P219&gt;0,1,IF(Sistema!F219=0,-1,1))</f>
        <v>-1</v>
      </c>
      <c r="G219">
        <f>Sistema!G219</f>
        <v>0</v>
      </c>
      <c r="H219" t="str">
        <f>IF(OR(R219="notify",R219=1),"visible",IF(OR(Sistema!F219=-1,Sistema!F219=0,ISNUMBER(SEARCH("PCK",E219))),"hidden",IF(P219&gt;0,"visible","hidden")))</f>
        <v>hidden</v>
      </c>
      <c r="I219" t="str">
        <f>IF(B219="simple",IF(P219&gt;0,"",IF(R219="notify",Info!C$2,"")),IF(B219="variable",IF(P219&gt;0,"",IF(R219="notify",Info!C$4,"")),""))</f>
        <v/>
      </c>
      <c r="J219" t="str">
        <f>IF(Sistema!J219="","",Sistema!J219)</f>
        <v/>
      </c>
      <c r="M219" t="str">
        <f>IF(Sistema!M219="","",Sistema!M219)</f>
        <v/>
      </c>
      <c r="N219" s="6" t="s">
        <v>1557</v>
      </c>
      <c r="O219" s="6">
        <v>1</v>
      </c>
      <c r="P219">
        <f>Sistema!P219</f>
        <v>0</v>
      </c>
      <c r="Q219">
        <f>Sistema!Q219</f>
        <v>0</v>
      </c>
      <c r="R219">
        <f>IF(Sistema!R219=1,"notify",Sistema!R219)</f>
        <v>0</v>
      </c>
      <c r="T219" t="str">
        <f>IF(Sistema!T219="","",Sistema!T219)</f>
        <v/>
      </c>
      <c r="U219" t="str">
        <f>IF(Sistema!U219="","",Sistema!U219)</f>
        <v/>
      </c>
      <c r="V219" t="str">
        <f>IF(Sistema!V219="","",Sistema!V219)</f>
        <v/>
      </c>
      <c r="W219" t="str">
        <f>IF(Sistema!W219="","",Sistema!W219)</f>
        <v/>
      </c>
      <c r="X219" s="6">
        <v>1</v>
      </c>
      <c r="Z219" t="str">
        <f>IF(Sistema!Z219="","",Sistema!Z219)</f>
        <v/>
      </c>
      <c r="AA219" t="str">
        <f>IF(Sistema!AA219="","",Sistema!AA219)</f>
        <v/>
      </c>
      <c r="AB219" t="str">
        <f>IF(Sistema!AB219="","",IF(OR(ISNUMBER(SEARCH("MKP",E219)),ISNUMBER(SEARCH("MKP",C219))),"Marketplace &gt; "&amp;Sistema!AB219,Sistema!AB219))</f>
        <v/>
      </c>
      <c r="AC219" t="str">
        <f>IF(Sistema!AC219="","",Sistema!AC219)</f>
        <v/>
      </c>
      <c r="AE219" t="str">
        <f>IF(Sistema!AE219="","",Sistema!AE219)</f>
        <v/>
      </c>
      <c r="AH219" t="str">
        <f>IF(Sistema!AH219="","",Sistema!AH219)</f>
        <v/>
      </c>
      <c r="AQ219" t="str">
        <f>IF(Sistema!AQ219="","",Sistema!AQ219)</f>
        <v/>
      </c>
      <c r="AR219" t="str">
        <f>IF(Sistema!AR219="","",Sistema!AR219)</f>
        <v/>
      </c>
      <c r="AS219" t="str">
        <f>IF(Sistema!AS219="","",Sistema!AS219)</f>
        <v/>
      </c>
      <c r="AT219" t="str">
        <f>IF(Sistema!AT219="","",Sistema!AT219)</f>
        <v/>
      </c>
      <c r="AU219" t="str">
        <f>IF(Sistema!AU219="","",Sistema!AU219)</f>
        <v/>
      </c>
      <c r="AV219" t="str">
        <f>IF(Sistema!AV219="","",Sistema!AV219)</f>
        <v/>
      </c>
      <c r="AW219" t="str">
        <f>IF(Sistema!AW219="","",Sistema!AW219)</f>
        <v/>
      </c>
      <c r="AX219" t="str">
        <f>IF(Sistema!AX219="","",Sistema!AX219)</f>
        <v/>
      </c>
      <c r="AY219" t="str">
        <f>IF(Sistema!AY219="","",Sistema!AY219)</f>
        <v/>
      </c>
      <c r="AZ219" t="str">
        <f>IF(Sistema!AZ219="","",Sistema!AZ219)</f>
        <v/>
      </c>
      <c r="BA219" t="str">
        <f>IF(Sistema!BA219="","",Sistema!BA219)</f>
        <v/>
      </c>
      <c r="BB219" t="str">
        <f>IF(Sistema!BB219="","",Sistema!BB219)</f>
        <v/>
      </c>
      <c r="BC219" t="str">
        <f>IF(Sistema!BC219="","",Sistema!BC219)</f>
        <v/>
      </c>
      <c r="BD219" t="str">
        <f>IF(Sistema!BD219="","",Sistema!BD219)</f>
        <v/>
      </c>
      <c r="BE219" t="str">
        <f>IF(Sistema!BE219="","",Sistema!BE219)</f>
        <v/>
      </c>
      <c r="BF219" t="str">
        <f>IF(Sistema!BF219="","",Sistema!BF219)</f>
        <v/>
      </c>
      <c r="BG219" t="str">
        <f>IF(Sistema!BG219="","",Sistema!BG219)</f>
        <v/>
      </c>
      <c r="BH219" t="str">
        <f>IF(Sistema!BH219="","",Sistema!BH219)</f>
        <v/>
      </c>
      <c r="BI219" t="str">
        <f>IF(Sistema!BI219="","",Sistema!BI219)</f>
        <v/>
      </c>
      <c r="BJ219" t="str">
        <f>IF(Sistema!BJ219="","",Sistema!BJ219)</f>
        <v/>
      </c>
      <c r="BK219" t="str">
        <f>IF(Sistema!BK219="","",Sistema!BK219)</f>
        <v/>
      </c>
      <c r="BL219" t="str">
        <f>IF(Sistema!BL219="","",Sistema!BL219)</f>
        <v/>
      </c>
      <c r="BM219" t="str">
        <f>IF(Sistema!BM219="","",Sistema!BM219)</f>
        <v/>
      </c>
      <c r="BN219" t="str">
        <f>IF(Sistema!BN219="","",Sistema!BN219)</f>
        <v/>
      </c>
      <c r="BO219" t="str">
        <f>IF(Sistema!BO219="","",Sistema!BO219)</f>
        <v/>
      </c>
      <c r="BP219" t="str">
        <f>IF(Sistema!BP219="","",Sistema!BP219)</f>
        <v/>
      </c>
      <c r="BQ219" t="str">
        <f>IF(Sistema!BQ219="","",Sistema!BQ219)</f>
        <v/>
      </c>
      <c r="BR219" t="str">
        <f>IF(Sistema!BR219="","",Sistema!BR219)</f>
        <v/>
      </c>
      <c r="BS219" t="str">
        <f>IF(Sistema!BS219="","",Sistema!BS219)</f>
        <v/>
      </c>
      <c r="BT219" t="str">
        <f>IF(Sistema!BT219="","",Sistema!BT219)</f>
        <v/>
      </c>
      <c r="BU219" t="str">
        <f>IF(Sistema!BU219="","",Sistema!BU219)</f>
        <v/>
      </c>
      <c r="BV219" t="str">
        <f>IF(Sistema!BV219="","",Sistema!BV219)</f>
        <v/>
      </c>
      <c r="BW219" t="str">
        <f>IF(Sistema!BW219="","",Sistema!BW219)</f>
        <v/>
      </c>
      <c r="BX219" t="str">
        <f>IF(Sistema!BX219="","",Sistema!BX219)</f>
        <v/>
      </c>
      <c r="BY219" t="str">
        <f>IF(Sistema!BY219="","",Sistema!BY219)</f>
        <v/>
      </c>
      <c r="BZ219" t="str">
        <f>IF(Sistema!BZ219="","",Sistema!BZ219)</f>
        <v/>
      </c>
      <c r="CA219" t="str">
        <f>IF(Sistema!CA219="","",Sistema!CA219)</f>
        <v/>
      </c>
      <c r="CB219" t="str">
        <f>IF(Sistema!CB219="","",Sistema!CB219)</f>
        <v/>
      </c>
      <c r="CC219" t="str">
        <f>IF(Sistema!CC219="","",Sistema!CC219)</f>
        <v/>
      </c>
      <c r="CD219" t="str">
        <f>IF(Sistema!CD219="","",Sistema!CD219)</f>
        <v/>
      </c>
    </row>
    <row r="220" spans="1:82" x14ac:dyDescent="0.25">
      <c r="A220" t="str">
        <f>IF(Sistema!A220="","",Sistema!A220)</f>
        <v/>
      </c>
      <c r="B220" t="str">
        <f>IF(Sistema!B220="","",Sistema!B220)</f>
        <v/>
      </c>
      <c r="C220" t="str">
        <f>IF(Sistema!C220="","",Sistema!C220)</f>
        <v/>
      </c>
      <c r="D220" t="str">
        <f>IF(Sistema!D220="","",Sistema!D220)</f>
        <v/>
      </c>
      <c r="E220" t="str">
        <f>IF(Sistema!E220="","",Sistema!E220)</f>
        <v/>
      </c>
      <c r="F220">
        <f>IF(P220&gt;0,1,IF(Sistema!F220=0,-1,1))</f>
        <v>-1</v>
      </c>
      <c r="G220">
        <f>Sistema!G220</f>
        <v>0</v>
      </c>
      <c r="H220" t="str">
        <f>IF(OR(R220="notify",R220=1),"visible",IF(OR(Sistema!F220=-1,Sistema!F220=0,ISNUMBER(SEARCH("PCK",E220))),"hidden",IF(P220&gt;0,"visible","hidden")))</f>
        <v>hidden</v>
      </c>
      <c r="I220" t="str">
        <f>IF(B220="simple",IF(P220&gt;0,"",IF(R220="notify",Info!C$2,"")),IF(B220="variable",IF(P220&gt;0,"",IF(R220="notify",Info!C$4,"")),""))</f>
        <v/>
      </c>
      <c r="J220" t="str">
        <f>IF(Sistema!J220="","",Sistema!J220)</f>
        <v/>
      </c>
      <c r="M220" t="str">
        <f>IF(Sistema!M220="","",Sistema!M220)</f>
        <v/>
      </c>
      <c r="N220" s="6" t="s">
        <v>1557</v>
      </c>
      <c r="O220" s="6">
        <v>1</v>
      </c>
      <c r="P220">
        <f>Sistema!P220</f>
        <v>0</v>
      </c>
      <c r="Q220">
        <f>Sistema!Q220</f>
        <v>0</v>
      </c>
      <c r="R220">
        <f>IF(Sistema!R220=1,"notify",Sistema!R220)</f>
        <v>0</v>
      </c>
      <c r="T220" t="str">
        <f>IF(Sistema!T220="","",Sistema!T220)</f>
        <v/>
      </c>
      <c r="U220" t="str">
        <f>IF(Sistema!U220="","",Sistema!U220)</f>
        <v/>
      </c>
      <c r="V220" t="str">
        <f>IF(Sistema!V220="","",Sistema!V220)</f>
        <v/>
      </c>
      <c r="W220" t="str">
        <f>IF(Sistema!W220="","",Sistema!W220)</f>
        <v/>
      </c>
      <c r="X220" s="6">
        <v>1</v>
      </c>
      <c r="Z220" t="str">
        <f>IF(Sistema!Z220="","",Sistema!Z220)</f>
        <v/>
      </c>
      <c r="AA220" t="str">
        <f>IF(Sistema!AA220="","",Sistema!AA220)</f>
        <v/>
      </c>
      <c r="AB220" t="str">
        <f>IF(Sistema!AB220="","",IF(OR(ISNUMBER(SEARCH("MKP",E220)),ISNUMBER(SEARCH("MKP",C220))),"Marketplace &gt; "&amp;Sistema!AB220,Sistema!AB220))</f>
        <v/>
      </c>
      <c r="AC220" t="str">
        <f>IF(Sistema!AC220="","",Sistema!AC220)</f>
        <v/>
      </c>
      <c r="AE220" t="str">
        <f>IF(Sistema!AE220="","",Sistema!AE220)</f>
        <v/>
      </c>
      <c r="AH220" t="str">
        <f>IF(Sistema!AH220="","",Sistema!AH220)</f>
        <v/>
      </c>
      <c r="AQ220" t="str">
        <f>IF(Sistema!AQ220="","",Sistema!AQ220)</f>
        <v/>
      </c>
      <c r="AR220" t="str">
        <f>IF(Sistema!AR220="","",Sistema!AR220)</f>
        <v/>
      </c>
      <c r="AS220" t="str">
        <f>IF(Sistema!AS220="","",Sistema!AS220)</f>
        <v/>
      </c>
      <c r="AT220" t="str">
        <f>IF(Sistema!AT220="","",Sistema!AT220)</f>
        <v/>
      </c>
      <c r="AU220" t="str">
        <f>IF(Sistema!AU220="","",Sistema!AU220)</f>
        <v/>
      </c>
      <c r="AV220" t="str">
        <f>IF(Sistema!AV220="","",Sistema!AV220)</f>
        <v/>
      </c>
      <c r="AW220" t="str">
        <f>IF(Sistema!AW220="","",Sistema!AW220)</f>
        <v/>
      </c>
      <c r="AX220" t="str">
        <f>IF(Sistema!AX220="","",Sistema!AX220)</f>
        <v/>
      </c>
      <c r="AY220" t="str">
        <f>IF(Sistema!AY220="","",Sistema!AY220)</f>
        <v/>
      </c>
      <c r="AZ220" t="str">
        <f>IF(Sistema!AZ220="","",Sistema!AZ220)</f>
        <v/>
      </c>
      <c r="BA220" t="str">
        <f>IF(Sistema!BA220="","",Sistema!BA220)</f>
        <v/>
      </c>
      <c r="BB220" t="str">
        <f>IF(Sistema!BB220="","",Sistema!BB220)</f>
        <v/>
      </c>
      <c r="BC220" t="str">
        <f>IF(Sistema!BC220="","",Sistema!BC220)</f>
        <v/>
      </c>
      <c r="BD220" t="str">
        <f>IF(Sistema!BD220="","",Sistema!BD220)</f>
        <v/>
      </c>
      <c r="BE220" t="str">
        <f>IF(Sistema!BE220="","",Sistema!BE220)</f>
        <v/>
      </c>
      <c r="BF220" t="str">
        <f>IF(Sistema!BF220="","",Sistema!BF220)</f>
        <v/>
      </c>
      <c r="BG220" t="str">
        <f>IF(Sistema!BG220="","",Sistema!BG220)</f>
        <v/>
      </c>
      <c r="BH220" t="str">
        <f>IF(Sistema!BH220="","",Sistema!BH220)</f>
        <v/>
      </c>
      <c r="BI220" t="str">
        <f>IF(Sistema!BI220="","",Sistema!BI220)</f>
        <v/>
      </c>
      <c r="BJ220" t="str">
        <f>IF(Sistema!BJ220="","",Sistema!BJ220)</f>
        <v/>
      </c>
      <c r="BK220" t="str">
        <f>IF(Sistema!BK220="","",Sistema!BK220)</f>
        <v/>
      </c>
      <c r="BL220" t="str">
        <f>IF(Sistema!BL220="","",Sistema!BL220)</f>
        <v/>
      </c>
      <c r="BM220" t="str">
        <f>IF(Sistema!BM220="","",Sistema!BM220)</f>
        <v/>
      </c>
      <c r="BN220" t="str">
        <f>IF(Sistema!BN220="","",Sistema!BN220)</f>
        <v/>
      </c>
      <c r="BO220" t="str">
        <f>IF(Sistema!BO220="","",Sistema!BO220)</f>
        <v/>
      </c>
      <c r="BP220" t="str">
        <f>IF(Sistema!BP220="","",Sistema!BP220)</f>
        <v/>
      </c>
      <c r="BQ220" t="str">
        <f>IF(Sistema!BQ220="","",Sistema!BQ220)</f>
        <v/>
      </c>
      <c r="BR220" t="str">
        <f>IF(Sistema!BR220="","",Sistema!BR220)</f>
        <v/>
      </c>
      <c r="BS220" t="str">
        <f>IF(Sistema!BS220="","",Sistema!BS220)</f>
        <v/>
      </c>
      <c r="BT220" t="str">
        <f>IF(Sistema!BT220="","",Sistema!BT220)</f>
        <v/>
      </c>
      <c r="BU220" t="str">
        <f>IF(Sistema!BU220="","",Sistema!BU220)</f>
        <v/>
      </c>
      <c r="BV220" t="str">
        <f>IF(Sistema!BV220="","",Sistema!BV220)</f>
        <v/>
      </c>
      <c r="BW220" t="str">
        <f>IF(Sistema!BW220="","",Sistema!BW220)</f>
        <v/>
      </c>
      <c r="BX220" t="str">
        <f>IF(Sistema!BX220="","",Sistema!BX220)</f>
        <v/>
      </c>
      <c r="BY220" t="str">
        <f>IF(Sistema!BY220="","",Sistema!BY220)</f>
        <v/>
      </c>
      <c r="BZ220" t="str">
        <f>IF(Sistema!BZ220="","",Sistema!BZ220)</f>
        <v/>
      </c>
      <c r="CA220" t="str">
        <f>IF(Sistema!CA220="","",Sistema!CA220)</f>
        <v/>
      </c>
      <c r="CB220" t="str">
        <f>IF(Sistema!CB220="","",Sistema!CB220)</f>
        <v/>
      </c>
      <c r="CC220" t="str">
        <f>IF(Sistema!CC220="","",Sistema!CC220)</f>
        <v/>
      </c>
      <c r="CD220" t="str">
        <f>IF(Sistema!CD220="","",Sistema!CD220)</f>
        <v/>
      </c>
    </row>
    <row r="221" spans="1:82" x14ac:dyDescent="0.25">
      <c r="A221" t="str">
        <f>IF(Sistema!A221="","",Sistema!A221)</f>
        <v/>
      </c>
      <c r="B221" t="str">
        <f>IF(Sistema!B221="","",Sistema!B221)</f>
        <v/>
      </c>
      <c r="C221" t="str">
        <f>IF(Sistema!C221="","",Sistema!C221)</f>
        <v/>
      </c>
      <c r="D221" t="str">
        <f>IF(Sistema!D221="","",Sistema!D221)</f>
        <v/>
      </c>
      <c r="E221" t="str">
        <f>IF(Sistema!E221="","",Sistema!E221)</f>
        <v/>
      </c>
      <c r="F221">
        <f>IF(P221&gt;0,1,IF(Sistema!F221=0,-1,1))</f>
        <v>-1</v>
      </c>
      <c r="G221">
        <f>Sistema!G221</f>
        <v>0</v>
      </c>
      <c r="H221" t="str">
        <f>IF(OR(R221="notify",R221=1),"visible",IF(OR(Sistema!F221=-1,Sistema!F221=0,ISNUMBER(SEARCH("PCK",E221))),"hidden",IF(P221&gt;0,"visible","hidden")))</f>
        <v>hidden</v>
      </c>
      <c r="I221" t="str">
        <f>IF(B221="simple",IF(P221&gt;0,"",IF(R221="notify",Info!C$2,"")),IF(B221="variable",IF(P221&gt;0,"",IF(R221="notify",Info!C$4,"")),""))</f>
        <v/>
      </c>
      <c r="J221" t="str">
        <f>IF(Sistema!J221="","",Sistema!J221)</f>
        <v/>
      </c>
      <c r="M221" t="str">
        <f>IF(Sistema!M221="","",Sistema!M221)</f>
        <v/>
      </c>
      <c r="N221" s="6" t="s">
        <v>1557</v>
      </c>
      <c r="O221" s="6">
        <v>1</v>
      </c>
      <c r="P221">
        <f>Sistema!P221</f>
        <v>0</v>
      </c>
      <c r="Q221">
        <f>Sistema!Q221</f>
        <v>0</v>
      </c>
      <c r="R221">
        <f>IF(Sistema!R221=1,"notify",Sistema!R221)</f>
        <v>0</v>
      </c>
      <c r="T221" t="str">
        <f>IF(Sistema!T221="","",Sistema!T221)</f>
        <v/>
      </c>
      <c r="U221" t="str">
        <f>IF(Sistema!U221="","",Sistema!U221)</f>
        <v/>
      </c>
      <c r="V221" t="str">
        <f>IF(Sistema!V221="","",Sistema!V221)</f>
        <v/>
      </c>
      <c r="W221" t="str">
        <f>IF(Sistema!W221="","",Sistema!W221)</f>
        <v/>
      </c>
      <c r="X221" s="6">
        <v>1</v>
      </c>
      <c r="Z221" t="str">
        <f>IF(Sistema!Z221="","",Sistema!Z221)</f>
        <v/>
      </c>
      <c r="AA221" t="str">
        <f>IF(Sistema!AA221="","",Sistema!AA221)</f>
        <v/>
      </c>
      <c r="AB221" t="str">
        <f>IF(Sistema!AB221="","",IF(OR(ISNUMBER(SEARCH("MKP",E221)),ISNUMBER(SEARCH("MKP",C221))),"Marketplace &gt; "&amp;Sistema!AB221,Sistema!AB221))</f>
        <v/>
      </c>
      <c r="AC221" t="str">
        <f>IF(Sistema!AC221="","",Sistema!AC221)</f>
        <v/>
      </c>
      <c r="AE221" t="str">
        <f>IF(Sistema!AE221="","",Sistema!AE221)</f>
        <v/>
      </c>
      <c r="AH221" t="str">
        <f>IF(Sistema!AH221="","",Sistema!AH221)</f>
        <v/>
      </c>
      <c r="AQ221" t="str">
        <f>IF(Sistema!AQ221="","",Sistema!AQ221)</f>
        <v/>
      </c>
      <c r="AR221" t="str">
        <f>IF(Sistema!AR221="","",Sistema!AR221)</f>
        <v/>
      </c>
      <c r="AS221" t="str">
        <f>IF(Sistema!AS221="","",Sistema!AS221)</f>
        <v/>
      </c>
      <c r="AT221" t="str">
        <f>IF(Sistema!AT221="","",Sistema!AT221)</f>
        <v/>
      </c>
      <c r="AU221" t="str">
        <f>IF(Sistema!AU221="","",Sistema!AU221)</f>
        <v/>
      </c>
      <c r="AV221" t="str">
        <f>IF(Sistema!AV221="","",Sistema!AV221)</f>
        <v/>
      </c>
      <c r="AW221" t="str">
        <f>IF(Sistema!AW221="","",Sistema!AW221)</f>
        <v/>
      </c>
      <c r="AX221" t="str">
        <f>IF(Sistema!AX221="","",Sistema!AX221)</f>
        <v/>
      </c>
      <c r="AY221" t="str">
        <f>IF(Sistema!AY221="","",Sistema!AY221)</f>
        <v/>
      </c>
      <c r="AZ221" t="str">
        <f>IF(Sistema!AZ221="","",Sistema!AZ221)</f>
        <v/>
      </c>
      <c r="BA221" t="str">
        <f>IF(Sistema!BA221="","",Sistema!BA221)</f>
        <v/>
      </c>
      <c r="BB221" t="str">
        <f>IF(Sistema!BB221="","",Sistema!BB221)</f>
        <v/>
      </c>
      <c r="BC221" t="str">
        <f>IF(Sistema!BC221="","",Sistema!BC221)</f>
        <v/>
      </c>
      <c r="BD221" t="str">
        <f>IF(Sistema!BD221="","",Sistema!BD221)</f>
        <v/>
      </c>
      <c r="BE221" t="str">
        <f>IF(Sistema!BE221="","",Sistema!BE221)</f>
        <v/>
      </c>
      <c r="BF221" t="str">
        <f>IF(Sistema!BF221="","",Sistema!BF221)</f>
        <v/>
      </c>
      <c r="BG221" t="str">
        <f>IF(Sistema!BG221="","",Sistema!BG221)</f>
        <v/>
      </c>
      <c r="BH221" t="str">
        <f>IF(Sistema!BH221="","",Sistema!BH221)</f>
        <v/>
      </c>
      <c r="BI221" t="str">
        <f>IF(Sistema!BI221="","",Sistema!BI221)</f>
        <v/>
      </c>
      <c r="BJ221" t="str">
        <f>IF(Sistema!BJ221="","",Sistema!BJ221)</f>
        <v/>
      </c>
      <c r="BK221" t="str">
        <f>IF(Sistema!BK221="","",Sistema!BK221)</f>
        <v/>
      </c>
      <c r="BL221" t="str">
        <f>IF(Sistema!BL221="","",Sistema!BL221)</f>
        <v/>
      </c>
      <c r="BM221" t="str">
        <f>IF(Sistema!BM221="","",Sistema!BM221)</f>
        <v/>
      </c>
      <c r="BN221" t="str">
        <f>IF(Sistema!BN221="","",Sistema!BN221)</f>
        <v/>
      </c>
      <c r="BO221" t="str">
        <f>IF(Sistema!BO221="","",Sistema!BO221)</f>
        <v/>
      </c>
      <c r="BP221" t="str">
        <f>IF(Sistema!BP221="","",Sistema!BP221)</f>
        <v/>
      </c>
      <c r="BQ221" t="str">
        <f>IF(Sistema!BQ221="","",Sistema!BQ221)</f>
        <v/>
      </c>
      <c r="BR221" t="str">
        <f>IF(Sistema!BR221="","",Sistema!BR221)</f>
        <v/>
      </c>
      <c r="BS221" t="str">
        <f>IF(Sistema!BS221="","",Sistema!BS221)</f>
        <v/>
      </c>
      <c r="BT221" t="str">
        <f>IF(Sistema!BT221="","",Sistema!BT221)</f>
        <v/>
      </c>
      <c r="BU221" t="str">
        <f>IF(Sistema!BU221="","",Sistema!BU221)</f>
        <v/>
      </c>
      <c r="BV221" t="str">
        <f>IF(Sistema!BV221="","",Sistema!BV221)</f>
        <v/>
      </c>
      <c r="BW221" t="str">
        <f>IF(Sistema!BW221="","",Sistema!BW221)</f>
        <v/>
      </c>
      <c r="BX221" t="str">
        <f>IF(Sistema!BX221="","",Sistema!BX221)</f>
        <v/>
      </c>
      <c r="BY221" t="str">
        <f>IF(Sistema!BY221="","",Sistema!BY221)</f>
        <v/>
      </c>
      <c r="BZ221" t="str">
        <f>IF(Sistema!BZ221="","",Sistema!BZ221)</f>
        <v/>
      </c>
      <c r="CA221" t="str">
        <f>IF(Sistema!CA221="","",Sistema!CA221)</f>
        <v/>
      </c>
      <c r="CB221" t="str">
        <f>IF(Sistema!CB221="","",Sistema!CB221)</f>
        <v/>
      </c>
      <c r="CC221" t="str">
        <f>IF(Sistema!CC221="","",Sistema!CC221)</f>
        <v/>
      </c>
      <c r="CD221" t="str">
        <f>IF(Sistema!CD221="","",Sistema!CD221)</f>
        <v/>
      </c>
    </row>
    <row r="222" spans="1:82" x14ac:dyDescent="0.25">
      <c r="A222" t="str">
        <f>IF(Sistema!A222="","",Sistema!A222)</f>
        <v/>
      </c>
      <c r="B222" t="str">
        <f>IF(Sistema!B222="","",Sistema!B222)</f>
        <v/>
      </c>
      <c r="C222" t="str">
        <f>IF(Sistema!C222="","",Sistema!C222)</f>
        <v/>
      </c>
      <c r="D222" t="str">
        <f>IF(Sistema!D222="","",Sistema!D222)</f>
        <v/>
      </c>
      <c r="E222" t="str">
        <f>IF(Sistema!E222="","",Sistema!E222)</f>
        <v/>
      </c>
      <c r="F222">
        <f>IF(P222&gt;0,1,IF(Sistema!F222=0,-1,1))</f>
        <v>-1</v>
      </c>
      <c r="G222">
        <f>Sistema!G222</f>
        <v>0</v>
      </c>
      <c r="H222" t="str">
        <f>IF(OR(R222="notify",R222=1),"visible",IF(OR(Sistema!F222=-1,Sistema!F222=0,ISNUMBER(SEARCH("PCK",E222))),"hidden",IF(P222&gt;0,"visible","hidden")))</f>
        <v>hidden</v>
      </c>
      <c r="I222" t="str">
        <f>IF(B222="simple",IF(P222&gt;0,"",IF(R222="notify",Info!C$2,"")),IF(B222="variable",IF(P222&gt;0,"",IF(R222="notify",Info!C$4,"")),""))</f>
        <v/>
      </c>
      <c r="J222" t="str">
        <f>IF(Sistema!J222="","",Sistema!J222)</f>
        <v/>
      </c>
      <c r="M222" t="str">
        <f>IF(Sistema!M222="","",Sistema!M222)</f>
        <v/>
      </c>
      <c r="N222" s="6" t="s">
        <v>1557</v>
      </c>
      <c r="O222" s="6">
        <v>1</v>
      </c>
      <c r="P222">
        <f>Sistema!P222</f>
        <v>0</v>
      </c>
      <c r="Q222">
        <f>Sistema!Q222</f>
        <v>0</v>
      </c>
      <c r="R222">
        <f>IF(Sistema!R222=1,"notify",Sistema!R222)</f>
        <v>0</v>
      </c>
      <c r="T222" t="str">
        <f>IF(Sistema!T222="","",Sistema!T222)</f>
        <v/>
      </c>
      <c r="U222" t="str">
        <f>IF(Sistema!U222="","",Sistema!U222)</f>
        <v/>
      </c>
      <c r="V222" t="str">
        <f>IF(Sistema!V222="","",Sistema!V222)</f>
        <v/>
      </c>
      <c r="W222" t="str">
        <f>IF(Sistema!W222="","",Sistema!W222)</f>
        <v/>
      </c>
      <c r="X222" s="6">
        <v>1</v>
      </c>
      <c r="Z222" t="str">
        <f>IF(Sistema!Z222="","",Sistema!Z222)</f>
        <v/>
      </c>
      <c r="AA222" t="str">
        <f>IF(Sistema!AA222="","",Sistema!AA222)</f>
        <v/>
      </c>
      <c r="AB222" t="str">
        <f>IF(Sistema!AB222="","",IF(OR(ISNUMBER(SEARCH("MKP",E222)),ISNUMBER(SEARCH("MKP",C222))),"Marketplace &gt; "&amp;Sistema!AB222,Sistema!AB222))</f>
        <v/>
      </c>
      <c r="AC222" t="str">
        <f>IF(Sistema!AC222="","",Sistema!AC222)</f>
        <v/>
      </c>
      <c r="AE222" t="str">
        <f>IF(Sistema!AE222="","",Sistema!AE222)</f>
        <v/>
      </c>
      <c r="AH222" t="str">
        <f>IF(Sistema!AH222="","",Sistema!AH222)</f>
        <v/>
      </c>
      <c r="AQ222" t="str">
        <f>IF(Sistema!AQ222="","",Sistema!AQ222)</f>
        <v/>
      </c>
      <c r="AR222" t="str">
        <f>IF(Sistema!AR222="","",Sistema!AR222)</f>
        <v/>
      </c>
      <c r="AS222" t="str">
        <f>IF(Sistema!AS222="","",Sistema!AS222)</f>
        <v/>
      </c>
      <c r="AT222" t="str">
        <f>IF(Sistema!AT222="","",Sistema!AT222)</f>
        <v/>
      </c>
      <c r="AU222" t="str">
        <f>IF(Sistema!AU222="","",Sistema!AU222)</f>
        <v/>
      </c>
      <c r="AV222" t="str">
        <f>IF(Sistema!AV222="","",Sistema!AV222)</f>
        <v/>
      </c>
      <c r="AW222" t="str">
        <f>IF(Sistema!AW222="","",Sistema!AW222)</f>
        <v/>
      </c>
      <c r="AX222" t="str">
        <f>IF(Sistema!AX222="","",Sistema!AX222)</f>
        <v/>
      </c>
      <c r="AY222" t="str">
        <f>IF(Sistema!AY222="","",Sistema!AY222)</f>
        <v/>
      </c>
      <c r="AZ222" t="str">
        <f>IF(Sistema!AZ222="","",Sistema!AZ222)</f>
        <v/>
      </c>
      <c r="BA222" t="str">
        <f>IF(Sistema!BA222="","",Sistema!BA222)</f>
        <v/>
      </c>
      <c r="BB222" t="str">
        <f>IF(Sistema!BB222="","",Sistema!BB222)</f>
        <v/>
      </c>
      <c r="BC222" t="str">
        <f>IF(Sistema!BC222="","",Sistema!BC222)</f>
        <v/>
      </c>
      <c r="BD222" t="str">
        <f>IF(Sistema!BD222="","",Sistema!BD222)</f>
        <v/>
      </c>
      <c r="BE222" t="str">
        <f>IF(Sistema!BE222="","",Sistema!BE222)</f>
        <v/>
      </c>
      <c r="BF222" t="str">
        <f>IF(Sistema!BF222="","",Sistema!BF222)</f>
        <v/>
      </c>
      <c r="BG222" t="str">
        <f>IF(Sistema!BG222="","",Sistema!BG222)</f>
        <v/>
      </c>
      <c r="BH222" t="str">
        <f>IF(Sistema!BH222="","",Sistema!BH222)</f>
        <v/>
      </c>
      <c r="BI222" t="str">
        <f>IF(Sistema!BI222="","",Sistema!BI222)</f>
        <v/>
      </c>
      <c r="BJ222" t="str">
        <f>IF(Sistema!BJ222="","",Sistema!BJ222)</f>
        <v/>
      </c>
      <c r="BK222" t="str">
        <f>IF(Sistema!BK222="","",Sistema!BK222)</f>
        <v/>
      </c>
      <c r="BL222" t="str">
        <f>IF(Sistema!BL222="","",Sistema!BL222)</f>
        <v/>
      </c>
      <c r="BM222" t="str">
        <f>IF(Sistema!BM222="","",Sistema!BM222)</f>
        <v/>
      </c>
      <c r="BN222" t="str">
        <f>IF(Sistema!BN222="","",Sistema!BN222)</f>
        <v/>
      </c>
      <c r="BO222" t="str">
        <f>IF(Sistema!BO222="","",Sistema!BO222)</f>
        <v/>
      </c>
      <c r="BP222" t="str">
        <f>IF(Sistema!BP222="","",Sistema!BP222)</f>
        <v/>
      </c>
      <c r="BQ222" t="str">
        <f>IF(Sistema!BQ222="","",Sistema!BQ222)</f>
        <v/>
      </c>
      <c r="BR222" t="str">
        <f>IF(Sistema!BR222="","",Sistema!BR222)</f>
        <v/>
      </c>
      <c r="BS222" t="str">
        <f>IF(Sistema!BS222="","",Sistema!BS222)</f>
        <v/>
      </c>
      <c r="BT222" t="str">
        <f>IF(Sistema!BT222="","",Sistema!BT222)</f>
        <v/>
      </c>
      <c r="BU222" t="str">
        <f>IF(Sistema!BU222="","",Sistema!BU222)</f>
        <v/>
      </c>
      <c r="BV222" t="str">
        <f>IF(Sistema!BV222="","",Sistema!BV222)</f>
        <v/>
      </c>
      <c r="BW222" t="str">
        <f>IF(Sistema!BW222="","",Sistema!BW222)</f>
        <v/>
      </c>
      <c r="BX222" t="str">
        <f>IF(Sistema!BX222="","",Sistema!BX222)</f>
        <v/>
      </c>
      <c r="BY222" t="str">
        <f>IF(Sistema!BY222="","",Sistema!BY222)</f>
        <v/>
      </c>
      <c r="BZ222" t="str">
        <f>IF(Sistema!BZ222="","",Sistema!BZ222)</f>
        <v/>
      </c>
      <c r="CA222" t="str">
        <f>IF(Sistema!CA222="","",Sistema!CA222)</f>
        <v/>
      </c>
      <c r="CB222" t="str">
        <f>IF(Sistema!CB222="","",Sistema!CB222)</f>
        <v/>
      </c>
      <c r="CC222" t="str">
        <f>IF(Sistema!CC222="","",Sistema!CC222)</f>
        <v/>
      </c>
      <c r="CD222" t="str">
        <f>IF(Sistema!CD222="","",Sistema!CD222)</f>
        <v/>
      </c>
    </row>
    <row r="223" spans="1:82" x14ac:dyDescent="0.25">
      <c r="A223" t="str">
        <f>IF(Sistema!A223="","",Sistema!A223)</f>
        <v/>
      </c>
      <c r="B223" t="str">
        <f>IF(Sistema!B223="","",Sistema!B223)</f>
        <v/>
      </c>
      <c r="C223" t="str">
        <f>IF(Sistema!C223="","",Sistema!C223)</f>
        <v/>
      </c>
      <c r="D223" t="str">
        <f>IF(Sistema!D223="","",Sistema!D223)</f>
        <v/>
      </c>
      <c r="E223" t="str">
        <f>IF(Sistema!E223="","",Sistema!E223)</f>
        <v/>
      </c>
      <c r="F223">
        <f>IF(P223&gt;0,1,IF(Sistema!F223=0,-1,1))</f>
        <v>-1</v>
      </c>
      <c r="G223">
        <f>Sistema!G223</f>
        <v>0</v>
      </c>
      <c r="H223" t="str">
        <f>IF(OR(R223="notify",R223=1),"visible",IF(OR(Sistema!F223=-1,Sistema!F223=0,ISNUMBER(SEARCH("PCK",E223))),"hidden",IF(P223&gt;0,"visible","hidden")))</f>
        <v>hidden</v>
      </c>
      <c r="I223" t="str">
        <f>IF(B223="simple",IF(P223&gt;0,"",IF(R223="notify",Info!C$2,"")),IF(B223="variable",IF(P223&gt;0,"",IF(R223="notify",Info!C$4,"")),""))</f>
        <v/>
      </c>
      <c r="J223" t="str">
        <f>IF(Sistema!J223="","",Sistema!J223)</f>
        <v/>
      </c>
      <c r="M223" t="str">
        <f>IF(Sistema!M223="","",Sistema!M223)</f>
        <v/>
      </c>
      <c r="N223" s="6" t="s">
        <v>1557</v>
      </c>
      <c r="O223" s="6">
        <v>1</v>
      </c>
      <c r="P223">
        <f>Sistema!P223</f>
        <v>0</v>
      </c>
      <c r="Q223">
        <f>Sistema!Q223</f>
        <v>0</v>
      </c>
      <c r="R223">
        <f>IF(Sistema!R223=1,"notify",Sistema!R223)</f>
        <v>0</v>
      </c>
      <c r="T223" t="str">
        <f>IF(Sistema!T223="","",Sistema!T223)</f>
        <v/>
      </c>
      <c r="U223" t="str">
        <f>IF(Sistema!U223="","",Sistema!U223)</f>
        <v/>
      </c>
      <c r="V223" t="str">
        <f>IF(Sistema!V223="","",Sistema!V223)</f>
        <v/>
      </c>
      <c r="W223" t="str">
        <f>IF(Sistema!W223="","",Sistema!W223)</f>
        <v/>
      </c>
      <c r="X223" s="6">
        <v>1</v>
      </c>
      <c r="Z223" t="str">
        <f>IF(Sistema!Z223="","",Sistema!Z223)</f>
        <v/>
      </c>
      <c r="AA223" t="str">
        <f>IF(Sistema!AA223="","",Sistema!AA223)</f>
        <v/>
      </c>
      <c r="AB223" t="str">
        <f>IF(Sistema!AB223="","",IF(OR(ISNUMBER(SEARCH("MKP",E223)),ISNUMBER(SEARCH("MKP",C223))),"Marketplace &gt; "&amp;Sistema!AB223,Sistema!AB223))</f>
        <v/>
      </c>
      <c r="AC223" t="str">
        <f>IF(Sistema!AC223="","",Sistema!AC223)</f>
        <v/>
      </c>
      <c r="AE223" t="str">
        <f>IF(Sistema!AE223="","",Sistema!AE223)</f>
        <v/>
      </c>
      <c r="AH223" t="str">
        <f>IF(Sistema!AH223="","",Sistema!AH223)</f>
        <v/>
      </c>
      <c r="AQ223" t="str">
        <f>IF(Sistema!AQ223="","",Sistema!AQ223)</f>
        <v/>
      </c>
      <c r="AR223" t="str">
        <f>IF(Sistema!AR223="","",Sistema!AR223)</f>
        <v/>
      </c>
      <c r="AS223" t="str">
        <f>IF(Sistema!AS223="","",Sistema!AS223)</f>
        <v/>
      </c>
      <c r="AT223" t="str">
        <f>IF(Sistema!AT223="","",Sistema!AT223)</f>
        <v/>
      </c>
      <c r="AU223" t="str">
        <f>IF(Sistema!AU223="","",Sistema!AU223)</f>
        <v/>
      </c>
      <c r="AV223" t="str">
        <f>IF(Sistema!AV223="","",Sistema!AV223)</f>
        <v/>
      </c>
      <c r="AW223" t="str">
        <f>IF(Sistema!AW223="","",Sistema!AW223)</f>
        <v/>
      </c>
      <c r="AX223" t="str">
        <f>IF(Sistema!AX223="","",Sistema!AX223)</f>
        <v/>
      </c>
      <c r="AY223" t="str">
        <f>IF(Sistema!AY223="","",Sistema!AY223)</f>
        <v/>
      </c>
      <c r="AZ223" t="str">
        <f>IF(Sistema!AZ223="","",Sistema!AZ223)</f>
        <v/>
      </c>
      <c r="BA223" t="str">
        <f>IF(Sistema!BA223="","",Sistema!BA223)</f>
        <v/>
      </c>
      <c r="BB223" t="str">
        <f>IF(Sistema!BB223="","",Sistema!BB223)</f>
        <v/>
      </c>
      <c r="BC223" t="str">
        <f>IF(Sistema!BC223="","",Sistema!BC223)</f>
        <v/>
      </c>
      <c r="BD223" t="str">
        <f>IF(Sistema!BD223="","",Sistema!BD223)</f>
        <v/>
      </c>
      <c r="BE223" t="str">
        <f>IF(Sistema!BE223="","",Sistema!BE223)</f>
        <v/>
      </c>
      <c r="BF223" t="str">
        <f>IF(Sistema!BF223="","",Sistema!BF223)</f>
        <v/>
      </c>
      <c r="BG223" t="str">
        <f>IF(Sistema!BG223="","",Sistema!BG223)</f>
        <v/>
      </c>
      <c r="BH223" t="str">
        <f>IF(Sistema!BH223="","",Sistema!BH223)</f>
        <v/>
      </c>
      <c r="BI223" t="str">
        <f>IF(Sistema!BI223="","",Sistema!BI223)</f>
        <v/>
      </c>
      <c r="BJ223" t="str">
        <f>IF(Sistema!BJ223="","",Sistema!BJ223)</f>
        <v/>
      </c>
      <c r="BK223" t="str">
        <f>IF(Sistema!BK223="","",Sistema!BK223)</f>
        <v/>
      </c>
      <c r="BL223" t="str">
        <f>IF(Sistema!BL223="","",Sistema!BL223)</f>
        <v/>
      </c>
      <c r="BM223" t="str">
        <f>IF(Sistema!BM223="","",Sistema!BM223)</f>
        <v/>
      </c>
      <c r="BN223" t="str">
        <f>IF(Sistema!BN223="","",Sistema!BN223)</f>
        <v/>
      </c>
      <c r="BO223" t="str">
        <f>IF(Sistema!BO223="","",Sistema!BO223)</f>
        <v/>
      </c>
      <c r="BP223" t="str">
        <f>IF(Sistema!BP223="","",Sistema!BP223)</f>
        <v/>
      </c>
      <c r="BQ223" t="str">
        <f>IF(Sistema!BQ223="","",Sistema!BQ223)</f>
        <v/>
      </c>
      <c r="BR223" t="str">
        <f>IF(Sistema!BR223="","",Sistema!BR223)</f>
        <v/>
      </c>
      <c r="BS223" t="str">
        <f>IF(Sistema!BS223="","",Sistema!BS223)</f>
        <v/>
      </c>
      <c r="BT223" t="str">
        <f>IF(Sistema!BT223="","",Sistema!BT223)</f>
        <v/>
      </c>
      <c r="BU223" t="str">
        <f>IF(Sistema!BU223="","",Sistema!BU223)</f>
        <v/>
      </c>
      <c r="BV223" t="str">
        <f>IF(Sistema!BV223="","",Sistema!BV223)</f>
        <v/>
      </c>
      <c r="BW223" t="str">
        <f>IF(Sistema!BW223="","",Sistema!BW223)</f>
        <v/>
      </c>
      <c r="BX223" t="str">
        <f>IF(Sistema!BX223="","",Sistema!BX223)</f>
        <v/>
      </c>
      <c r="BY223" t="str">
        <f>IF(Sistema!BY223="","",Sistema!BY223)</f>
        <v/>
      </c>
      <c r="BZ223" t="str">
        <f>IF(Sistema!BZ223="","",Sistema!BZ223)</f>
        <v/>
      </c>
      <c r="CA223" t="str">
        <f>IF(Sistema!CA223="","",Sistema!CA223)</f>
        <v/>
      </c>
      <c r="CB223" t="str">
        <f>IF(Sistema!CB223="","",Sistema!CB223)</f>
        <v/>
      </c>
      <c r="CC223" t="str">
        <f>IF(Sistema!CC223="","",Sistema!CC223)</f>
        <v/>
      </c>
      <c r="CD223" t="str">
        <f>IF(Sistema!CD223="","",Sistema!CD223)</f>
        <v/>
      </c>
    </row>
    <row r="224" spans="1:82" x14ac:dyDescent="0.25">
      <c r="A224" t="str">
        <f>IF(Sistema!A224="","",Sistema!A224)</f>
        <v/>
      </c>
      <c r="B224" t="str">
        <f>IF(Sistema!B224="","",Sistema!B224)</f>
        <v/>
      </c>
      <c r="C224" t="str">
        <f>IF(Sistema!C224="","",Sistema!C224)</f>
        <v/>
      </c>
      <c r="D224" t="str">
        <f>IF(Sistema!D224="","",Sistema!D224)</f>
        <v/>
      </c>
      <c r="E224" t="str">
        <f>IF(Sistema!E224="","",Sistema!E224)</f>
        <v/>
      </c>
      <c r="F224">
        <f>IF(P224&gt;0,1,IF(Sistema!F224=0,-1,1))</f>
        <v>-1</v>
      </c>
      <c r="G224">
        <f>Sistema!G224</f>
        <v>0</v>
      </c>
      <c r="H224" t="str">
        <f>IF(OR(R224="notify",R224=1),"visible",IF(OR(Sistema!F224=-1,Sistema!F224=0,ISNUMBER(SEARCH("PCK",E224))),"hidden",IF(P224&gt;0,"visible","hidden")))</f>
        <v>hidden</v>
      </c>
      <c r="I224" t="str">
        <f>IF(B224="simple",IF(P224&gt;0,"",IF(R224="notify",Info!C$2,"")),IF(B224="variable",IF(P224&gt;0,"",IF(R224="notify",Info!C$4,"")),""))</f>
        <v/>
      </c>
      <c r="J224" t="str">
        <f>IF(Sistema!J224="","",Sistema!J224)</f>
        <v/>
      </c>
      <c r="M224" t="str">
        <f>IF(Sistema!M224="","",Sistema!M224)</f>
        <v/>
      </c>
      <c r="N224" s="6" t="s">
        <v>1557</v>
      </c>
      <c r="O224" s="6">
        <v>1</v>
      </c>
      <c r="P224">
        <f>Sistema!P224</f>
        <v>0</v>
      </c>
      <c r="Q224">
        <f>Sistema!Q224</f>
        <v>0</v>
      </c>
      <c r="R224">
        <f>IF(Sistema!R224=1,"notify",Sistema!R224)</f>
        <v>0</v>
      </c>
      <c r="T224" t="str">
        <f>IF(Sistema!T224="","",Sistema!T224)</f>
        <v/>
      </c>
      <c r="U224" t="str">
        <f>IF(Sistema!U224="","",Sistema!U224)</f>
        <v/>
      </c>
      <c r="V224" t="str">
        <f>IF(Sistema!V224="","",Sistema!V224)</f>
        <v/>
      </c>
      <c r="W224" t="str">
        <f>IF(Sistema!W224="","",Sistema!W224)</f>
        <v/>
      </c>
      <c r="X224" s="6">
        <v>1</v>
      </c>
      <c r="Z224" t="str">
        <f>IF(Sistema!Z224="","",Sistema!Z224)</f>
        <v/>
      </c>
      <c r="AA224" t="str">
        <f>IF(Sistema!AA224="","",Sistema!AA224)</f>
        <v/>
      </c>
      <c r="AB224" t="str">
        <f>IF(Sistema!AB224="","",IF(OR(ISNUMBER(SEARCH("MKP",E224)),ISNUMBER(SEARCH("MKP",C224))),"Marketplace &gt; "&amp;Sistema!AB224,Sistema!AB224))</f>
        <v/>
      </c>
      <c r="AC224" t="str">
        <f>IF(Sistema!AC224="","",Sistema!AC224)</f>
        <v/>
      </c>
      <c r="AE224" t="str">
        <f>IF(Sistema!AE224="","",Sistema!AE224)</f>
        <v/>
      </c>
      <c r="AH224" t="str">
        <f>IF(Sistema!AH224="","",Sistema!AH224)</f>
        <v/>
      </c>
      <c r="AQ224" t="str">
        <f>IF(Sistema!AQ224="","",Sistema!AQ224)</f>
        <v/>
      </c>
      <c r="AR224" t="str">
        <f>IF(Sistema!AR224="","",Sistema!AR224)</f>
        <v/>
      </c>
      <c r="AS224" t="str">
        <f>IF(Sistema!AS224="","",Sistema!AS224)</f>
        <v/>
      </c>
      <c r="AT224" t="str">
        <f>IF(Sistema!AT224="","",Sistema!AT224)</f>
        <v/>
      </c>
      <c r="AU224" t="str">
        <f>IF(Sistema!AU224="","",Sistema!AU224)</f>
        <v/>
      </c>
      <c r="AV224" t="str">
        <f>IF(Sistema!AV224="","",Sistema!AV224)</f>
        <v/>
      </c>
      <c r="AW224" t="str">
        <f>IF(Sistema!AW224="","",Sistema!AW224)</f>
        <v/>
      </c>
      <c r="AX224" t="str">
        <f>IF(Sistema!AX224="","",Sistema!AX224)</f>
        <v/>
      </c>
      <c r="AY224" t="str">
        <f>IF(Sistema!AY224="","",Sistema!AY224)</f>
        <v/>
      </c>
      <c r="AZ224" t="str">
        <f>IF(Sistema!AZ224="","",Sistema!AZ224)</f>
        <v/>
      </c>
      <c r="BA224" t="str">
        <f>IF(Sistema!BA224="","",Sistema!BA224)</f>
        <v/>
      </c>
      <c r="BB224" t="str">
        <f>IF(Sistema!BB224="","",Sistema!BB224)</f>
        <v/>
      </c>
      <c r="BC224" t="str">
        <f>IF(Sistema!BC224="","",Sistema!BC224)</f>
        <v/>
      </c>
      <c r="BD224" t="str">
        <f>IF(Sistema!BD224="","",Sistema!BD224)</f>
        <v/>
      </c>
      <c r="BE224" t="str">
        <f>IF(Sistema!BE224="","",Sistema!BE224)</f>
        <v/>
      </c>
      <c r="BF224" t="str">
        <f>IF(Sistema!BF224="","",Sistema!BF224)</f>
        <v/>
      </c>
      <c r="BG224" t="str">
        <f>IF(Sistema!BG224="","",Sistema!BG224)</f>
        <v/>
      </c>
      <c r="BH224" t="str">
        <f>IF(Sistema!BH224="","",Sistema!BH224)</f>
        <v/>
      </c>
      <c r="BI224" t="str">
        <f>IF(Sistema!BI224="","",Sistema!BI224)</f>
        <v/>
      </c>
      <c r="BJ224" t="str">
        <f>IF(Sistema!BJ224="","",Sistema!BJ224)</f>
        <v/>
      </c>
      <c r="BK224" t="str">
        <f>IF(Sistema!BK224="","",Sistema!BK224)</f>
        <v/>
      </c>
      <c r="BL224" t="str">
        <f>IF(Sistema!BL224="","",Sistema!BL224)</f>
        <v/>
      </c>
      <c r="BM224" t="str">
        <f>IF(Sistema!BM224="","",Sistema!BM224)</f>
        <v/>
      </c>
      <c r="BN224" t="str">
        <f>IF(Sistema!BN224="","",Sistema!BN224)</f>
        <v/>
      </c>
      <c r="BO224" t="str">
        <f>IF(Sistema!BO224="","",Sistema!BO224)</f>
        <v/>
      </c>
      <c r="BP224" t="str">
        <f>IF(Sistema!BP224="","",Sistema!BP224)</f>
        <v/>
      </c>
      <c r="BQ224" t="str">
        <f>IF(Sistema!BQ224="","",Sistema!BQ224)</f>
        <v/>
      </c>
      <c r="BR224" t="str">
        <f>IF(Sistema!BR224="","",Sistema!BR224)</f>
        <v/>
      </c>
      <c r="BS224" t="str">
        <f>IF(Sistema!BS224="","",Sistema!BS224)</f>
        <v/>
      </c>
      <c r="BT224" t="str">
        <f>IF(Sistema!BT224="","",Sistema!BT224)</f>
        <v/>
      </c>
      <c r="BU224" t="str">
        <f>IF(Sistema!BU224="","",Sistema!BU224)</f>
        <v/>
      </c>
      <c r="BV224" t="str">
        <f>IF(Sistema!BV224="","",Sistema!BV224)</f>
        <v/>
      </c>
      <c r="BW224" t="str">
        <f>IF(Sistema!BW224="","",Sistema!BW224)</f>
        <v/>
      </c>
      <c r="BX224" t="str">
        <f>IF(Sistema!BX224="","",Sistema!BX224)</f>
        <v/>
      </c>
      <c r="BY224" t="str">
        <f>IF(Sistema!BY224="","",Sistema!BY224)</f>
        <v/>
      </c>
      <c r="BZ224" t="str">
        <f>IF(Sistema!BZ224="","",Sistema!BZ224)</f>
        <v/>
      </c>
      <c r="CA224" t="str">
        <f>IF(Sistema!CA224="","",Sistema!CA224)</f>
        <v/>
      </c>
      <c r="CB224" t="str">
        <f>IF(Sistema!CB224="","",Sistema!CB224)</f>
        <v/>
      </c>
      <c r="CC224" t="str">
        <f>IF(Sistema!CC224="","",Sistema!CC224)</f>
        <v/>
      </c>
      <c r="CD224" t="str">
        <f>IF(Sistema!CD224="","",Sistema!CD224)</f>
        <v/>
      </c>
    </row>
    <row r="225" spans="1:82" x14ac:dyDescent="0.25">
      <c r="A225" t="str">
        <f>IF(Sistema!A225="","",Sistema!A225)</f>
        <v/>
      </c>
      <c r="B225" t="str">
        <f>IF(Sistema!B225="","",Sistema!B225)</f>
        <v/>
      </c>
      <c r="C225" t="str">
        <f>IF(Sistema!C225="","",Sistema!C225)</f>
        <v/>
      </c>
      <c r="D225" t="str">
        <f>IF(Sistema!D225="","",Sistema!D225)</f>
        <v/>
      </c>
      <c r="E225" t="str">
        <f>IF(Sistema!E225="","",Sistema!E225)</f>
        <v/>
      </c>
      <c r="F225">
        <f>IF(P225&gt;0,1,IF(Sistema!F225=0,-1,1))</f>
        <v>-1</v>
      </c>
      <c r="G225">
        <f>Sistema!G225</f>
        <v>0</v>
      </c>
      <c r="H225" t="str">
        <f>IF(OR(R225="notify",R225=1),"visible",IF(OR(Sistema!F225=-1,Sistema!F225=0,ISNUMBER(SEARCH("PCK",E225))),"hidden",IF(P225&gt;0,"visible","hidden")))</f>
        <v>hidden</v>
      </c>
      <c r="I225" t="str">
        <f>IF(B225="simple",IF(P225&gt;0,"",IF(R225="notify",Info!C$2,"")),IF(B225="variable",IF(P225&gt;0,"",IF(R225="notify",Info!C$4,"")),""))</f>
        <v/>
      </c>
      <c r="J225" t="str">
        <f>IF(Sistema!J225="","",Sistema!J225)</f>
        <v/>
      </c>
      <c r="M225" t="str">
        <f>IF(Sistema!M225="","",Sistema!M225)</f>
        <v/>
      </c>
      <c r="N225" s="6" t="s">
        <v>1557</v>
      </c>
      <c r="O225" s="6">
        <v>1</v>
      </c>
      <c r="P225">
        <f>Sistema!P225</f>
        <v>0</v>
      </c>
      <c r="Q225">
        <f>Sistema!Q225</f>
        <v>0</v>
      </c>
      <c r="R225">
        <f>IF(Sistema!R225=1,"notify",Sistema!R225)</f>
        <v>0</v>
      </c>
      <c r="T225" t="str">
        <f>IF(Sistema!T225="","",Sistema!T225)</f>
        <v/>
      </c>
      <c r="U225" t="str">
        <f>IF(Sistema!U225="","",Sistema!U225)</f>
        <v/>
      </c>
      <c r="V225" t="str">
        <f>IF(Sistema!V225="","",Sistema!V225)</f>
        <v/>
      </c>
      <c r="W225" t="str">
        <f>IF(Sistema!W225="","",Sistema!W225)</f>
        <v/>
      </c>
      <c r="X225" s="6">
        <v>1</v>
      </c>
      <c r="Z225" t="str">
        <f>IF(Sistema!Z225="","",Sistema!Z225)</f>
        <v/>
      </c>
      <c r="AA225" t="str">
        <f>IF(Sistema!AA225="","",Sistema!AA225)</f>
        <v/>
      </c>
      <c r="AB225" t="str">
        <f>IF(Sistema!AB225="","",IF(OR(ISNUMBER(SEARCH("MKP",E225)),ISNUMBER(SEARCH("MKP",C225))),"Marketplace &gt; "&amp;Sistema!AB225,Sistema!AB225))</f>
        <v/>
      </c>
      <c r="AC225" t="str">
        <f>IF(Sistema!AC225="","",Sistema!AC225)</f>
        <v/>
      </c>
      <c r="AE225" t="str">
        <f>IF(Sistema!AE225="","",Sistema!AE225)</f>
        <v/>
      </c>
      <c r="AH225" t="str">
        <f>IF(Sistema!AH225="","",Sistema!AH225)</f>
        <v/>
      </c>
      <c r="AQ225" t="str">
        <f>IF(Sistema!AQ225="","",Sistema!AQ225)</f>
        <v/>
      </c>
      <c r="AR225" t="str">
        <f>IF(Sistema!AR225="","",Sistema!AR225)</f>
        <v/>
      </c>
      <c r="AS225" t="str">
        <f>IF(Sistema!AS225="","",Sistema!AS225)</f>
        <v/>
      </c>
      <c r="AT225" t="str">
        <f>IF(Sistema!AT225="","",Sistema!AT225)</f>
        <v/>
      </c>
      <c r="AU225" t="str">
        <f>IF(Sistema!AU225="","",Sistema!AU225)</f>
        <v/>
      </c>
      <c r="AV225" t="str">
        <f>IF(Sistema!AV225="","",Sistema!AV225)</f>
        <v/>
      </c>
      <c r="AW225" t="str">
        <f>IF(Sistema!AW225="","",Sistema!AW225)</f>
        <v/>
      </c>
      <c r="AX225" t="str">
        <f>IF(Sistema!AX225="","",Sistema!AX225)</f>
        <v/>
      </c>
      <c r="AY225" t="str">
        <f>IF(Sistema!AY225="","",Sistema!AY225)</f>
        <v/>
      </c>
      <c r="AZ225" t="str">
        <f>IF(Sistema!AZ225="","",Sistema!AZ225)</f>
        <v/>
      </c>
      <c r="BA225" t="str">
        <f>IF(Sistema!BA225="","",Sistema!BA225)</f>
        <v/>
      </c>
      <c r="BB225" t="str">
        <f>IF(Sistema!BB225="","",Sistema!BB225)</f>
        <v/>
      </c>
      <c r="BC225" t="str">
        <f>IF(Sistema!BC225="","",Sistema!BC225)</f>
        <v/>
      </c>
      <c r="BD225" t="str">
        <f>IF(Sistema!BD225="","",Sistema!BD225)</f>
        <v/>
      </c>
      <c r="BE225" t="str">
        <f>IF(Sistema!BE225="","",Sistema!BE225)</f>
        <v/>
      </c>
      <c r="BF225" t="str">
        <f>IF(Sistema!BF225="","",Sistema!BF225)</f>
        <v/>
      </c>
      <c r="BG225" t="str">
        <f>IF(Sistema!BG225="","",Sistema!BG225)</f>
        <v/>
      </c>
      <c r="BH225" t="str">
        <f>IF(Sistema!BH225="","",Sistema!BH225)</f>
        <v/>
      </c>
      <c r="BI225" t="str">
        <f>IF(Sistema!BI225="","",Sistema!BI225)</f>
        <v/>
      </c>
      <c r="BJ225" t="str">
        <f>IF(Sistema!BJ225="","",Sistema!BJ225)</f>
        <v/>
      </c>
      <c r="BK225" t="str">
        <f>IF(Sistema!BK225="","",Sistema!BK225)</f>
        <v/>
      </c>
      <c r="BL225" t="str">
        <f>IF(Sistema!BL225="","",Sistema!BL225)</f>
        <v/>
      </c>
      <c r="BM225" t="str">
        <f>IF(Sistema!BM225="","",Sistema!BM225)</f>
        <v/>
      </c>
      <c r="BN225" t="str">
        <f>IF(Sistema!BN225="","",Sistema!BN225)</f>
        <v/>
      </c>
      <c r="BO225" t="str">
        <f>IF(Sistema!BO225="","",Sistema!BO225)</f>
        <v/>
      </c>
      <c r="BP225" t="str">
        <f>IF(Sistema!BP225="","",Sistema!BP225)</f>
        <v/>
      </c>
      <c r="BQ225" t="str">
        <f>IF(Sistema!BQ225="","",Sistema!BQ225)</f>
        <v/>
      </c>
      <c r="BR225" t="str">
        <f>IF(Sistema!BR225="","",Sistema!BR225)</f>
        <v/>
      </c>
      <c r="BS225" t="str">
        <f>IF(Sistema!BS225="","",Sistema!BS225)</f>
        <v/>
      </c>
      <c r="BT225" t="str">
        <f>IF(Sistema!BT225="","",Sistema!BT225)</f>
        <v/>
      </c>
      <c r="BU225" t="str">
        <f>IF(Sistema!BU225="","",Sistema!BU225)</f>
        <v/>
      </c>
      <c r="BV225" t="str">
        <f>IF(Sistema!BV225="","",Sistema!BV225)</f>
        <v/>
      </c>
      <c r="BW225" t="str">
        <f>IF(Sistema!BW225="","",Sistema!BW225)</f>
        <v/>
      </c>
      <c r="BX225" t="str">
        <f>IF(Sistema!BX225="","",Sistema!BX225)</f>
        <v/>
      </c>
      <c r="BY225" t="str">
        <f>IF(Sistema!BY225="","",Sistema!BY225)</f>
        <v/>
      </c>
      <c r="BZ225" t="str">
        <f>IF(Sistema!BZ225="","",Sistema!BZ225)</f>
        <v/>
      </c>
      <c r="CA225" t="str">
        <f>IF(Sistema!CA225="","",Sistema!CA225)</f>
        <v/>
      </c>
      <c r="CB225" t="str">
        <f>IF(Sistema!CB225="","",Sistema!CB225)</f>
        <v/>
      </c>
      <c r="CC225" t="str">
        <f>IF(Sistema!CC225="","",Sistema!CC225)</f>
        <v/>
      </c>
      <c r="CD225" t="str">
        <f>IF(Sistema!CD225="","",Sistema!CD225)</f>
        <v/>
      </c>
    </row>
    <row r="226" spans="1:82" x14ac:dyDescent="0.25">
      <c r="A226" t="str">
        <f>IF(Sistema!A226="","",Sistema!A226)</f>
        <v/>
      </c>
      <c r="B226" t="str">
        <f>IF(Sistema!B226="","",Sistema!B226)</f>
        <v/>
      </c>
      <c r="C226" t="str">
        <f>IF(Sistema!C226="","",Sistema!C226)</f>
        <v/>
      </c>
      <c r="D226" t="str">
        <f>IF(Sistema!D226="","",Sistema!D226)</f>
        <v/>
      </c>
      <c r="E226" t="str">
        <f>IF(Sistema!E226="","",Sistema!E226)</f>
        <v/>
      </c>
      <c r="F226">
        <f>IF(P226&gt;0,1,IF(Sistema!F226=0,-1,1))</f>
        <v>-1</v>
      </c>
      <c r="G226">
        <f>Sistema!G226</f>
        <v>0</v>
      </c>
      <c r="H226" t="str">
        <f>IF(OR(R226="notify",R226=1),"visible",IF(OR(Sistema!F226=-1,Sistema!F226=0,ISNUMBER(SEARCH("PCK",E226))),"hidden",IF(P226&gt;0,"visible","hidden")))</f>
        <v>hidden</v>
      </c>
      <c r="I226" t="str">
        <f>IF(B226="simple",IF(P226&gt;0,"",IF(R226="notify",Info!C$2,"")),IF(B226="variable",IF(P226&gt;0,"",IF(R226="notify",Info!C$4,"")),""))</f>
        <v/>
      </c>
      <c r="J226" t="str">
        <f>IF(Sistema!J226="","",Sistema!J226)</f>
        <v/>
      </c>
      <c r="M226" t="str">
        <f>IF(Sistema!M226="","",Sistema!M226)</f>
        <v/>
      </c>
      <c r="N226" s="6" t="s">
        <v>1557</v>
      </c>
      <c r="O226" s="6">
        <v>1</v>
      </c>
      <c r="P226">
        <f>Sistema!P226</f>
        <v>0</v>
      </c>
      <c r="Q226">
        <f>Sistema!Q226</f>
        <v>0</v>
      </c>
      <c r="R226">
        <f>IF(Sistema!R226=1,"notify",Sistema!R226)</f>
        <v>0</v>
      </c>
      <c r="T226" t="str">
        <f>IF(Sistema!T226="","",Sistema!T226)</f>
        <v/>
      </c>
      <c r="U226" t="str">
        <f>IF(Sistema!U226="","",Sistema!U226)</f>
        <v/>
      </c>
      <c r="V226" t="str">
        <f>IF(Sistema!V226="","",Sistema!V226)</f>
        <v/>
      </c>
      <c r="W226" t="str">
        <f>IF(Sistema!W226="","",Sistema!W226)</f>
        <v/>
      </c>
      <c r="X226" s="6">
        <v>1</v>
      </c>
      <c r="Z226" t="str">
        <f>IF(Sistema!Z226="","",Sistema!Z226)</f>
        <v/>
      </c>
      <c r="AA226" t="str">
        <f>IF(Sistema!AA226="","",Sistema!AA226)</f>
        <v/>
      </c>
      <c r="AB226" t="str">
        <f>IF(Sistema!AB226="","",IF(OR(ISNUMBER(SEARCH("MKP",E226)),ISNUMBER(SEARCH("MKP",C226))),"Marketplace &gt; "&amp;Sistema!AB226,Sistema!AB226))</f>
        <v/>
      </c>
      <c r="AC226" t="str">
        <f>IF(Sistema!AC226="","",Sistema!AC226)</f>
        <v/>
      </c>
      <c r="AE226" t="str">
        <f>IF(Sistema!AE226="","",Sistema!AE226)</f>
        <v/>
      </c>
      <c r="AH226" t="str">
        <f>IF(Sistema!AH226="","",Sistema!AH226)</f>
        <v/>
      </c>
      <c r="AQ226" t="str">
        <f>IF(Sistema!AQ226="","",Sistema!AQ226)</f>
        <v/>
      </c>
      <c r="AR226" t="str">
        <f>IF(Sistema!AR226="","",Sistema!AR226)</f>
        <v/>
      </c>
      <c r="AS226" t="str">
        <f>IF(Sistema!AS226="","",Sistema!AS226)</f>
        <v/>
      </c>
      <c r="AT226" t="str">
        <f>IF(Sistema!AT226="","",Sistema!AT226)</f>
        <v/>
      </c>
      <c r="AU226" t="str">
        <f>IF(Sistema!AU226="","",Sistema!AU226)</f>
        <v/>
      </c>
      <c r="AV226" t="str">
        <f>IF(Sistema!AV226="","",Sistema!AV226)</f>
        <v/>
      </c>
      <c r="AW226" t="str">
        <f>IF(Sistema!AW226="","",Sistema!AW226)</f>
        <v/>
      </c>
      <c r="AX226" t="str">
        <f>IF(Sistema!AX226="","",Sistema!AX226)</f>
        <v/>
      </c>
      <c r="AY226" t="str">
        <f>IF(Sistema!AY226="","",Sistema!AY226)</f>
        <v/>
      </c>
      <c r="AZ226" t="str">
        <f>IF(Sistema!AZ226="","",Sistema!AZ226)</f>
        <v/>
      </c>
      <c r="BA226" t="str">
        <f>IF(Sistema!BA226="","",Sistema!BA226)</f>
        <v/>
      </c>
      <c r="BB226" t="str">
        <f>IF(Sistema!BB226="","",Sistema!BB226)</f>
        <v/>
      </c>
      <c r="BC226" t="str">
        <f>IF(Sistema!BC226="","",Sistema!BC226)</f>
        <v/>
      </c>
      <c r="BD226" t="str">
        <f>IF(Sistema!BD226="","",Sistema!BD226)</f>
        <v/>
      </c>
      <c r="BE226" t="str">
        <f>IF(Sistema!BE226="","",Sistema!BE226)</f>
        <v/>
      </c>
      <c r="BF226" t="str">
        <f>IF(Sistema!BF226="","",Sistema!BF226)</f>
        <v/>
      </c>
      <c r="BG226" t="str">
        <f>IF(Sistema!BG226="","",Sistema!BG226)</f>
        <v/>
      </c>
      <c r="BH226" t="str">
        <f>IF(Sistema!BH226="","",Sistema!BH226)</f>
        <v/>
      </c>
      <c r="BI226" t="str">
        <f>IF(Sistema!BI226="","",Sistema!BI226)</f>
        <v/>
      </c>
      <c r="BJ226" t="str">
        <f>IF(Sistema!BJ226="","",Sistema!BJ226)</f>
        <v/>
      </c>
      <c r="BK226" t="str">
        <f>IF(Sistema!BK226="","",Sistema!BK226)</f>
        <v/>
      </c>
      <c r="BL226" t="str">
        <f>IF(Sistema!BL226="","",Sistema!BL226)</f>
        <v/>
      </c>
      <c r="BM226" t="str">
        <f>IF(Sistema!BM226="","",Sistema!BM226)</f>
        <v/>
      </c>
      <c r="BN226" t="str">
        <f>IF(Sistema!BN226="","",Sistema!BN226)</f>
        <v/>
      </c>
      <c r="BO226" t="str">
        <f>IF(Sistema!BO226="","",Sistema!BO226)</f>
        <v/>
      </c>
      <c r="BP226" t="str">
        <f>IF(Sistema!BP226="","",Sistema!BP226)</f>
        <v/>
      </c>
      <c r="BQ226" t="str">
        <f>IF(Sistema!BQ226="","",Sistema!BQ226)</f>
        <v/>
      </c>
      <c r="BR226" t="str">
        <f>IF(Sistema!BR226="","",Sistema!BR226)</f>
        <v/>
      </c>
      <c r="BS226" t="str">
        <f>IF(Sistema!BS226="","",Sistema!BS226)</f>
        <v/>
      </c>
      <c r="BT226" t="str">
        <f>IF(Sistema!BT226="","",Sistema!BT226)</f>
        <v/>
      </c>
      <c r="BU226" t="str">
        <f>IF(Sistema!BU226="","",Sistema!BU226)</f>
        <v/>
      </c>
      <c r="BV226" t="str">
        <f>IF(Sistema!BV226="","",Sistema!BV226)</f>
        <v/>
      </c>
      <c r="BW226" t="str">
        <f>IF(Sistema!BW226="","",Sistema!BW226)</f>
        <v/>
      </c>
      <c r="BX226" t="str">
        <f>IF(Sistema!BX226="","",Sistema!BX226)</f>
        <v/>
      </c>
      <c r="BY226" t="str">
        <f>IF(Sistema!BY226="","",Sistema!BY226)</f>
        <v/>
      </c>
      <c r="BZ226" t="str">
        <f>IF(Sistema!BZ226="","",Sistema!BZ226)</f>
        <v/>
      </c>
      <c r="CA226" t="str">
        <f>IF(Sistema!CA226="","",Sistema!CA226)</f>
        <v/>
      </c>
      <c r="CB226" t="str">
        <f>IF(Sistema!CB226="","",Sistema!CB226)</f>
        <v/>
      </c>
      <c r="CC226" t="str">
        <f>IF(Sistema!CC226="","",Sistema!CC226)</f>
        <v/>
      </c>
      <c r="CD226" t="str">
        <f>IF(Sistema!CD226="","",Sistema!CD226)</f>
        <v/>
      </c>
    </row>
    <row r="227" spans="1:82" x14ac:dyDescent="0.25">
      <c r="A227" t="str">
        <f>IF(Sistema!A227="","",Sistema!A227)</f>
        <v/>
      </c>
      <c r="B227" t="str">
        <f>IF(Sistema!B227="","",Sistema!B227)</f>
        <v/>
      </c>
      <c r="C227" t="str">
        <f>IF(Sistema!C227="","",Sistema!C227)</f>
        <v/>
      </c>
      <c r="D227" t="str">
        <f>IF(Sistema!D227="","",Sistema!D227)</f>
        <v/>
      </c>
      <c r="E227" t="str">
        <f>IF(Sistema!E227="","",Sistema!E227)</f>
        <v/>
      </c>
      <c r="F227">
        <f>IF(P227&gt;0,1,IF(Sistema!F227=0,-1,1))</f>
        <v>-1</v>
      </c>
      <c r="G227">
        <f>Sistema!G227</f>
        <v>0</v>
      </c>
      <c r="H227" t="str">
        <f>IF(OR(R227="notify",R227=1),"visible",IF(OR(Sistema!F227=-1,Sistema!F227=0,ISNUMBER(SEARCH("PCK",E227))),"hidden",IF(P227&gt;0,"visible","hidden")))</f>
        <v>hidden</v>
      </c>
      <c r="I227" t="str">
        <f>IF(B227="simple",IF(P227&gt;0,"",IF(R227="notify",Info!C$2,"")),IF(B227="variable",IF(P227&gt;0,"",IF(R227="notify",Info!C$4,"")),""))</f>
        <v/>
      </c>
      <c r="J227" t="str">
        <f>IF(Sistema!J227="","",Sistema!J227)</f>
        <v/>
      </c>
      <c r="M227" t="str">
        <f>IF(Sistema!M227="","",Sistema!M227)</f>
        <v/>
      </c>
      <c r="N227" s="6" t="s">
        <v>1557</v>
      </c>
      <c r="O227" s="6">
        <v>1</v>
      </c>
      <c r="P227">
        <f>Sistema!P227</f>
        <v>0</v>
      </c>
      <c r="Q227">
        <f>Sistema!Q227</f>
        <v>0</v>
      </c>
      <c r="R227">
        <f>IF(Sistema!R227=1,"notify",Sistema!R227)</f>
        <v>0</v>
      </c>
      <c r="T227" t="str">
        <f>IF(Sistema!T227="","",Sistema!T227)</f>
        <v/>
      </c>
      <c r="U227" t="str">
        <f>IF(Sistema!U227="","",Sistema!U227)</f>
        <v/>
      </c>
      <c r="V227" t="str">
        <f>IF(Sistema!V227="","",Sistema!V227)</f>
        <v/>
      </c>
      <c r="W227" t="str">
        <f>IF(Sistema!W227="","",Sistema!W227)</f>
        <v/>
      </c>
      <c r="X227" s="6">
        <v>1</v>
      </c>
      <c r="Z227" t="str">
        <f>IF(Sistema!Z227="","",Sistema!Z227)</f>
        <v/>
      </c>
      <c r="AA227" t="str">
        <f>IF(Sistema!AA227="","",Sistema!AA227)</f>
        <v/>
      </c>
      <c r="AB227" t="str">
        <f>IF(Sistema!AB227="","",IF(OR(ISNUMBER(SEARCH("MKP",E227)),ISNUMBER(SEARCH("MKP",C227))),"Marketplace &gt; "&amp;Sistema!AB227,Sistema!AB227))</f>
        <v/>
      </c>
      <c r="AC227" t="str">
        <f>IF(Sistema!AC227="","",Sistema!AC227)</f>
        <v/>
      </c>
      <c r="AE227" t="str">
        <f>IF(Sistema!AE227="","",Sistema!AE227)</f>
        <v/>
      </c>
      <c r="AH227" t="str">
        <f>IF(Sistema!AH227="","",Sistema!AH227)</f>
        <v/>
      </c>
      <c r="AQ227" t="str">
        <f>IF(Sistema!AQ227="","",Sistema!AQ227)</f>
        <v/>
      </c>
      <c r="AR227" t="str">
        <f>IF(Sistema!AR227="","",Sistema!AR227)</f>
        <v/>
      </c>
      <c r="AS227" t="str">
        <f>IF(Sistema!AS227="","",Sistema!AS227)</f>
        <v/>
      </c>
      <c r="AT227" t="str">
        <f>IF(Sistema!AT227="","",Sistema!AT227)</f>
        <v/>
      </c>
      <c r="AU227" t="str">
        <f>IF(Sistema!AU227="","",Sistema!AU227)</f>
        <v/>
      </c>
      <c r="AV227" t="str">
        <f>IF(Sistema!AV227="","",Sistema!AV227)</f>
        <v/>
      </c>
      <c r="AW227" t="str">
        <f>IF(Sistema!AW227="","",Sistema!AW227)</f>
        <v/>
      </c>
      <c r="AX227" t="str">
        <f>IF(Sistema!AX227="","",Sistema!AX227)</f>
        <v/>
      </c>
      <c r="AY227" t="str">
        <f>IF(Sistema!AY227="","",Sistema!AY227)</f>
        <v/>
      </c>
      <c r="AZ227" t="str">
        <f>IF(Sistema!AZ227="","",Sistema!AZ227)</f>
        <v/>
      </c>
      <c r="BA227" t="str">
        <f>IF(Sistema!BA227="","",Sistema!BA227)</f>
        <v/>
      </c>
      <c r="BB227" t="str">
        <f>IF(Sistema!BB227="","",Sistema!BB227)</f>
        <v/>
      </c>
      <c r="BC227" t="str">
        <f>IF(Sistema!BC227="","",Sistema!BC227)</f>
        <v/>
      </c>
      <c r="BD227" t="str">
        <f>IF(Sistema!BD227="","",Sistema!BD227)</f>
        <v/>
      </c>
      <c r="BE227" t="str">
        <f>IF(Sistema!BE227="","",Sistema!BE227)</f>
        <v/>
      </c>
      <c r="BF227" t="str">
        <f>IF(Sistema!BF227="","",Sistema!BF227)</f>
        <v/>
      </c>
      <c r="BG227" t="str">
        <f>IF(Sistema!BG227="","",Sistema!BG227)</f>
        <v/>
      </c>
      <c r="BH227" t="str">
        <f>IF(Sistema!BH227="","",Sistema!BH227)</f>
        <v/>
      </c>
      <c r="BI227" t="str">
        <f>IF(Sistema!BI227="","",Sistema!BI227)</f>
        <v/>
      </c>
      <c r="BJ227" t="str">
        <f>IF(Sistema!BJ227="","",Sistema!BJ227)</f>
        <v/>
      </c>
      <c r="BK227" t="str">
        <f>IF(Sistema!BK227="","",Sistema!BK227)</f>
        <v/>
      </c>
      <c r="BL227" t="str">
        <f>IF(Sistema!BL227="","",Sistema!BL227)</f>
        <v/>
      </c>
      <c r="BM227" t="str">
        <f>IF(Sistema!BM227="","",Sistema!BM227)</f>
        <v/>
      </c>
      <c r="BN227" t="str">
        <f>IF(Sistema!BN227="","",Sistema!BN227)</f>
        <v/>
      </c>
      <c r="BO227" t="str">
        <f>IF(Sistema!BO227="","",Sistema!BO227)</f>
        <v/>
      </c>
      <c r="BP227" t="str">
        <f>IF(Sistema!BP227="","",Sistema!BP227)</f>
        <v/>
      </c>
      <c r="BQ227" t="str">
        <f>IF(Sistema!BQ227="","",Sistema!BQ227)</f>
        <v/>
      </c>
      <c r="BR227" t="str">
        <f>IF(Sistema!BR227="","",Sistema!BR227)</f>
        <v/>
      </c>
      <c r="BS227" t="str">
        <f>IF(Sistema!BS227="","",Sistema!BS227)</f>
        <v/>
      </c>
      <c r="BT227" t="str">
        <f>IF(Sistema!BT227="","",Sistema!BT227)</f>
        <v/>
      </c>
      <c r="BU227" t="str">
        <f>IF(Sistema!BU227="","",Sistema!BU227)</f>
        <v/>
      </c>
      <c r="BV227" t="str">
        <f>IF(Sistema!BV227="","",Sistema!BV227)</f>
        <v/>
      </c>
      <c r="BW227" t="str">
        <f>IF(Sistema!BW227="","",Sistema!BW227)</f>
        <v/>
      </c>
      <c r="BX227" t="str">
        <f>IF(Sistema!BX227="","",Sistema!BX227)</f>
        <v/>
      </c>
      <c r="BY227" t="str">
        <f>IF(Sistema!BY227="","",Sistema!BY227)</f>
        <v/>
      </c>
      <c r="BZ227" t="str">
        <f>IF(Sistema!BZ227="","",Sistema!BZ227)</f>
        <v/>
      </c>
      <c r="CA227" t="str">
        <f>IF(Sistema!CA227="","",Sistema!CA227)</f>
        <v/>
      </c>
      <c r="CB227" t="str">
        <f>IF(Sistema!CB227="","",Sistema!CB227)</f>
        <v/>
      </c>
      <c r="CC227" t="str">
        <f>IF(Sistema!CC227="","",Sistema!CC227)</f>
        <v/>
      </c>
      <c r="CD227" t="str">
        <f>IF(Sistema!CD227="","",Sistema!CD227)</f>
        <v/>
      </c>
    </row>
    <row r="228" spans="1:82" x14ac:dyDescent="0.25">
      <c r="A228" t="str">
        <f>IF(Sistema!A228="","",Sistema!A228)</f>
        <v/>
      </c>
      <c r="B228" t="str">
        <f>IF(Sistema!B228="","",Sistema!B228)</f>
        <v/>
      </c>
      <c r="C228" t="str">
        <f>IF(Sistema!C228="","",Sistema!C228)</f>
        <v/>
      </c>
      <c r="D228" t="str">
        <f>IF(Sistema!D228="","",Sistema!D228)</f>
        <v/>
      </c>
      <c r="E228" t="str">
        <f>IF(Sistema!E228="","",Sistema!E228)</f>
        <v/>
      </c>
      <c r="F228">
        <f>IF(P228&gt;0,1,IF(Sistema!F228=0,-1,1))</f>
        <v>-1</v>
      </c>
      <c r="G228">
        <f>Sistema!G228</f>
        <v>0</v>
      </c>
      <c r="H228" t="str">
        <f>IF(OR(R228="notify",R228=1),"visible",IF(OR(Sistema!F228=-1,Sistema!F228=0,ISNUMBER(SEARCH("PCK",E228))),"hidden",IF(P228&gt;0,"visible","hidden")))</f>
        <v>hidden</v>
      </c>
      <c r="I228" t="str">
        <f>IF(B228="simple",IF(P228&gt;0,"",IF(R228="notify",Info!C$2,"")),IF(B228="variable",IF(P228&gt;0,"",IF(R228="notify",Info!C$4,"")),""))</f>
        <v/>
      </c>
      <c r="J228" t="str">
        <f>IF(Sistema!J228="","",Sistema!J228)</f>
        <v/>
      </c>
      <c r="M228" t="str">
        <f>IF(Sistema!M228="","",Sistema!M228)</f>
        <v/>
      </c>
      <c r="N228" s="6" t="s">
        <v>1557</v>
      </c>
      <c r="O228" s="6">
        <v>1</v>
      </c>
      <c r="P228">
        <f>Sistema!P228</f>
        <v>0</v>
      </c>
      <c r="Q228">
        <f>Sistema!Q228</f>
        <v>0</v>
      </c>
      <c r="R228">
        <f>IF(Sistema!R228=1,"notify",Sistema!R228)</f>
        <v>0</v>
      </c>
      <c r="T228" t="str">
        <f>IF(Sistema!T228="","",Sistema!T228)</f>
        <v/>
      </c>
      <c r="U228" t="str">
        <f>IF(Sistema!U228="","",Sistema!U228)</f>
        <v/>
      </c>
      <c r="V228" t="str">
        <f>IF(Sistema!V228="","",Sistema!V228)</f>
        <v/>
      </c>
      <c r="W228" t="str">
        <f>IF(Sistema!W228="","",Sistema!W228)</f>
        <v/>
      </c>
      <c r="X228" s="6">
        <v>1</v>
      </c>
      <c r="Z228" t="str">
        <f>IF(Sistema!Z228="","",Sistema!Z228)</f>
        <v/>
      </c>
      <c r="AA228" t="str">
        <f>IF(Sistema!AA228="","",Sistema!AA228)</f>
        <v/>
      </c>
      <c r="AB228" t="str">
        <f>IF(Sistema!AB228="","",IF(OR(ISNUMBER(SEARCH("MKP",E228)),ISNUMBER(SEARCH("MKP",C228))),"Marketplace &gt; "&amp;Sistema!AB228,Sistema!AB228))</f>
        <v/>
      </c>
      <c r="AC228" t="str">
        <f>IF(Sistema!AC228="","",Sistema!AC228)</f>
        <v/>
      </c>
      <c r="AE228" t="str">
        <f>IF(Sistema!AE228="","",Sistema!AE228)</f>
        <v/>
      </c>
      <c r="AH228" t="str">
        <f>IF(Sistema!AH228="","",Sistema!AH228)</f>
        <v/>
      </c>
      <c r="AQ228" t="str">
        <f>IF(Sistema!AQ228="","",Sistema!AQ228)</f>
        <v/>
      </c>
      <c r="AR228" t="str">
        <f>IF(Sistema!AR228="","",Sistema!AR228)</f>
        <v/>
      </c>
      <c r="AS228" t="str">
        <f>IF(Sistema!AS228="","",Sistema!AS228)</f>
        <v/>
      </c>
      <c r="AT228" t="str">
        <f>IF(Sistema!AT228="","",Sistema!AT228)</f>
        <v/>
      </c>
      <c r="AU228" t="str">
        <f>IF(Sistema!AU228="","",Sistema!AU228)</f>
        <v/>
      </c>
      <c r="AV228" t="str">
        <f>IF(Sistema!AV228="","",Sistema!AV228)</f>
        <v/>
      </c>
      <c r="AW228" t="str">
        <f>IF(Sistema!AW228="","",Sistema!AW228)</f>
        <v/>
      </c>
      <c r="AX228" t="str">
        <f>IF(Sistema!AX228="","",Sistema!AX228)</f>
        <v/>
      </c>
      <c r="AY228" t="str">
        <f>IF(Sistema!AY228="","",Sistema!AY228)</f>
        <v/>
      </c>
      <c r="AZ228" t="str">
        <f>IF(Sistema!AZ228="","",Sistema!AZ228)</f>
        <v/>
      </c>
      <c r="BA228" t="str">
        <f>IF(Sistema!BA228="","",Sistema!BA228)</f>
        <v/>
      </c>
      <c r="BB228" t="str">
        <f>IF(Sistema!BB228="","",Sistema!BB228)</f>
        <v/>
      </c>
      <c r="BC228" t="str">
        <f>IF(Sistema!BC228="","",Sistema!BC228)</f>
        <v/>
      </c>
      <c r="BD228" t="str">
        <f>IF(Sistema!BD228="","",Sistema!BD228)</f>
        <v/>
      </c>
      <c r="BE228" t="str">
        <f>IF(Sistema!BE228="","",Sistema!BE228)</f>
        <v/>
      </c>
      <c r="BF228" t="str">
        <f>IF(Sistema!BF228="","",Sistema!BF228)</f>
        <v/>
      </c>
      <c r="BG228" t="str">
        <f>IF(Sistema!BG228="","",Sistema!BG228)</f>
        <v/>
      </c>
      <c r="BH228" t="str">
        <f>IF(Sistema!BH228="","",Sistema!BH228)</f>
        <v/>
      </c>
      <c r="BI228" t="str">
        <f>IF(Sistema!BI228="","",Sistema!BI228)</f>
        <v/>
      </c>
      <c r="BJ228" t="str">
        <f>IF(Sistema!BJ228="","",Sistema!BJ228)</f>
        <v/>
      </c>
      <c r="BK228" t="str">
        <f>IF(Sistema!BK228="","",Sistema!BK228)</f>
        <v/>
      </c>
      <c r="BL228" t="str">
        <f>IF(Sistema!BL228="","",Sistema!BL228)</f>
        <v/>
      </c>
      <c r="BM228" t="str">
        <f>IF(Sistema!BM228="","",Sistema!BM228)</f>
        <v/>
      </c>
      <c r="BN228" t="str">
        <f>IF(Sistema!BN228="","",Sistema!BN228)</f>
        <v/>
      </c>
      <c r="BO228" t="str">
        <f>IF(Sistema!BO228="","",Sistema!BO228)</f>
        <v/>
      </c>
      <c r="BP228" t="str">
        <f>IF(Sistema!BP228="","",Sistema!BP228)</f>
        <v/>
      </c>
      <c r="BQ228" t="str">
        <f>IF(Sistema!BQ228="","",Sistema!BQ228)</f>
        <v/>
      </c>
      <c r="BR228" t="str">
        <f>IF(Sistema!BR228="","",Sistema!BR228)</f>
        <v/>
      </c>
      <c r="BS228" t="str">
        <f>IF(Sistema!BS228="","",Sistema!BS228)</f>
        <v/>
      </c>
      <c r="BT228" t="str">
        <f>IF(Sistema!BT228="","",Sistema!BT228)</f>
        <v/>
      </c>
      <c r="BU228" t="str">
        <f>IF(Sistema!BU228="","",Sistema!BU228)</f>
        <v/>
      </c>
      <c r="BV228" t="str">
        <f>IF(Sistema!BV228="","",Sistema!BV228)</f>
        <v/>
      </c>
      <c r="BW228" t="str">
        <f>IF(Sistema!BW228="","",Sistema!BW228)</f>
        <v/>
      </c>
      <c r="BX228" t="str">
        <f>IF(Sistema!BX228="","",Sistema!BX228)</f>
        <v/>
      </c>
      <c r="BY228" t="str">
        <f>IF(Sistema!BY228="","",Sistema!BY228)</f>
        <v/>
      </c>
      <c r="BZ228" t="str">
        <f>IF(Sistema!BZ228="","",Sistema!BZ228)</f>
        <v/>
      </c>
      <c r="CA228" t="str">
        <f>IF(Sistema!CA228="","",Sistema!CA228)</f>
        <v/>
      </c>
      <c r="CB228" t="str">
        <f>IF(Sistema!CB228="","",Sistema!CB228)</f>
        <v/>
      </c>
      <c r="CC228" t="str">
        <f>IF(Sistema!CC228="","",Sistema!CC228)</f>
        <v/>
      </c>
      <c r="CD228" t="str">
        <f>IF(Sistema!CD228="","",Sistema!CD228)</f>
        <v/>
      </c>
    </row>
    <row r="229" spans="1:82" x14ac:dyDescent="0.25">
      <c r="A229" t="str">
        <f>IF(Sistema!A229="","",Sistema!A229)</f>
        <v/>
      </c>
      <c r="B229" t="str">
        <f>IF(Sistema!B229="","",Sistema!B229)</f>
        <v/>
      </c>
      <c r="C229" t="str">
        <f>IF(Sistema!C229="","",Sistema!C229)</f>
        <v/>
      </c>
      <c r="D229" t="str">
        <f>IF(Sistema!D229="","",Sistema!D229)</f>
        <v/>
      </c>
      <c r="E229" t="str">
        <f>IF(Sistema!E229="","",Sistema!E229)</f>
        <v/>
      </c>
      <c r="F229">
        <f>IF(P229&gt;0,1,IF(Sistema!F229=0,-1,1))</f>
        <v>-1</v>
      </c>
      <c r="G229">
        <f>Sistema!G229</f>
        <v>0</v>
      </c>
      <c r="H229" t="str">
        <f>IF(OR(R229="notify",R229=1),"visible",IF(OR(Sistema!F229=-1,Sistema!F229=0,ISNUMBER(SEARCH("PCK",E229))),"hidden",IF(P229&gt;0,"visible","hidden")))</f>
        <v>hidden</v>
      </c>
      <c r="I229" t="str">
        <f>IF(B229="simple",IF(P229&gt;0,"",IF(R229="notify",Info!C$2,"")),IF(B229="variable",IF(P229&gt;0,"",IF(R229="notify",Info!C$4,"")),""))</f>
        <v/>
      </c>
      <c r="J229" t="str">
        <f>IF(Sistema!J229="","",Sistema!J229)</f>
        <v/>
      </c>
      <c r="M229" t="str">
        <f>IF(Sistema!M229="","",Sistema!M229)</f>
        <v/>
      </c>
      <c r="N229" s="6" t="s">
        <v>1557</v>
      </c>
      <c r="O229" s="6">
        <v>1</v>
      </c>
      <c r="P229">
        <f>Sistema!P229</f>
        <v>0</v>
      </c>
      <c r="Q229">
        <f>Sistema!Q229</f>
        <v>0</v>
      </c>
      <c r="R229">
        <f>IF(Sistema!R229=1,"notify",Sistema!R229)</f>
        <v>0</v>
      </c>
      <c r="T229" t="str">
        <f>IF(Sistema!T229="","",Sistema!T229)</f>
        <v/>
      </c>
      <c r="U229" t="str">
        <f>IF(Sistema!U229="","",Sistema!U229)</f>
        <v/>
      </c>
      <c r="V229" t="str">
        <f>IF(Sistema!V229="","",Sistema!V229)</f>
        <v/>
      </c>
      <c r="W229" t="str">
        <f>IF(Sistema!W229="","",Sistema!W229)</f>
        <v/>
      </c>
      <c r="X229" s="6">
        <v>1</v>
      </c>
      <c r="Z229" t="str">
        <f>IF(Sistema!Z229="","",Sistema!Z229)</f>
        <v/>
      </c>
      <c r="AA229" t="str">
        <f>IF(Sistema!AA229="","",Sistema!AA229)</f>
        <v/>
      </c>
      <c r="AB229" t="str">
        <f>IF(Sistema!AB229="","",IF(OR(ISNUMBER(SEARCH("MKP",E229)),ISNUMBER(SEARCH("MKP",C229))),"Marketplace &gt; "&amp;Sistema!AB229,Sistema!AB229))</f>
        <v/>
      </c>
      <c r="AC229" t="str">
        <f>IF(Sistema!AC229="","",Sistema!AC229)</f>
        <v/>
      </c>
      <c r="AE229" t="str">
        <f>IF(Sistema!AE229="","",Sistema!AE229)</f>
        <v/>
      </c>
      <c r="AH229" t="str">
        <f>IF(Sistema!AH229="","",Sistema!AH229)</f>
        <v/>
      </c>
      <c r="AQ229" t="str">
        <f>IF(Sistema!AQ229="","",Sistema!AQ229)</f>
        <v/>
      </c>
      <c r="AR229" t="str">
        <f>IF(Sistema!AR229="","",Sistema!AR229)</f>
        <v/>
      </c>
      <c r="AS229" t="str">
        <f>IF(Sistema!AS229="","",Sistema!AS229)</f>
        <v/>
      </c>
      <c r="AT229" t="str">
        <f>IF(Sistema!AT229="","",Sistema!AT229)</f>
        <v/>
      </c>
      <c r="AU229" t="str">
        <f>IF(Sistema!AU229="","",Sistema!AU229)</f>
        <v/>
      </c>
      <c r="AV229" t="str">
        <f>IF(Sistema!AV229="","",Sistema!AV229)</f>
        <v/>
      </c>
      <c r="AW229" t="str">
        <f>IF(Sistema!AW229="","",Sistema!AW229)</f>
        <v/>
      </c>
      <c r="AX229" t="str">
        <f>IF(Sistema!AX229="","",Sistema!AX229)</f>
        <v/>
      </c>
      <c r="AY229" t="str">
        <f>IF(Sistema!AY229="","",Sistema!AY229)</f>
        <v/>
      </c>
      <c r="AZ229" t="str">
        <f>IF(Sistema!AZ229="","",Sistema!AZ229)</f>
        <v/>
      </c>
      <c r="BA229" t="str">
        <f>IF(Sistema!BA229="","",Sistema!BA229)</f>
        <v/>
      </c>
      <c r="BB229" t="str">
        <f>IF(Sistema!BB229="","",Sistema!BB229)</f>
        <v/>
      </c>
      <c r="BC229" t="str">
        <f>IF(Sistema!BC229="","",Sistema!BC229)</f>
        <v/>
      </c>
      <c r="BD229" t="str">
        <f>IF(Sistema!BD229="","",Sistema!BD229)</f>
        <v/>
      </c>
      <c r="BE229" t="str">
        <f>IF(Sistema!BE229="","",Sistema!BE229)</f>
        <v/>
      </c>
      <c r="BF229" t="str">
        <f>IF(Sistema!BF229="","",Sistema!BF229)</f>
        <v/>
      </c>
      <c r="BG229" t="str">
        <f>IF(Sistema!BG229="","",Sistema!BG229)</f>
        <v/>
      </c>
      <c r="BH229" t="str">
        <f>IF(Sistema!BH229="","",Sistema!BH229)</f>
        <v/>
      </c>
      <c r="BI229" t="str">
        <f>IF(Sistema!BI229="","",Sistema!BI229)</f>
        <v/>
      </c>
      <c r="BJ229" t="str">
        <f>IF(Sistema!BJ229="","",Sistema!BJ229)</f>
        <v/>
      </c>
      <c r="BK229" t="str">
        <f>IF(Sistema!BK229="","",Sistema!BK229)</f>
        <v/>
      </c>
      <c r="BL229" t="str">
        <f>IF(Sistema!BL229="","",Sistema!BL229)</f>
        <v/>
      </c>
      <c r="BM229" t="str">
        <f>IF(Sistema!BM229="","",Sistema!BM229)</f>
        <v/>
      </c>
      <c r="BN229" t="str">
        <f>IF(Sistema!BN229="","",Sistema!BN229)</f>
        <v/>
      </c>
      <c r="BO229" t="str">
        <f>IF(Sistema!BO229="","",Sistema!BO229)</f>
        <v/>
      </c>
      <c r="BP229" t="str">
        <f>IF(Sistema!BP229="","",Sistema!BP229)</f>
        <v/>
      </c>
      <c r="BQ229" t="str">
        <f>IF(Sistema!BQ229="","",Sistema!BQ229)</f>
        <v/>
      </c>
      <c r="BR229" t="str">
        <f>IF(Sistema!BR229="","",Sistema!BR229)</f>
        <v/>
      </c>
      <c r="BS229" t="str">
        <f>IF(Sistema!BS229="","",Sistema!BS229)</f>
        <v/>
      </c>
      <c r="BT229" t="str">
        <f>IF(Sistema!BT229="","",Sistema!BT229)</f>
        <v/>
      </c>
      <c r="BU229" t="str">
        <f>IF(Sistema!BU229="","",Sistema!BU229)</f>
        <v/>
      </c>
      <c r="BV229" t="str">
        <f>IF(Sistema!BV229="","",Sistema!BV229)</f>
        <v/>
      </c>
      <c r="BW229" t="str">
        <f>IF(Sistema!BW229="","",Sistema!BW229)</f>
        <v/>
      </c>
      <c r="BX229" t="str">
        <f>IF(Sistema!BX229="","",Sistema!BX229)</f>
        <v/>
      </c>
      <c r="BY229" t="str">
        <f>IF(Sistema!BY229="","",Sistema!BY229)</f>
        <v/>
      </c>
      <c r="BZ229" t="str">
        <f>IF(Sistema!BZ229="","",Sistema!BZ229)</f>
        <v/>
      </c>
      <c r="CA229" t="str">
        <f>IF(Sistema!CA229="","",Sistema!CA229)</f>
        <v/>
      </c>
      <c r="CB229" t="str">
        <f>IF(Sistema!CB229="","",Sistema!CB229)</f>
        <v/>
      </c>
      <c r="CC229" t="str">
        <f>IF(Sistema!CC229="","",Sistema!CC229)</f>
        <v/>
      </c>
      <c r="CD229" t="str">
        <f>IF(Sistema!CD229="","",Sistema!CD229)</f>
        <v/>
      </c>
    </row>
    <row r="230" spans="1:82" x14ac:dyDescent="0.25">
      <c r="A230" t="str">
        <f>IF(Sistema!A230="","",Sistema!A230)</f>
        <v/>
      </c>
      <c r="B230" t="str">
        <f>IF(Sistema!B230="","",Sistema!B230)</f>
        <v/>
      </c>
      <c r="C230" t="str">
        <f>IF(Sistema!C230="","",Sistema!C230)</f>
        <v/>
      </c>
      <c r="D230" t="str">
        <f>IF(Sistema!D230="","",Sistema!D230)</f>
        <v/>
      </c>
      <c r="E230" t="str">
        <f>IF(Sistema!E230="","",Sistema!E230)</f>
        <v/>
      </c>
      <c r="F230">
        <f>IF(P230&gt;0,1,IF(Sistema!F230=0,-1,1))</f>
        <v>-1</v>
      </c>
      <c r="G230">
        <f>Sistema!G230</f>
        <v>0</v>
      </c>
      <c r="H230" t="str">
        <f>IF(OR(R230="notify",R230=1),"visible",IF(OR(Sistema!F230=-1,Sistema!F230=0,ISNUMBER(SEARCH("PCK",E230))),"hidden",IF(P230&gt;0,"visible","hidden")))</f>
        <v>hidden</v>
      </c>
      <c r="I230" t="str">
        <f>IF(B230="simple",IF(P230&gt;0,"",IF(R230="notify",Info!C$2,"")),IF(B230="variable",IF(P230&gt;0,"",IF(R230="notify",Info!C$4,"")),""))</f>
        <v/>
      </c>
      <c r="J230" t="str">
        <f>IF(Sistema!J230="","",Sistema!J230)</f>
        <v/>
      </c>
      <c r="M230" t="str">
        <f>IF(Sistema!M230="","",Sistema!M230)</f>
        <v/>
      </c>
      <c r="N230" s="6" t="s">
        <v>1557</v>
      </c>
      <c r="O230" s="6">
        <v>1</v>
      </c>
      <c r="P230">
        <f>Sistema!P230</f>
        <v>0</v>
      </c>
      <c r="Q230">
        <f>Sistema!Q230</f>
        <v>0</v>
      </c>
      <c r="R230">
        <f>IF(Sistema!R230=1,"notify",Sistema!R230)</f>
        <v>0</v>
      </c>
      <c r="T230" t="str">
        <f>IF(Sistema!T230="","",Sistema!T230)</f>
        <v/>
      </c>
      <c r="U230" t="str">
        <f>IF(Sistema!U230="","",Sistema!U230)</f>
        <v/>
      </c>
      <c r="V230" t="str">
        <f>IF(Sistema!V230="","",Sistema!V230)</f>
        <v/>
      </c>
      <c r="W230" t="str">
        <f>IF(Sistema!W230="","",Sistema!W230)</f>
        <v/>
      </c>
      <c r="X230" s="6">
        <v>1</v>
      </c>
      <c r="Z230" t="str">
        <f>IF(Sistema!Z230="","",Sistema!Z230)</f>
        <v/>
      </c>
      <c r="AA230" t="str">
        <f>IF(Sistema!AA230="","",Sistema!AA230)</f>
        <v/>
      </c>
      <c r="AB230" t="str">
        <f>IF(Sistema!AB230="","",IF(OR(ISNUMBER(SEARCH("MKP",E230)),ISNUMBER(SEARCH("MKP",C230))),"Marketplace &gt; "&amp;Sistema!AB230,Sistema!AB230))</f>
        <v/>
      </c>
      <c r="AC230" t="str">
        <f>IF(Sistema!AC230="","",Sistema!AC230)</f>
        <v/>
      </c>
      <c r="AE230" t="str">
        <f>IF(Sistema!AE230="","",Sistema!AE230)</f>
        <v/>
      </c>
      <c r="AH230" t="str">
        <f>IF(Sistema!AH230="","",Sistema!AH230)</f>
        <v/>
      </c>
      <c r="AQ230" t="str">
        <f>IF(Sistema!AQ230="","",Sistema!AQ230)</f>
        <v/>
      </c>
      <c r="AR230" t="str">
        <f>IF(Sistema!AR230="","",Sistema!AR230)</f>
        <v/>
      </c>
      <c r="AS230" t="str">
        <f>IF(Sistema!AS230="","",Sistema!AS230)</f>
        <v/>
      </c>
      <c r="AT230" t="str">
        <f>IF(Sistema!AT230="","",Sistema!AT230)</f>
        <v/>
      </c>
      <c r="AU230" t="str">
        <f>IF(Sistema!AU230="","",Sistema!AU230)</f>
        <v/>
      </c>
      <c r="AV230" t="str">
        <f>IF(Sistema!AV230="","",Sistema!AV230)</f>
        <v/>
      </c>
      <c r="AW230" t="str">
        <f>IF(Sistema!AW230="","",Sistema!AW230)</f>
        <v/>
      </c>
      <c r="AX230" t="str">
        <f>IF(Sistema!AX230="","",Sistema!AX230)</f>
        <v/>
      </c>
      <c r="AY230" t="str">
        <f>IF(Sistema!AY230="","",Sistema!AY230)</f>
        <v/>
      </c>
      <c r="AZ230" t="str">
        <f>IF(Sistema!AZ230="","",Sistema!AZ230)</f>
        <v/>
      </c>
      <c r="BA230" t="str">
        <f>IF(Sistema!BA230="","",Sistema!BA230)</f>
        <v/>
      </c>
      <c r="BB230" t="str">
        <f>IF(Sistema!BB230="","",Sistema!BB230)</f>
        <v/>
      </c>
      <c r="BC230" t="str">
        <f>IF(Sistema!BC230="","",Sistema!BC230)</f>
        <v/>
      </c>
      <c r="BD230" t="str">
        <f>IF(Sistema!BD230="","",Sistema!BD230)</f>
        <v/>
      </c>
      <c r="BE230" t="str">
        <f>IF(Sistema!BE230="","",Sistema!BE230)</f>
        <v/>
      </c>
      <c r="BF230" t="str">
        <f>IF(Sistema!BF230="","",Sistema!BF230)</f>
        <v/>
      </c>
      <c r="BG230" t="str">
        <f>IF(Sistema!BG230="","",Sistema!BG230)</f>
        <v/>
      </c>
      <c r="BH230" t="str">
        <f>IF(Sistema!BH230="","",Sistema!BH230)</f>
        <v/>
      </c>
      <c r="BI230" t="str">
        <f>IF(Sistema!BI230="","",Sistema!BI230)</f>
        <v/>
      </c>
      <c r="BJ230" t="str">
        <f>IF(Sistema!BJ230="","",Sistema!BJ230)</f>
        <v/>
      </c>
      <c r="BK230" t="str">
        <f>IF(Sistema!BK230="","",Sistema!BK230)</f>
        <v/>
      </c>
      <c r="BL230" t="str">
        <f>IF(Sistema!BL230="","",Sistema!BL230)</f>
        <v/>
      </c>
      <c r="BM230" t="str">
        <f>IF(Sistema!BM230="","",Sistema!BM230)</f>
        <v/>
      </c>
      <c r="BN230" t="str">
        <f>IF(Sistema!BN230="","",Sistema!BN230)</f>
        <v/>
      </c>
      <c r="BO230" t="str">
        <f>IF(Sistema!BO230="","",Sistema!BO230)</f>
        <v/>
      </c>
      <c r="BP230" t="str">
        <f>IF(Sistema!BP230="","",Sistema!BP230)</f>
        <v/>
      </c>
      <c r="BQ230" t="str">
        <f>IF(Sistema!BQ230="","",Sistema!BQ230)</f>
        <v/>
      </c>
      <c r="BR230" t="str">
        <f>IF(Sistema!BR230="","",Sistema!BR230)</f>
        <v/>
      </c>
      <c r="BS230" t="str">
        <f>IF(Sistema!BS230="","",Sistema!BS230)</f>
        <v/>
      </c>
      <c r="BT230" t="str">
        <f>IF(Sistema!BT230="","",Sistema!BT230)</f>
        <v/>
      </c>
      <c r="BU230" t="str">
        <f>IF(Sistema!BU230="","",Sistema!BU230)</f>
        <v/>
      </c>
      <c r="BV230" t="str">
        <f>IF(Sistema!BV230="","",Sistema!BV230)</f>
        <v/>
      </c>
      <c r="BW230" t="str">
        <f>IF(Sistema!BW230="","",Sistema!BW230)</f>
        <v/>
      </c>
      <c r="BX230" t="str">
        <f>IF(Sistema!BX230="","",Sistema!BX230)</f>
        <v/>
      </c>
      <c r="BY230" t="str">
        <f>IF(Sistema!BY230="","",Sistema!BY230)</f>
        <v/>
      </c>
      <c r="BZ230" t="str">
        <f>IF(Sistema!BZ230="","",Sistema!BZ230)</f>
        <v/>
      </c>
      <c r="CA230" t="str">
        <f>IF(Sistema!CA230="","",Sistema!CA230)</f>
        <v/>
      </c>
      <c r="CB230" t="str">
        <f>IF(Sistema!CB230="","",Sistema!CB230)</f>
        <v/>
      </c>
      <c r="CC230" t="str">
        <f>IF(Sistema!CC230="","",Sistema!CC230)</f>
        <v/>
      </c>
      <c r="CD230" t="str">
        <f>IF(Sistema!CD230="","",Sistema!CD230)</f>
        <v/>
      </c>
    </row>
    <row r="231" spans="1:82" x14ac:dyDescent="0.25">
      <c r="A231" t="str">
        <f>IF(Sistema!A231="","",Sistema!A231)</f>
        <v/>
      </c>
      <c r="B231" t="str">
        <f>IF(Sistema!B231="","",Sistema!B231)</f>
        <v/>
      </c>
      <c r="C231" t="str">
        <f>IF(Sistema!C231="","",Sistema!C231)</f>
        <v/>
      </c>
      <c r="D231" t="str">
        <f>IF(Sistema!D231="","",Sistema!D231)</f>
        <v/>
      </c>
      <c r="E231" t="str">
        <f>IF(Sistema!E231="","",Sistema!E231)</f>
        <v/>
      </c>
      <c r="F231">
        <f>IF(P231&gt;0,1,IF(Sistema!F231=0,-1,1))</f>
        <v>-1</v>
      </c>
      <c r="G231">
        <f>Sistema!G231</f>
        <v>0</v>
      </c>
      <c r="H231" t="str">
        <f>IF(OR(R231="notify",R231=1),"visible",IF(OR(Sistema!F231=-1,Sistema!F231=0,ISNUMBER(SEARCH("PCK",E231))),"hidden",IF(P231&gt;0,"visible","hidden")))</f>
        <v>hidden</v>
      </c>
      <c r="I231" t="str">
        <f>IF(B231="simple",IF(P231&gt;0,"",IF(R231="notify",Info!C$2,"")),IF(B231="variable",IF(P231&gt;0,"",IF(R231="notify",Info!C$4,"")),""))</f>
        <v/>
      </c>
      <c r="J231" t="str">
        <f>IF(Sistema!J231="","",Sistema!J231)</f>
        <v/>
      </c>
      <c r="M231" t="str">
        <f>IF(Sistema!M231="","",Sistema!M231)</f>
        <v/>
      </c>
      <c r="N231" s="6" t="s">
        <v>1557</v>
      </c>
      <c r="O231" s="6">
        <v>1</v>
      </c>
      <c r="P231">
        <f>Sistema!P231</f>
        <v>0</v>
      </c>
      <c r="Q231">
        <f>Sistema!Q231</f>
        <v>0</v>
      </c>
      <c r="R231">
        <f>IF(Sistema!R231=1,"notify",Sistema!R231)</f>
        <v>0</v>
      </c>
      <c r="T231" t="str">
        <f>IF(Sistema!T231="","",Sistema!T231)</f>
        <v/>
      </c>
      <c r="U231" t="str">
        <f>IF(Sistema!U231="","",Sistema!U231)</f>
        <v/>
      </c>
      <c r="V231" t="str">
        <f>IF(Sistema!V231="","",Sistema!V231)</f>
        <v/>
      </c>
      <c r="W231" t="str">
        <f>IF(Sistema!W231="","",Sistema!W231)</f>
        <v/>
      </c>
      <c r="X231" s="6">
        <v>1</v>
      </c>
      <c r="Z231" t="str">
        <f>IF(Sistema!Z231="","",Sistema!Z231)</f>
        <v/>
      </c>
      <c r="AA231" t="str">
        <f>IF(Sistema!AA231="","",Sistema!AA231)</f>
        <v/>
      </c>
      <c r="AB231" t="str">
        <f>IF(Sistema!AB231="","",IF(OR(ISNUMBER(SEARCH("MKP",E231)),ISNUMBER(SEARCH("MKP",C231))),"Marketplace &gt; "&amp;Sistema!AB231,Sistema!AB231))</f>
        <v/>
      </c>
      <c r="AC231" t="str">
        <f>IF(Sistema!AC231="","",Sistema!AC231)</f>
        <v/>
      </c>
      <c r="AE231" t="str">
        <f>IF(Sistema!AE231="","",Sistema!AE231)</f>
        <v/>
      </c>
      <c r="AH231" t="str">
        <f>IF(Sistema!AH231="","",Sistema!AH231)</f>
        <v/>
      </c>
      <c r="AQ231" t="str">
        <f>IF(Sistema!AQ231="","",Sistema!AQ231)</f>
        <v/>
      </c>
      <c r="AR231" t="str">
        <f>IF(Sistema!AR231="","",Sistema!AR231)</f>
        <v/>
      </c>
      <c r="AS231" t="str">
        <f>IF(Sistema!AS231="","",Sistema!AS231)</f>
        <v/>
      </c>
      <c r="AT231" t="str">
        <f>IF(Sistema!AT231="","",Sistema!AT231)</f>
        <v/>
      </c>
      <c r="AU231" t="str">
        <f>IF(Sistema!AU231="","",Sistema!AU231)</f>
        <v/>
      </c>
      <c r="AV231" t="str">
        <f>IF(Sistema!AV231="","",Sistema!AV231)</f>
        <v/>
      </c>
      <c r="AW231" t="str">
        <f>IF(Sistema!AW231="","",Sistema!AW231)</f>
        <v/>
      </c>
      <c r="AX231" t="str">
        <f>IF(Sistema!AX231="","",Sistema!AX231)</f>
        <v/>
      </c>
      <c r="AY231" t="str">
        <f>IF(Sistema!AY231="","",Sistema!AY231)</f>
        <v/>
      </c>
      <c r="AZ231" t="str">
        <f>IF(Sistema!AZ231="","",Sistema!AZ231)</f>
        <v/>
      </c>
      <c r="BA231" t="str">
        <f>IF(Sistema!BA231="","",Sistema!BA231)</f>
        <v/>
      </c>
      <c r="BB231" t="str">
        <f>IF(Sistema!BB231="","",Sistema!BB231)</f>
        <v/>
      </c>
      <c r="BC231" t="str">
        <f>IF(Sistema!BC231="","",Sistema!BC231)</f>
        <v/>
      </c>
      <c r="BD231" t="str">
        <f>IF(Sistema!BD231="","",Sistema!BD231)</f>
        <v/>
      </c>
      <c r="BE231" t="str">
        <f>IF(Sistema!BE231="","",Sistema!BE231)</f>
        <v/>
      </c>
      <c r="BF231" t="str">
        <f>IF(Sistema!BF231="","",Sistema!BF231)</f>
        <v/>
      </c>
      <c r="BG231" t="str">
        <f>IF(Sistema!BG231="","",Sistema!BG231)</f>
        <v/>
      </c>
      <c r="BH231" t="str">
        <f>IF(Sistema!BH231="","",Sistema!BH231)</f>
        <v/>
      </c>
      <c r="BI231" t="str">
        <f>IF(Sistema!BI231="","",Sistema!BI231)</f>
        <v/>
      </c>
      <c r="BJ231" t="str">
        <f>IF(Sistema!BJ231="","",Sistema!BJ231)</f>
        <v/>
      </c>
      <c r="BK231" t="str">
        <f>IF(Sistema!BK231="","",Sistema!BK231)</f>
        <v/>
      </c>
      <c r="BL231" t="str">
        <f>IF(Sistema!BL231="","",Sistema!BL231)</f>
        <v/>
      </c>
      <c r="BM231" t="str">
        <f>IF(Sistema!BM231="","",Sistema!BM231)</f>
        <v/>
      </c>
      <c r="BN231" t="str">
        <f>IF(Sistema!BN231="","",Sistema!BN231)</f>
        <v/>
      </c>
      <c r="BO231" t="str">
        <f>IF(Sistema!BO231="","",Sistema!BO231)</f>
        <v/>
      </c>
      <c r="BP231" t="str">
        <f>IF(Sistema!BP231="","",Sistema!BP231)</f>
        <v/>
      </c>
      <c r="BQ231" t="str">
        <f>IF(Sistema!BQ231="","",Sistema!BQ231)</f>
        <v/>
      </c>
      <c r="BR231" t="str">
        <f>IF(Sistema!BR231="","",Sistema!BR231)</f>
        <v/>
      </c>
      <c r="BS231" t="str">
        <f>IF(Sistema!BS231="","",Sistema!BS231)</f>
        <v/>
      </c>
      <c r="BT231" t="str">
        <f>IF(Sistema!BT231="","",Sistema!BT231)</f>
        <v/>
      </c>
      <c r="BU231" t="str">
        <f>IF(Sistema!BU231="","",Sistema!BU231)</f>
        <v/>
      </c>
      <c r="BV231" t="str">
        <f>IF(Sistema!BV231="","",Sistema!BV231)</f>
        <v/>
      </c>
      <c r="BW231" t="str">
        <f>IF(Sistema!BW231="","",Sistema!BW231)</f>
        <v/>
      </c>
      <c r="BX231" t="str">
        <f>IF(Sistema!BX231="","",Sistema!BX231)</f>
        <v/>
      </c>
      <c r="BY231" t="str">
        <f>IF(Sistema!BY231="","",Sistema!BY231)</f>
        <v/>
      </c>
      <c r="BZ231" t="str">
        <f>IF(Sistema!BZ231="","",Sistema!BZ231)</f>
        <v/>
      </c>
      <c r="CA231" t="str">
        <f>IF(Sistema!CA231="","",Sistema!CA231)</f>
        <v/>
      </c>
      <c r="CB231" t="str">
        <f>IF(Sistema!CB231="","",Sistema!CB231)</f>
        <v/>
      </c>
      <c r="CC231" t="str">
        <f>IF(Sistema!CC231="","",Sistema!CC231)</f>
        <v/>
      </c>
      <c r="CD231" t="str">
        <f>IF(Sistema!CD231="","",Sistema!CD231)</f>
        <v/>
      </c>
    </row>
    <row r="232" spans="1:82" x14ac:dyDescent="0.25">
      <c r="A232" t="str">
        <f>IF(Sistema!A232="","",Sistema!A232)</f>
        <v/>
      </c>
      <c r="B232" t="str">
        <f>IF(Sistema!B232="","",Sistema!B232)</f>
        <v/>
      </c>
      <c r="C232" t="str">
        <f>IF(Sistema!C232="","",Sistema!C232)</f>
        <v/>
      </c>
      <c r="D232" t="str">
        <f>IF(Sistema!D232="","",Sistema!D232)</f>
        <v/>
      </c>
      <c r="E232" t="str">
        <f>IF(Sistema!E232="","",Sistema!E232)</f>
        <v/>
      </c>
      <c r="F232">
        <f>IF(P232&gt;0,1,IF(Sistema!F232=0,-1,1))</f>
        <v>-1</v>
      </c>
      <c r="G232">
        <f>Sistema!G232</f>
        <v>0</v>
      </c>
      <c r="H232" t="str">
        <f>IF(OR(R232="notify",R232=1),"visible",IF(OR(Sistema!F232=-1,Sistema!F232=0,ISNUMBER(SEARCH("PCK",E232))),"hidden",IF(P232&gt;0,"visible","hidden")))</f>
        <v>hidden</v>
      </c>
      <c r="I232" t="str">
        <f>IF(B232="simple",IF(P232&gt;0,"",IF(R232="notify",Info!C$2,"")),IF(B232="variable",IF(P232&gt;0,"",IF(R232="notify",Info!C$4,"")),""))</f>
        <v/>
      </c>
      <c r="J232" t="str">
        <f>IF(Sistema!J232="","",Sistema!J232)</f>
        <v/>
      </c>
      <c r="M232" t="str">
        <f>IF(Sistema!M232="","",Sistema!M232)</f>
        <v/>
      </c>
      <c r="N232" s="6" t="s">
        <v>1557</v>
      </c>
      <c r="O232" s="6">
        <v>1</v>
      </c>
      <c r="P232">
        <f>Sistema!P232</f>
        <v>0</v>
      </c>
      <c r="Q232">
        <f>Sistema!Q232</f>
        <v>0</v>
      </c>
      <c r="R232">
        <f>IF(Sistema!R232=1,"notify",Sistema!R232)</f>
        <v>0</v>
      </c>
      <c r="T232" t="str">
        <f>IF(Sistema!T232="","",Sistema!T232)</f>
        <v/>
      </c>
      <c r="U232" t="str">
        <f>IF(Sistema!U232="","",Sistema!U232)</f>
        <v/>
      </c>
      <c r="V232" t="str">
        <f>IF(Sistema!V232="","",Sistema!V232)</f>
        <v/>
      </c>
      <c r="W232" t="str">
        <f>IF(Sistema!W232="","",Sistema!W232)</f>
        <v/>
      </c>
      <c r="X232" s="6">
        <v>1</v>
      </c>
      <c r="Z232" t="str">
        <f>IF(Sistema!Z232="","",Sistema!Z232)</f>
        <v/>
      </c>
      <c r="AA232" t="str">
        <f>IF(Sistema!AA232="","",Sistema!AA232)</f>
        <v/>
      </c>
      <c r="AB232" t="str">
        <f>IF(Sistema!AB232="","",IF(OR(ISNUMBER(SEARCH("MKP",E232)),ISNUMBER(SEARCH("MKP",C232))),"Marketplace &gt; "&amp;Sistema!AB232,Sistema!AB232))</f>
        <v/>
      </c>
      <c r="AC232" t="str">
        <f>IF(Sistema!AC232="","",Sistema!AC232)</f>
        <v/>
      </c>
      <c r="AE232" t="str">
        <f>IF(Sistema!AE232="","",Sistema!AE232)</f>
        <v/>
      </c>
      <c r="AH232" t="str">
        <f>IF(Sistema!AH232="","",Sistema!AH232)</f>
        <v/>
      </c>
      <c r="AQ232" t="str">
        <f>IF(Sistema!AQ232="","",Sistema!AQ232)</f>
        <v/>
      </c>
      <c r="AR232" t="str">
        <f>IF(Sistema!AR232="","",Sistema!AR232)</f>
        <v/>
      </c>
      <c r="AS232" t="str">
        <f>IF(Sistema!AS232="","",Sistema!AS232)</f>
        <v/>
      </c>
      <c r="AT232" t="str">
        <f>IF(Sistema!AT232="","",Sistema!AT232)</f>
        <v/>
      </c>
      <c r="AU232" t="str">
        <f>IF(Sistema!AU232="","",Sistema!AU232)</f>
        <v/>
      </c>
      <c r="AV232" t="str">
        <f>IF(Sistema!AV232="","",Sistema!AV232)</f>
        <v/>
      </c>
      <c r="AW232" t="str">
        <f>IF(Sistema!AW232="","",Sistema!AW232)</f>
        <v/>
      </c>
      <c r="AX232" t="str">
        <f>IF(Sistema!AX232="","",Sistema!AX232)</f>
        <v/>
      </c>
      <c r="AY232" t="str">
        <f>IF(Sistema!AY232="","",Sistema!AY232)</f>
        <v/>
      </c>
      <c r="AZ232" t="str">
        <f>IF(Sistema!AZ232="","",Sistema!AZ232)</f>
        <v/>
      </c>
      <c r="BA232" t="str">
        <f>IF(Sistema!BA232="","",Sistema!BA232)</f>
        <v/>
      </c>
      <c r="BB232" t="str">
        <f>IF(Sistema!BB232="","",Sistema!BB232)</f>
        <v/>
      </c>
      <c r="BC232" t="str">
        <f>IF(Sistema!BC232="","",Sistema!BC232)</f>
        <v/>
      </c>
      <c r="BD232" t="str">
        <f>IF(Sistema!BD232="","",Sistema!BD232)</f>
        <v/>
      </c>
      <c r="BE232" t="str">
        <f>IF(Sistema!BE232="","",Sistema!BE232)</f>
        <v/>
      </c>
      <c r="BF232" t="str">
        <f>IF(Sistema!BF232="","",Sistema!BF232)</f>
        <v/>
      </c>
      <c r="BG232" t="str">
        <f>IF(Sistema!BG232="","",Sistema!BG232)</f>
        <v/>
      </c>
      <c r="BH232" t="str">
        <f>IF(Sistema!BH232="","",Sistema!BH232)</f>
        <v/>
      </c>
      <c r="BI232" t="str">
        <f>IF(Sistema!BI232="","",Sistema!BI232)</f>
        <v/>
      </c>
      <c r="BJ232" t="str">
        <f>IF(Sistema!BJ232="","",Sistema!BJ232)</f>
        <v/>
      </c>
      <c r="BK232" t="str">
        <f>IF(Sistema!BK232="","",Sistema!BK232)</f>
        <v/>
      </c>
      <c r="BL232" t="str">
        <f>IF(Sistema!BL232="","",Sistema!BL232)</f>
        <v/>
      </c>
      <c r="BM232" t="str">
        <f>IF(Sistema!BM232="","",Sistema!BM232)</f>
        <v/>
      </c>
      <c r="BN232" t="str">
        <f>IF(Sistema!BN232="","",Sistema!BN232)</f>
        <v/>
      </c>
      <c r="BO232" t="str">
        <f>IF(Sistema!BO232="","",Sistema!BO232)</f>
        <v/>
      </c>
      <c r="BP232" t="str">
        <f>IF(Sistema!BP232="","",Sistema!BP232)</f>
        <v/>
      </c>
      <c r="BQ232" t="str">
        <f>IF(Sistema!BQ232="","",Sistema!BQ232)</f>
        <v/>
      </c>
      <c r="BR232" t="str">
        <f>IF(Sistema!BR232="","",Sistema!BR232)</f>
        <v/>
      </c>
      <c r="BS232" t="str">
        <f>IF(Sistema!BS232="","",Sistema!BS232)</f>
        <v/>
      </c>
      <c r="BT232" t="str">
        <f>IF(Sistema!BT232="","",Sistema!BT232)</f>
        <v/>
      </c>
      <c r="BU232" t="str">
        <f>IF(Sistema!BU232="","",Sistema!BU232)</f>
        <v/>
      </c>
      <c r="BV232" t="str">
        <f>IF(Sistema!BV232="","",Sistema!BV232)</f>
        <v/>
      </c>
      <c r="BW232" t="str">
        <f>IF(Sistema!BW232="","",Sistema!BW232)</f>
        <v/>
      </c>
      <c r="BX232" t="str">
        <f>IF(Sistema!BX232="","",Sistema!BX232)</f>
        <v/>
      </c>
      <c r="BY232" t="str">
        <f>IF(Sistema!BY232="","",Sistema!BY232)</f>
        <v/>
      </c>
      <c r="BZ232" t="str">
        <f>IF(Sistema!BZ232="","",Sistema!BZ232)</f>
        <v/>
      </c>
      <c r="CA232" t="str">
        <f>IF(Sistema!CA232="","",Sistema!CA232)</f>
        <v/>
      </c>
      <c r="CB232" t="str">
        <f>IF(Sistema!CB232="","",Sistema!CB232)</f>
        <v/>
      </c>
      <c r="CC232" t="str">
        <f>IF(Sistema!CC232="","",Sistema!CC232)</f>
        <v/>
      </c>
      <c r="CD232" t="str">
        <f>IF(Sistema!CD232="","",Sistema!CD232)</f>
        <v/>
      </c>
    </row>
    <row r="233" spans="1:82" x14ac:dyDescent="0.25">
      <c r="A233" t="str">
        <f>IF(Sistema!A233="","",Sistema!A233)</f>
        <v/>
      </c>
      <c r="B233" t="str">
        <f>IF(Sistema!B233="","",Sistema!B233)</f>
        <v/>
      </c>
      <c r="C233" t="str">
        <f>IF(Sistema!C233="","",Sistema!C233)</f>
        <v/>
      </c>
      <c r="D233" t="str">
        <f>IF(Sistema!D233="","",Sistema!D233)</f>
        <v/>
      </c>
      <c r="E233" t="str">
        <f>IF(Sistema!E233="","",Sistema!E233)</f>
        <v/>
      </c>
      <c r="F233">
        <f>IF(P233&gt;0,1,IF(Sistema!F233=0,-1,1))</f>
        <v>-1</v>
      </c>
      <c r="G233">
        <f>Sistema!G233</f>
        <v>0</v>
      </c>
      <c r="H233" t="str">
        <f>IF(OR(R233="notify",R233=1),"visible",IF(OR(Sistema!F233=-1,Sistema!F233=0,ISNUMBER(SEARCH("PCK",E233))),"hidden",IF(P233&gt;0,"visible","hidden")))</f>
        <v>hidden</v>
      </c>
      <c r="I233" t="str">
        <f>IF(B233="simple",IF(P233&gt;0,"",IF(R233="notify",Info!C$2,"")),IF(B233="variable",IF(P233&gt;0,"",IF(R233="notify",Info!C$4,"")),""))</f>
        <v/>
      </c>
      <c r="J233" t="str">
        <f>IF(Sistema!J233="","",Sistema!J233)</f>
        <v/>
      </c>
      <c r="M233" t="str">
        <f>IF(Sistema!M233="","",Sistema!M233)</f>
        <v/>
      </c>
      <c r="N233" s="6" t="s">
        <v>1557</v>
      </c>
      <c r="O233" s="6">
        <v>1</v>
      </c>
      <c r="P233">
        <f>Sistema!P233</f>
        <v>0</v>
      </c>
      <c r="Q233">
        <f>Sistema!Q233</f>
        <v>0</v>
      </c>
      <c r="R233">
        <f>IF(Sistema!R233=1,"notify",Sistema!R233)</f>
        <v>0</v>
      </c>
      <c r="T233" t="str">
        <f>IF(Sistema!T233="","",Sistema!T233)</f>
        <v/>
      </c>
      <c r="U233" t="str">
        <f>IF(Sistema!U233="","",Sistema!U233)</f>
        <v/>
      </c>
      <c r="V233" t="str">
        <f>IF(Sistema!V233="","",Sistema!V233)</f>
        <v/>
      </c>
      <c r="W233" t="str">
        <f>IF(Sistema!W233="","",Sistema!W233)</f>
        <v/>
      </c>
      <c r="X233" s="6">
        <v>1</v>
      </c>
      <c r="Z233" t="str">
        <f>IF(Sistema!Z233="","",Sistema!Z233)</f>
        <v/>
      </c>
      <c r="AA233" t="str">
        <f>IF(Sistema!AA233="","",Sistema!AA233)</f>
        <v/>
      </c>
      <c r="AB233" t="str">
        <f>IF(Sistema!AB233="","",IF(OR(ISNUMBER(SEARCH("MKP",E233)),ISNUMBER(SEARCH("MKP",C233))),"Marketplace &gt; "&amp;Sistema!AB233,Sistema!AB233))</f>
        <v/>
      </c>
      <c r="AC233" t="str">
        <f>IF(Sistema!AC233="","",Sistema!AC233)</f>
        <v/>
      </c>
      <c r="AE233" t="str">
        <f>IF(Sistema!AE233="","",Sistema!AE233)</f>
        <v/>
      </c>
      <c r="AH233" t="str">
        <f>IF(Sistema!AH233="","",Sistema!AH233)</f>
        <v/>
      </c>
      <c r="AQ233" t="str">
        <f>IF(Sistema!AQ233="","",Sistema!AQ233)</f>
        <v/>
      </c>
      <c r="AR233" t="str">
        <f>IF(Sistema!AR233="","",Sistema!AR233)</f>
        <v/>
      </c>
      <c r="AS233" t="str">
        <f>IF(Sistema!AS233="","",Sistema!AS233)</f>
        <v/>
      </c>
      <c r="AT233" t="str">
        <f>IF(Sistema!AT233="","",Sistema!AT233)</f>
        <v/>
      </c>
      <c r="AU233" t="str">
        <f>IF(Sistema!AU233="","",Sistema!AU233)</f>
        <v/>
      </c>
      <c r="AV233" t="str">
        <f>IF(Sistema!AV233="","",Sistema!AV233)</f>
        <v/>
      </c>
      <c r="AW233" t="str">
        <f>IF(Sistema!AW233="","",Sistema!AW233)</f>
        <v/>
      </c>
      <c r="AX233" t="str">
        <f>IF(Sistema!AX233="","",Sistema!AX233)</f>
        <v/>
      </c>
      <c r="AY233" t="str">
        <f>IF(Sistema!AY233="","",Sistema!AY233)</f>
        <v/>
      </c>
      <c r="AZ233" t="str">
        <f>IF(Sistema!AZ233="","",Sistema!AZ233)</f>
        <v/>
      </c>
      <c r="BA233" t="str">
        <f>IF(Sistema!BA233="","",Sistema!BA233)</f>
        <v/>
      </c>
      <c r="BB233" t="str">
        <f>IF(Sistema!BB233="","",Sistema!BB233)</f>
        <v/>
      </c>
      <c r="BC233" t="str">
        <f>IF(Sistema!BC233="","",Sistema!BC233)</f>
        <v/>
      </c>
      <c r="BD233" t="str">
        <f>IF(Sistema!BD233="","",Sistema!BD233)</f>
        <v/>
      </c>
      <c r="BE233" t="str">
        <f>IF(Sistema!BE233="","",Sistema!BE233)</f>
        <v/>
      </c>
      <c r="BF233" t="str">
        <f>IF(Sistema!BF233="","",Sistema!BF233)</f>
        <v/>
      </c>
      <c r="BG233" t="str">
        <f>IF(Sistema!BG233="","",Sistema!BG233)</f>
        <v/>
      </c>
      <c r="BH233" t="str">
        <f>IF(Sistema!BH233="","",Sistema!BH233)</f>
        <v/>
      </c>
      <c r="BI233" t="str">
        <f>IF(Sistema!BI233="","",Sistema!BI233)</f>
        <v/>
      </c>
      <c r="BJ233" t="str">
        <f>IF(Sistema!BJ233="","",Sistema!BJ233)</f>
        <v/>
      </c>
      <c r="BK233" t="str">
        <f>IF(Sistema!BK233="","",Sistema!BK233)</f>
        <v/>
      </c>
      <c r="BL233" t="str">
        <f>IF(Sistema!BL233="","",Sistema!BL233)</f>
        <v/>
      </c>
      <c r="BM233" t="str">
        <f>IF(Sistema!BM233="","",Sistema!BM233)</f>
        <v/>
      </c>
      <c r="BN233" t="str">
        <f>IF(Sistema!BN233="","",Sistema!BN233)</f>
        <v/>
      </c>
      <c r="BO233" t="str">
        <f>IF(Sistema!BO233="","",Sistema!BO233)</f>
        <v/>
      </c>
      <c r="BP233" t="str">
        <f>IF(Sistema!BP233="","",Sistema!BP233)</f>
        <v/>
      </c>
      <c r="BQ233" t="str">
        <f>IF(Sistema!BQ233="","",Sistema!BQ233)</f>
        <v/>
      </c>
      <c r="BR233" t="str">
        <f>IF(Sistema!BR233="","",Sistema!BR233)</f>
        <v/>
      </c>
      <c r="BS233" t="str">
        <f>IF(Sistema!BS233="","",Sistema!BS233)</f>
        <v/>
      </c>
      <c r="BT233" t="str">
        <f>IF(Sistema!BT233="","",Sistema!BT233)</f>
        <v/>
      </c>
      <c r="BU233" t="str">
        <f>IF(Sistema!BU233="","",Sistema!BU233)</f>
        <v/>
      </c>
      <c r="BV233" t="str">
        <f>IF(Sistema!BV233="","",Sistema!BV233)</f>
        <v/>
      </c>
      <c r="BW233" t="str">
        <f>IF(Sistema!BW233="","",Sistema!BW233)</f>
        <v/>
      </c>
      <c r="BX233" t="str">
        <f>IF(Sistema!BX233="","",Sistema!BX233)</f>
        <v/>
      </c>
      <c r="BY233" t="str">
        <f>IF(Sistema!BY233="","",Sistema!BY233)</f>
        <v/>
      </c>
      <c r="BZ233" t="str">
        <f>IF(Sistema!BZ233="","",Sistema!BZ233)</f>
        <v/>
      </c>
      <c r="CA233" t="str">
        <f>IF(Sistema!CA233="","",Sistema!CA233)</f>
        <v/>
      </c>
      <c r="CB233" t="str">
        <f>IF(Sistema!CB233="","",Sistema!CB233)</f>
        <v/>
      </c>
      <c r="CC233" t="str">
        <f>IF(Sistema!CC233="","",Sistema!CC233)</f>
        <v/>
      </c>
      <c r="CD233" t="str">
        <f>IF(Sistema!CD233="","",Sistema!CD233)</f>
        <v/>
      </c>
    </row>
    <row r="234" spans="1:82" x14ac:dyDescent="0.25">
      <c r="A234" t="str">
        <f>IF(Sistema!A234="","",Sistema!A234)</f>
        <v/>
      </c>
      <c r="B234" t="str">
        <f>IF(Sistema!B234="","",Sistema!B234)</f>
        <v/>
      </c>
      <c r="C234" t="str">
        <f>IF(Sistema!C234="","",Sistema!C234)</f>
        <v/>
      </c>
      <c r="D234" t="str">
        <f>IF(Sistema!D234="","",Sistema!D234)</f>
        <v/>
      </c>
      <c r="E234" t="str">
        <f>IF(Sistema!E234="","",Sistema!E234)</f>
        <v/>
      </c>
      <c r="F234">
        <f>IF(P234&gt;0,1,IF(Sistema!F234=0,-1,1))</f>
        <v>-1</v>
      </c>
      <c r="G234">
        <f>Sistema!G234</f>
        <v>0</v>
      </c>
      <c r="H234" t="str">
        <f>IF(OR(R234="notify",R234=1),"visible",IF(OR(Sistema!F234=-1,Sistema!F234=0,ISNUMBER(SEARCH("PCK",E234))),"hidden",IF(P234&gt;0,"visible","hidden")))</f>
        <v>hidden</v>
      </c>
      <c r="I234" t="str">
        <f>IF(B234="simple",IF(P234&gt;0,"",IF(R234="notify",Info!C$2,"")),IF(B234="variable",IF(P234&gt;0,"",IF(R234="notify",Info!C$4,"")),""))</f>
        <v/>
      </c>
      <c r="J234" t="str">
        <f>IF(Sistema!J234="","",Sistema!J234)</f>
        <v/>
      </c>
      <c r="M234" t="str">
        <f>IF(Sistema!M234="","",Sistema!M234)</f>
        <v/>
      </c>
      <c r="N234" s="6" t="s">
        <v>1557</v>
      </c>
      <c r="O234" s="6">
        <v>1</v>
      </c>
      <c r="P234">
        <f>Sistema!P234</f>
        <v>0</v>
      </c>
      <c r="Q234">
        <f>Sistema!Q234</f>
        <v>0</v>
      </c>
      <c r="R234">
        <f>IF(Sistema!R234=1,"notify",Sistema!R234)</f>
        <v>0</v>
      </c>
      <c r="T234" t="str">
        <f>IF(Sistema!T234="","",Sistema!T234)</f>
        <v/>
      </c>
      <c r="U234" t="str">
        <f>IF(Sistema!U234="","",Sistema!U234)</f>
        <v/>
      </c>
      <c r="V234" t="str">
        <f>IF(Sistema!V234="","",Sistema!V234)</f>
        <v/>
      </c>
      <c r="W234" t="str">
        <f>IF(Sistema!W234="","",Sistema!W234)</f>
        <v/>
      </c>
      <c r="X234" s="6">
        <v>1</v>
      </c>
      <c r="Z234" t="str">
        <f>IF(Sistema!Z234="","",Sistema!Z234)</f>
        <v/>
      </c>
      <c r="AA234" t="str">
        <f>IF(Sistema!AA234="","",Sistema!AA234)</f>
        <v/>
      </c>
      <c r="AB234" t="str">
        <f>IF(Sistema!AB234="","",IF(OR(ISNUMBER(SEARCH("MKP",E234)),ISNUMBER(SEARCH("MKP",C234))),"Marketplace &gt; "&amp;Sistema!AB234,Sistema!AB234))</f>
        <v/>
      </c>
      <c r="AC234" t="str">
        <f>IF(Sistema!AC234="","",Sistema!AC234)</f>
        <v/>
      </c>
      <c r="AE234" t="str">
        <f>IF(Sistema!AE234="","",Sistema!AE234)</f>
        <v/>
      </c>
      <c r="AH234" t="str">
        <f>IF(Sistema!AH234="","",Sistema!AH234)</f>
        <v/>
      </c>
      <c r="AQ234" t="str">
        <f>IF(Sistema!AQ234="","",Sistema!AQ234)</f>
        <v/>
      </c>
      <c r="AR234" t="str">
        <f>IF(Sistema!AR234="","",Sistema!AR234)</f>
        <v/>
      </c>
      <c r="AS234" t="str">
        <f>IF(Sistema!AS234="","",Sistema!AS234)</f>
        <v/>
      </c>
      <c r="AT234" t="str">
        <f>IF(Sistema!AT234="","",Sistema!AT234)</f>
        <v/>
      </c>
      <c r="AU234" t="str">
        <f>IF(Sistema!AU234="","",Sistema!AU234)</f>
        <v/>
      </c>
      <c r="AV234" t="str">
        <f>IF(Sistema!AV234="","",Sistema!AV234)</f>
        <v/>
      </c>
      <c r="AW234" t="str">
        <f>IF(Sistema!AW234="","",Sistema!AW234)</f>
        <v/>
      </c>
      <c r="AX234" t="str">
        <f>IF(Sistema!AX234="","",Sistema!AX234)</f>
        <v/>
      </c>
      <c r="AY234" t="str">
        <f>IF(Sistema!AY234="","",Sistema!AY234)</f>
        <v/>
      </c>
      <c r="AZ234" t="str">
        <f>IF(Sistema!AZ234="","",Sistema!AZ234)</f>
        <v/>
      </c>
      <c r="BA234" t="str">
        <f>IF(Sistema!BA234="","",Sistema!BA234)</f>
        <v/>
      </c>
      <c r="BB234" t="str">
        <f>IF(Sistema!BB234="","",Sistema!BB234)</f>
        <v/>
      </c>
      <c r="BC234" t="str">
        <f>IF(Sistema!BC234="","",Sistema!BC234)</f>
        <v/>
      </c>
      <c r="BD234" t="str">
        <f>IF(Sistema!BD234="","",Sistema!BD234)</f>
        <v/>
      </c>
      <c r="BE234" t="str">
        <f>IF(Sistema!BE234="","",Sistema!BE234)</f>
        <v/>
      </c>
      <c r="BF234" t="str">
        <f>IF(Sistema!BF234="","",Sistema!BF234)</f>
        <v/>
      </c>
      <c r="BG234" t="str">
        <f>IF(Sistema!BG234="","",Sistema!BG234)</f>
        <v/>
      </c>
      <c r="BH234" t="str">
        <f>IF(Sistema!BH234="","",Sistema!BH234)</f>
        <v/>
      </c>
      <c r="BI234" t="str">
        <f>IF(Sistema!BI234="","",Sistema!BI234)</f>
        <v/>
      </c>
      <c r="BJ234" t="str">
        <f>IF(Sistema!BJ234="","",Sistema!BJ234)</f>
        <v/>
      </c>
      <c r="BK234" t="str">
        <f>IF(Sistema!BK234="","",Sistema!BK234)</f>
        <v/>
      </c>
      <c r="BL234" t="str">
        <f>IF(Sistema!BL234="","",Sistema!BL234)</f>
        <v/>
      </c>
      <c r="BM234" t="str">
        <f>IF(Sistema!BM234="","",Sistema!BM234)</f>
        <v/>
      </c>
      <c r="BN234" t="str">
        <f>IF(Sistema!BN234="","",Sistema!BN234)</f>
        <v/>
      </c>
      <c r="BO234" t="str">
        <f>IF(Sistema!BO234="","",Sistema!BO234)</f>
        <v/>
      </c>
      <c r="BP234" t="str">
        <f>IF(Sistema!BP234="","",Sistema!BP234)</f>
        <v/>
      </c>
      <c r="BQ234" t="str">
        <f>IF(Sistema!BQ234="","",Sistema!BQ234)</f>
        <v/>
      </c>
      <c r="BR234" t="str">
        <f>IF(Sistema!BR234="","",Sistema!BR234)</f>
        <v/>
      </c>
      <c r="BS234" t="str">
        <f>IF(Sistema!BS234="","",Sistema!BS234)</f>
        <v/>
      </c>
      <c r="BT234" t="str">
        <f>IF(Sistema!BT234="","",Sistema!BT234)</f>
        <v/>
      </c>
      <c r="BU234" t="str">
        <f>IF(Sistema!BU234="","",Sistema!BU234)</f>
        <v/>
      </c>
      <c r="BV234" t="str">
        <f>IF(Sistema!BV234="","",Sistema!BV234)</f>
        <v/>
      </c>
      <c r="BW234" t="str">
        <f>IF(Sistema!BW234="","",Sistema!BW234)</f>
        <v/>
      </c>
      <c r="BX234" t="str">
        <f>IF(Sistema!BX234="","",Sistema!BX234)</f>
        <v/>
      </c>
      <c r="BY234" t="str">
        <f>IF(Sistema!BY234="","",Sistema!BY234)</f>
        <v/>
      </c>
      <c r="BZ234" t="str">
        <f>IF(Sistema!BZ234="","",Sistema!BZ234)</f>
        <v/>
      </c>
      <c r="CA234" t="str">
        <f>IF(Sistema!CA234="","",Sistema!CA234)</f>
        <v/>
      </c>
      <c r="CB234" t="str">
        <f>IF(Sistema!CB234="","",Sistema!CB234)</f>
        <v/>
      </c>
      <c r="CC234" t="str">
        <f>IF(Sistema!CC234="","",Sistema!CC234)</f>
        <v/>
      </c>
      <c r="CD234" t="str">
        <f>IF(Sistema!CD234="","",Sistema!CD234)</f>
        <v/>
      </c>
    </row>
    <row r="235" spans="1:82" x14ac:dyDescent="0.25">
      <c r="A235" t="str">
        <f>IF(Sistema!A235="","",Sistema!A235)</f>
        <v/>
      </c>
      <c r="B235" t="str">
        <f>IF(Sistema!B235="","",Sistema!B235)</f>
        <v/>
      </c>
      <c r="C235" t="str">
        <f>IF(Sistema!C235="","",Sistema!C235)</f>
        <v/>
      </c>
      <c r="D235" t="str">
        <f>IF(Sistema!D235="","",Sistema!D235)</f>
        <v/>
      </c>
      <c r="E235" t="str">
        <f>IF(Sistema!E235="","",Sistema!E235)</f>
        <v/>
      </c>
      <c r="F235">
        <f>IF(P235&gt;0,1,IF(Sistema!F235=0,-1,1))</f>
        <v>-1</v>
      </c>
      <c r="G235">
        <f>Sistema!G235</f>
        <v>0</v>
      </c>
      <c r="H235" t="str">
        <f>IF(OR(R235="notify",R235=1),"visible",IF(OR(Sistema!F235=-1,Sistema!F235=0,ISNUMBER(SEARCH("PCK",E235))),"hidden",IF(P235&gt;0,"visible","hidden")))</f>
        <v>hidden</v>
      </c>
      <c r="I235" t="str">
        <f>IF(B235="simple",IF(P235&gt;0,"",IF(R235="notify",Info!C$2,"")),IF(B235="variable",IF(P235&gt;0,"",IF(R235="notify",Info!C$4,"")),""))</f>
        <v/>
      </c>
      <c r="J235" t="str">
        <f>IF(Sistema!J235="","",Sistema!J235)</f>
        <v/>
      </c>
      <c r="M235" t="str">
        <f>IF(Sistema!M235="","",Sistema!M235)</f>
        <v/>
      </c>
      <c r="N235" s="6" t="s">
        <v>1557</v>
      </c>
      <c r="O235" s="6">
        <v>1</v>
      </c>
      <c r="P235">
        <f>Sistema!P235</f>
        <v>0</v>
      </c>
      <c r="Q235">
        <f>Sistema!Q235</f>
        <v>0</v>
      </c>
      <c r="R235">
        <f>IF(Sistema!R235=1,"notify",Sistema!R235)</f>
        <v>0</v>
      </c>
      <c r="T235" t="str">
        <f>IF(Sistema!T235="","",Sistema!T235)</f>
        <v/>
      </c>
      <c r="U235" t="str">
        <f>IF(Sistema!U235="","",Sistema!U235)</f>
        <v/>
      </c>
      <c r="V235" t="str">
        <f>IF(Sistema!V235="","",Sistema!V235)</f>
        <v/>
      </c>
      <c r="W235" t="str">
        <f>IF(Sistema!W235="","",Sistema!W235)</f>
        <v/>
      </c>
      <c r="X235" s="6">
        <v>1</v>
      </c>
      <c r="Z235" t="str">
        <f>IF(Sistema!Z235="","",Sistema!Z235)</f>
        <v/>
      </c>
      <c r="AA235" t="str">
        <f>IF(Sistema!AA235="","",Sistema!AA235)</f>
        <v/>
      </c>
      <c r="AB235" t="str">
        <f>IF(Sistema!AB235="","",IF(OR(ISNUMBER(SEARCH("MKP",E235)),ISNUMBER(SEARCH("MKP",C235))),"Marketplace &gt; "&amp;Sistema!AB235,Sistema!AB235))</f>
        <v/>
      </c>
      <c r="AC235" t="str">
        <f>IF(Sistema!AC235="","",Sistema!AC235)</f>
        <v/>
      </c>
      <c r="AE235" t="str">
        <f>IF(Sistema!AE235="","",Sistema!AE235)</f>
        <v/>
      </c>
      <c r="AH235" t="str">
        <f>IF(Sistema!AH235="","",Sistema!AH235)</f>
        <v/>
      </c>
      <c r="AQ235" t="str">
        <f>IF(Sistema!AQ235="","",Sistema!AQ235)</f>
        <v/>
      </c>
      <c r="AR235" t="str">
        <f>IF(Sistema!AR235="","",Sistema!AR235)</f>
        <v/>
      </c>
      <c r="AS235" t="str">
        <f>IF(Sistema!AS235="","",Sistema!AS235)</f>
        <v/>
      </c>
      <c r="AT235" t="str">
        <f>IF(Sistema!AT235="","",Sistema!AT235)</f>
        <v/>
      </c>
      <c r="AU235" t="str">
        <f>IF(Sistema!AU235="","",Sistema!AU235)</f>
        <v/>
      </c>
      <c r="AV235" t="str">
        <f>IF(Sistema!AV235="","",Sistema!AV235)</f>
        <v/>
      </c>
      <c r="AW235" t="str">
        <f>IF(Sistema!AW235="","",Sistema!AW235)</f>
        <v/>
      </c>
      <c r="AX235" t="str">
        <f>IF(Sistema!AX235="","",Sistema!AX235)</f>
        <v/>
      </c>
      <c r="AY235" t="str">
        <f>IF(Sistema!AY235="","",Sistema!AY235)</f>
        <v/>
      </c>
      <c r="AZ235" t="str">
        <f>IF(Sistema!AZ235="","",Sistema!AZ235)</f>
        <v/>
      </c>
      <c r="BA235" t="str">
        <f>IF(Sistema!BA235="","",Sistema!BA235)</f>
        <v/>
      </c>
      <c r="BB235" t="str">
        <f>IF(Sistema!BB235="","",Sistema!BB235)</f>
        <v/>
      </c>
      <c r="BC235" t="str">
        <f>IF(Sistema!BC235="","",Sistema!BC235)</f>
        <v/>
      </c>
      <c r="BD235" t="str">
        <f>IF(Sistema!BD235="","",Sistema!BD235)</f>
        <v/>
      </c>
      <c r="BE235" t="str">
        <f>IF(Sistema!BE235="","",Sistema!BE235)</f>
        <v/>
      </c>
      <c r="BF235" t="str">
        <f>IF(Sistema!BF235="","",Sistema!BF235)</f>
        <v/>
      </c>
      <c r="BG235" t="str">
        <f>IF(Sistema!BG235="","",Sistema!BG235)</f>
        <v/>
      </c>
      <c r="BH235" t="str">
        <f>IF(Sistema!BH235="","",Sistema!BH235)</f>
        <v/>
      </c>
      <c r="BI235" t="str">
        <f>IF(Sistema!BI235="","",Sistema!BI235)</f>
        <v/>
      </c>
      <c r="BJ235" t="str">
        <f>IF(Sistema!BJ235="","",Sistema!BJ235)</f>
        <v/>
      </c>
      <c r="BK235" t="str">
        <f>IF(Sistema!BK235="","",Sistema!BK235)</f>
        <v/>
      </c>
      <c r="BL235" t="str">
        <f>IF(Sistema!BL235="","",Sistema!BL235)</f>
        <v/>
      </c>
      <c r="BM235" t="str">
        <f>IF(Sistema!BM235="","",Sistema!BM235)</f>
        <v/>
      </c>
      <c r="BN235" t="str">
        <f>IF(Sistema!BN235="","",Sistema!BN235)</f>
        <v/>
      </c>
      <c r="BO235" t="str">
        <f>IF(Sistema!BO235="","",Sistema!BO235)</f>
        <v/>
      </c>
      <c r="BP235" t="str">
        <f>IF(Sistema!BP235="","",Sistema!BP235)</f>
        <v/>
      </c>
      <c r="BQ235" t="str">
        <f>IF(Sistema!BQ235="","",Sistema!BQ235)</f>
        <v/>
      </c>
      <c r="BR235" t="str">
        <f>IF(Sistema!BR235="","",Sistema!BR235)</f>
        <v/>
      </c>
      <c r="BS235" t="str">
        <f>IF(Sistema!BS235="","",Sistema!BS235)</f>
        <v/>
      </c>
      <c r="BT235" t="str">
        <f>IF(Sistema!BT235="","",Sistema!BT235)</f>
        <v/>
      </c>
      <c r="BU235" t="str">
        <f>IF(Sistema!BU235="","",Sistema!BU235)</f>
        <v/>
      </c>
      <c r="BV235" t="str">
        <f>IF(Sistema!BV235="","",Sistema!BV235)</f>
        <v/>
      </c>
      <c r="BW235" t="str">
        <f>IF(Sistema!BW235="","",Sistema!BW235)</f>
        <v/>
      </c>
      <c r="BX235" t="str">
        <f>IF(Sistema!BX235="","",Sistema!BX235)</f>
        <v/>
      </c>
      <c r="BY235" t="str">
        <f>IF(Sistema!BY235="","",Sistema!BY235)</f>
        <v/>
      </c>
      <c r="BZ235" t="str">
        <f>IF(Sistema!BZ235="","",Sistema!BZ235)</f>
        <v/>
      </c>
      <c r="CA235" t="str">
        <f>IF(Sistema!CA235="","",Sistema!CA235)</f>
        <v/>
      </c>
      <c r="CB235" t="str">
        <f>IF(Sistema!CB235="","",Sistema!CB235)</f>
        <v/>
      </c>
      <c r="CC235" t="str">
        <f>IF(Sistema!CC235="","",Sistema!CC235)</f>
        <v/>
      </c>
      <c r="CD235" t="str">
        <f>IF(Sistema!CD235="","",Sistema!CD235)</f>
        <v/>
      </c>
    </row>
    <row r="236" spans="1:82" x14ac:dyDescent="0.25">
      <c r="A236" t="str">
        <f>IF(Sistema!A236="","",Sistema!A236)</f>
        <v/>
      </c>
      <c r="B236" t="str">
        <f>IF(Sistema!B236="","",Sistema!B236)</f>
        <v/>
      </c>
      <c r="C236" t="str">
        <f>IF(Sistema!C236="","",Sistema!C236)</f>
        <v/>
      </c>
      <c r="D236" t="str">
        <f>IF(Sistema!D236="","",Sistema!D236)</f>
        <v/>
      </c>
      <c r="E236" t="str">
        <f>IF(Sistema!E236="","",Sistema!E236)</f>
        <v/>
      </c>
      <c r="F236">
        <f>IF(P236&gt;0,1,IF(Sistema!F236=0,-1,1))</f>
        <v>-1</v>
      </c>
      <c r="G236">
        <f>Sistema!G236</f>
        <v>0</v>
      </c>
      <c r="H236" t="str">
        <f>IF(OR(R236="notify",R236=1),"visible",IF(OR(Sistema!F236=-1,Sistema!F236=0,ISNUMBER(SEARCH("PCK",E236))),"hidden",IF(P236&gt;0,"visible","hidden")))</f>
        <v>hidden</v>
      </c>
      <c r="I236" t="str">
        <f>IF(B236="simple",IF(P236&gt;0,"",IF(R236="notify",Info!C$2,"")),IF(B236="variable",IF(P236&gt;0,"",IF(R236="notify",Info!C$4,"")),""))</f>
        <v/>
      </c>
      <c r="J236" t="str">
        <f>IF(Sistema!J236="","",Sistema!J236)</f>
        <v/>
      </c>
      <c r="M236" t="str">
        <f>IF(Sistema!M236="","",Sistema!M236)</f>
        <v/>
      </c>
      <c r="N236" s="6" t="s">
        <v>1557</v>
      </c>
      <c r="O236" s="6">
        <v>1</v>
      </c>
      <c r="P236">
        <f>Sistema!P236</f>
        <v>0</v>
      </c>
      <c r="Q236">
        <f>Sistema!Q236</f>
        <v>0</v>
      </c>
      <c r="R236">
        <f>IF(Sistema!R236=1,"notify",Sistema!R236)</f>
        <v>0</v>
      </c>
      <c r="T236" t="str">
        <f>IF(Sistema!T236="","",Sistema!T236)</f>
        <v/>
      </c>
      <c r="U236" t="str">
        <f>IF(Sistema!U236="","",Sistema!U236)</f>
        <v/>
      </c>
      <c r="V236" t="str">
        <f>IF(Sistema!V236="","",Sistema!V236)</f>
        <v/>
      </c>
      <c r="W236" t="str">
        <f>IF(Sistema!W236="","",Sistema!W236)</f>
        <v/>
      </c>
      <c r="X236" s="6">
        <v>1</v>
      </c>
      <c r="Z236" t="str">
        <f>IF(Sistema!Z236="","",Sistema!Z236)</f>
        <v/>
      </c>
      <c r="AA236" t="str">
        <f>IF(Sistema!AA236="","",Sistema!AA236)</f>
        <v/>
      </c>
      <c r="AB236" t="str">
        <f>IF(Sistema!AB236="","",IF(OR(ISNUMBER(SEARCH("MKP",E236)),ISNUMBER(SEARCH("MKP",C236))),"Marketplace &gt; "&amp;Sistema!AB236,Sistema!AB236))</f>
        <v/>
      </c>
      <c r="AC236" t="str">
        <f>IF(Sistema!AC236="","",Sistema!AC236)</f>
        <v/>
      </c>
      <c r="AE236" t="str">
        <f>IF(Sistema!AE236="","",Sistema!AE236)</f>
        <v/>
      </c>
      <c r="AH236" t="str">
        <f>IF(Sistema!AH236="","",Sistema!AH236)</f>
        <v/>
      </c>
      <c r="AQ236" t="str">
        <f>IF(Sistema!AQ236="","",Sistema!AQ236)</f>
        <v/>
      </c>
      <c r="AR236" t="str">
        <f>IF(Sistema!AR236="","",Sistema!AR236)</f>
        <v/>
      </c>
      <c r="AS236" t="str">
        <f>IF(Sistema!AS236="","",Sistema!AS236)</f>
        <v/>
      </c>
      <c r="AT236" t="str">
        <f>IF(Sistema!AT236="","",Sistema!AT236)</f>
        <v/>
      </c>
      <c r="AU236" t="str">
        <f>IF(Sistema!AU236="","",Sistema!AU236)</f>
        <v/>
      </c>
      <c r="AV236" t="str">
        <f>IF(Sistema!AV236="","",Sistema!AV236)</f>
        <v/>
      </c>
      <c r="AW236" t="str">
        <f>IF(Sistema!AW236="","",Sistema!AW236)</f>
        <v/>
      </c>
      <c r="AX236" t="str">
        <f>IF(Sistema!AX236="","",Sistema!AX236)</f>
        <v/>
      </c>
      <c r="AY236" t="str">
        <f>IF(Sistema!AY236="","",Sistema!AY236)</f>
        <v/>
      </c>
      <c r="AZ236" t="str">
        <f>IF(Sistema!AZ236="","",Sistema!AZ236)</f>
        <v/>
      </c>
      <c r="BA236" t="str">
        <f>IF(Sistema!BA236="","",Sistema!BA236)</f>
        <v/>
      </c>
      <c r="BB236" t="str">
        <f>IF(Sistema!BB236="","",Sistema!BB236)</f>
        <v/>
      </c>
      <c r="BC236" t="str">
        <f>IF(Sistema!BC236="","",Sistema!BC236)</f>
        <v/>
      </c>
      <c r="BD236" t="str">
        <f>IF(Sistema!BD236="","",Sistema!BD236)</f>
        <v/>
      </c>
      <c r="BE236" t="str">
        <f>IF(Sistema!BE236="","",Sistema!BE236)</f>
        <v/>
      </c>
      <c r="BF236" t="str">
        <f>IF(Sistema!BF236="","",Sistema!BF236)</f>
        <v/>
      </c>
      <c r="BG236" t="str">
        <f>IF(Sistema!BG236="","",Sistema!BG236)</f>
        <v/>
      </c>
      <c r="BH236" t="str">
        <f>IF(Sistema!BH236="","",Sistema!BH236)</f>
        <v/>
      </c>
      <c r="BI236" t="str">
        <f>IF(Sistema!BI236="","",Sistema!BI236)</f>
        <v/>
      </c>
      <c r="BJ236" t="str">
        <f>IF(Sistema!BJ236="","",Sistema!BJ236)</f>
        <v/>
      </c>
      <c r="BK236" t="str">
        <f>IF(Sistema!BK236="","",Sistema!BK236)</f>
        <v/>
      </c>
      <c r="BL236" t="str">
        <f>IF(Sistema!BL236="","",Sistema!BL236)</f>
        <v/>
      </c>
      <c r="BM236" t="str">
        <f>IF(Sistema!BM236="","",Sistema!BM236)</f>
        <v/>
      </c>
      <c r="BN236" t="str">
        <f>IF(Sistema!BN236="","",Sistema!BN236)</f>
        <v/>
      </c>
      <c r="BO236" t="str">
        <f>IF(Sistema!BO236="","",Sistema!BO236)</f>
        <v/>
      </c>
      <c r="BP236" t="str">
        <f>IF(Sistema!BP236="","",Sistema!BP236)</f>
        <v/>
      </c>
      <c r="BQ236" t="str">
        <f>IF(Sistema!BQ236="","",Sistema!BQ236)</f>
        <v/>
      </c>
      <c r="BR236" t="str">
        <f>IF(Sistema!BR236="","",Sistema!BR236)</f>
        <v/>
      </c>
      <c r="BS236" t="str">
        <f>IF(Sistema!BS236="","",Sistema!BS236)</f>
        <v/>
      </c>
      <c r="BT236" t="str">
        <f>IF(Sistema!BT236="","",Sistema!BT236)</f>
        <v/>
      </c>
      <c r="BU236" t="str">
        <f>IF(Sistema!BU236="","",Sistema!BU236)</f>
        <v/>
      </c>
      <c r="BV236" t="str">
        <f>IF(Sistema!BV236="","",Sistema!BV236)</f>
        <v/>
      </c>
      <c r="BW236" t="str">
        <f>IF(Sistema!BW236="","",Sistema!BW236)</f>
        <v/>
      </c>
      <c r="BX236" t="str">
        <f>IF(Sistema!BX236="","",Sistema!BX236)</f>
        <v/>
      </c>
      <c r="BY236" t="str">
        <f>IF(Sistema!BY236="","",Sistema!BY236)</f>
        <v/>
      </c>
      <c r="BZ236" t="str">
        <f>IF(Sistema!BZ236="","",Sistema!BZ236)</f>
        <v/>
      </c>
      <c r="CA236" t="str">
        <f>IF(Sistema!CA236="","",Sistema!CA236)</f>
        <v/>
      </c>
      <c r="CB236" t="str">
        <f>IF(Sistema!CB236="","",Sistema!CB236)</f>
        <v/>
      </c>
      <c r="CC236" t="str">
        <f>IF(Sistema!CC236="","",Sistema!CC236)</f>
        <v/>
      </c>
      <c r="CD236" t="str">
        <f>IF(Sistema!CD236="","",Sistema!CD236)</f>
        <v/>
      </c>
    </row>
    <row r="237" spans="1:82" x14ac:dyDescent="0.25">
      <c r="A237" t="str">
        <f>IF(Sistema!A237="","",Sistema!A237)</f>
        <v/>
      </c>
      <c r="B237" t="str">
        <f>IF(Sistema!B237="","",Sistema!B237)</f>
        <v/>
      </c>
      <c r="C237" t="str">
        <f>IF(Sistema!C237="","",Sistema!C237)</f>
        <v/>
      </c>
      <c r="D237" t="str">
        <f>IF(Sistema!D237="","",Sistema!D237)</f>
        <v/>
      </c>
      <c r="E237" t="str">
        <f>IF(Sistema!E237="","",Sistema!E237)</f>
        <v/>
      </c>
      <c r="F237">
        <f>IF(P237&gt;0,1,IF(Sistema!F237=0,-1,1))</f>
        <v>-1</v>
      </c>
      <c r="G237">
        <f>Sistema!G237</f>
        <v>0</v>
      </c>
      <c r="H237" t="str">
        <f>IF(OR(R237="notify",R237=1),"visible",IF(OR(Sistema!F237=-1,Sistema!F237=0,ISNUMBER(SEARCH("PCK",E237))),"hidden",IF(P237&gt;0,"visible","hidden")))</f>
        <v>hidden</v>
      </c>
      <c r="I237" t="str">
        <f>IF(B237="simple",IF(P237&gt;0,"",IF(R237="notify",Info!C$2,"")),IF(B237="variable",IF(P237&gt;0,"",IF(R237="notify",Info!C$4,"")),""))</f>
        <v/>
      </c>
      <c r="J237" t="str">
        <f>IF(Sistema!J237="","",Sistema!J237)</f>
        <v/>
      </c>
      <c r="M237" t="str">
        <f>IF(Sistema!M237="","",Sistema!M237)</f>
        <v/>
      </c>
      <c r="N237" s="6" t="s">
        <v>1557</v>
      </c>
      <c r="O237" s="6">
        <v>1</v>
      </c>
      <c r="P237">
        <f>Sistema!P237</f>
        <v>0</v>
      </c>
      <c r="Q237">
        <f>Sistema!Q237</f>
        <v>0</v>
      </c>
      <c r="R237">
        <f>IF(Sistema!R237=1,"notify",Sistema!R237)</f>
        <v>0</v>
      </c>
      <c r="T237" t="str">
        <f>IF(Sistema!T237="","",Sistema!T237)</f>
        <v/>
      </c>
      <c r="U237" t="str">
        <f>IF(Sistema!U237="","",Sistema!U237)</f>
        <v/>
      </c>
      <c r="V237" t="str">
        <f>IF(Sistema!V237="","",Sistema!V237)</f>
        <v/>
      </c>
      <c r="W237" t="str">
        <f>IF(Sistema!W237="","",Sistema!W237)</f>
        <v/>
      </c>
      <c r="X237" s="6">
        <v>1</v>
      </c>
      <c r="Z237" t="str">
        <f>IF(Sistema!Z237="","",Sistema!Z237)</f>
        <v/>
      </c>
      <c r="AA237" t="str">
        <f>IF(Sistema!AA237="","",Sistema!AA237)</f>
        <v/>
      </c>
      <c r="AB237" t="str">
        <f>IF(Sistema!AB237="","",IF(OR(ISNUMBER(SEARCH("MKP",E237)),ISNUMBER(SEARCH("MKP",C237))),"Marketplace &gt; "&amp;Sistema!AB237,Sistema!AB237))</f>
        <v/>
      </c>
      <c r="AC237" t="str">
        <f>IF(Sistema!AC237="","",Sistema!AC237)</f>
        <v/>
      </c>
      <c r="AE237" t="str">
        <f>IF(Sistema!AE237="","",Sistema!AE237)</f>
        <v/>
      </c>
      <c r="AH237" t="str">
        <f>IF(Sistema!AH237="","",Sistema!AH237)</f>
        <v/>
      </c>
      <c r="AQ237" t="str">
        <f>IF(Sistema!AQ237="","",Sistema!AQ237)</f>
        <v/>
      </c>
      <c r="AR237" t="str">
        <f>IF(Sistema!AR237="","",Sistema!AR237)</f>
        <v/>
      </c>
      <c r="AS237" t="str">
        <f>IF(Sistema!AS237="","",Sistema!AS237)</f>
        <v/>
      </c>
      <c r="AT237" t="str">
        <f>IF(Sistema!AT237="","",Sistema!AT237)</f>
        <v/>
      </c>
      <c r="AU237" t="str">
        <f>IF(Sistema!AU237="","",Sistema!AU237)</f>
        <v/>
      </c>
      <c r="AV237" t="str">
        <f>IF(Sistema!AV237="","",Sistema!AV237)</f>
        <v/>
      </c>
      <c r="AW237" t="str">
        <f>IF(Sistema!AW237="","",Sistema!AW237)</f>
        <v/>
      </c>
      <c r="AX237" t="str">
        <f>IF(Sistema!AX237="","",Sistema!AX237)</f>
        <v/>
      </c>
      <c r="AY237" t="str">
        <f>IF(Sistema!AY237="","",Sistema!AY237)</f>
        <v/>
      </c>
      <c r="AZ237" t="str">
        <f>IF(Sistema!AZ237="","",Sistema!AZ237)</f>
        <v/>
      </c>
      <c r="BA237" t="str">
        <f>IF(Sistema!BA237="","",Sistema!BA237)</f>
        <v/>
      </c>
      <c r="BB237" t="str">
        <f>IF(Sistema!BB237="","",Sistema!BB237)</f>
        <v/>
      </c>
      <c r="BC237" t="str">
        <f>IF(Sistema!BC237="","",Sistema!BC237)</f>
        <v/>
      </c>
      <c r="BD237" t="str">
        <f>IF(Sistema!BD237="","",Sistema!BD237)</f>
        <v/>
      </c>
      <c r="BE237" t="str">
        <f>IF(Sistema!BE237="","",Sistema!BE237)</f>
        <v/>
      </c>
      <c r="BF237" t="str">
        <f>IF(Sistema!BF237="","",Sistema!BF237)</f>
        <v/>
      </c>
      <c r="BG237" t="str">
        <f>IF(Sistema!BG237="","",Sistema!BG237)</f>
        <v/>
      </c>
      <c r="BH237" t="str">
        <f>IF(Sistema!BH237="","",Sistema!BH237)</f>
        <v/>
      </c>
      <c r="BI237" t="str">
        <f>IF(Sistema!BI237="","",Sistema!BI237)</f>
        <v/>
      </c>
      <c r="BJ237" t="str">
        <f>IF(Sistema!BJ237="","",Sistema!BJ237)</f>
        <v/>
      </c>
      <c r="BK237" t="str">
        <f>IF(Sistema!BK237="","",Sistema!BK237)</f>
        <v/>
      </c>
      <c r="BL237" t="str">
        <f>IF(Sistema!BL237="","",Sistema!BL237)</f>
        <v/>
      </c>
      <c r="BM237" t="str">
        <f>IF(Sistema!BM237="","",Sistema!BM237)</f>
        <v/>
      </c>
      <c r="BN237" t="str">
        <f>IF(Sistema!BN237="","",Sistema!BN237)</f>
        <v/>
      </c>
      <c r="BO237" t="str">
        <f>IF(Sistema!BO237="","",Sistema!BO237)</f>
        <v/>
      </c>
      <c r="BP237" t="str">
        <f>IF(Sistema!BP237="","",Sistema!BP237)</f>
        <v/>
      </c>
      <c r="BQ237" t="str">
        <f>IF(Sistema!BQ237="","",Sistema!BQ237)</f>
        <v/>
      </c>
      <c r="BR237" t="str">
        <f>IF(Sistema!BR237="","",Sistema!BR237)</f>
        <v/>
      </c>
      <c r="BS237" t="str">
        <f>IF(Sistema!BS237="","",Sistema!BS237)</f>
        <v/>
      </c>
      <c r="BT237" t="str">
        <f>IF(Sistema!BT237="","",Sistema!BT237)</f>
        <v/>
      </c>
      <c r="BU237" t="str">
        <f>IF(Sistema!BU237="","",Sistema!BU237)</f>
        <v/>
      </c>
      <c r="BV237" t="str">
        <f>IF(Sistema!BV237="","",Sistema!BV237)</f>
        <v/>
      </c>
      <c r="BW237" t="str">
        <f>IF(Sistema!BW237="","",Sistema!BW237)</f>
        <v/>
      </c>
      <c r="BX237" t="str">
        <f>IF(Sistema!BX237="","",Sistema!BX237)</f>
        <v/>
      </c>
      <c r="BY237" t="str">
        <f>IF(Sistema!BY237="","",Sistema!BY237)</f>
        <v/>
      </c>
      <c r="BZ237" t="str">
        <f>IF(Sistema!BZ237="","",Sistema!BZ237)</f>
        <v/>
      </c>
      <c r="CA237" t="str">
        <f>IF(Sistema!CA237="","",Sistema!CA237)</f>
        <v/>
      </c>
      <c r="CB237" t="str">
        <f>IF(Sistema!CB237="","",Sistema!CB237)</f>
        <v/>
      </c>
      <c r="CC237" t="str">
        <f>IF(Sistema!CC237="","",Sistema!CC237)</f>
        <v/>
      </c>
      <c r="CD237" t="str">
        <f>IF(Sistema!CD237="","",Sistema!CD237)</f>
        <v/>
      </c>
    </row>
    <row r="238" spans="1:82" x14ac:dyDescent="0.25">
      <c r="A238" t="str">
        <f>IF(Sistema!A238="","",Sistema!A238)</f>
        <v/>
      </c>
      <c r="B238" t="str">
        <f>IF(Sistema!B238="","",Sistema!B238)</f>
        <v/>
      </c>
      <c r="C238" t="str">
        <f>IF(Sistema!C238="","",Sistema!C238)</f>
        <v/>
      </c>
      <c r="D238" t="str">
        <f>IF(Sistema!D238="","",Sistema!D238)</f>
        <v/>
      </c>
      <c r="E238" t="str">
        <f>IF(Sistema!E238="","",Sistema!E238)</f>
        <v/>
      </c>
      <c r="F238">
        <f>IF(P238&gt;0,1,IF(Sistema!F238=0,-1,1))</f>
        <v>-1</v>
      </c>
      <c r="G238">
        <f>Sistema!G238</f>
        <v>0</v>
      </c>
      <c r="H238" t="str">
        <f>IF(OR(R238="notify",R238=1),"visible",IF(OR(Sistema!F238=-1,Sistema!F238=0,ISNUMBER(SEARCH("PCK",E238))),"hidden",IF(P238&gt;0,"visible","hidden")))</f>
        <v>hidden</v>
      </c>
      <c r="I238" t="str">
        <f>IF(B238="simple",IF(P238&gt;0,"",IF(R238="notify",Info!C$2,"")),IF(B238="variable",IF(P238&gt;0,"",IF(R238="notify",Info!C$4,"")),""))</f>
        <v/>
      </c>
      <c r="J238" t="str">
        <f>IF(Sistema!J238="","",Sistema!J238)</f>
        <v/>
      </c>
      <c r="M238" t="str">
        <f>IF(Sistema!M238="","",Sistema!M238)</f>
        <v/>
      </c>
      <c r="N238" s="6" t="s">
        <v>1557</v>
      </c>
      <c r="O238" s="6">
        <v>1</v>
      </c>
      <c r="P238">
        <f>Sistema!P238</f>
        <v>0</v>
      </c>
      <c r="Q238">
        <f>Sistema!Q238</f>
        <v>0</v>
      </c>
      <c r="R238">
        <f>IF(Sistema!R238=1,"notify",Sistema!R238)</f>
        <v>0</v>
      </c>
      <c r="T238" t="str">
        <f>IF(Sistema!T238="","",Sistema!T238)</f>
        <v/>
      </c>
      <c r="U238" t="str">
        <f>IF(Sistema!U238="","",Sistema!U238)</f>
        <v/>
      </c>
      <c r="V238" t="str">
        <f>IF(Sistema!V238="","",Sistema!V238)</f>
        <v/>
      </c>
      <c r="W238" t="str">
        <f>IF(Sistema!W238="","",Sistema!W238)</f>
        <v/>
      </c>
      <c r="X238" s="6">
        <v>1</v>
      </c>
      <c r="Z238" t="str">
        <f>IF(Sistema!Z238="","",Sistema!Z238)</f>
        <v/>
      </c>
      <c r="AA238" t="str">
        <f>IF(Sistema!AA238="","",Sistema!AA238)</f>
        <v/>
      </c>
      <c r="AB238" t="str">
        <f>IF(Sistema!AB238="","",IF(OR(ISNUMBER(SEARCH("MKP",E238)),ISNUMBER(SEARCH("MKP",C238))),"Marketplace &gt; "&amp;Sistema!AB238,Sistema!AB238))</f>
        <v/>
      </c>
      <c r="AC238" t="str">
        <f>IF(Sistema!AC238="","",Sistema!AC238)</f>
        <v/>
      </c>
      <c r="AE238" t="str">
        <f>IF(Sistema!AE238="","",Sistema!AE238)</f>
        <v/>
      </c>
      <c r="AH238" t="str">
        <f>IF(Sistema!AH238="","",Sistema!AH238)</f>
        <v/>
      </c>
      <c r="AQ238" t="str">
        <f>IF(Sistema!AQ238="","",Sistema!AQ238)</f>
        <v/>
      </c>
      <c r="AR238" t="str">
        <f>IF(Sistema!AR238="","",Sistema!AR238)</f>
        <v/>
      </c>
      <c r="AS238" t="str">
        <f>IF(Sistema!AS238="","",Sistema!AS238)</f>
        <v/>
      </c>
      <c r="AT238" t="str">
        <f>IF(Sistema!AT238="","",Sistema!AT238)</f>
        <v/>
      </c>
      <c r="AU238" t="str">
        <f>IF(Sistema!AU238="","",Sistema!AU238)</f>
        <v/>
      </c>
      <c r="AV238" t="str">
        <f>IF(Sistema!AV238="","",Sistema!AV238)</f>
        <v/>
      </c>
      <c r="AW238" t="str">
        <f>IF(Sistema!AW238="","",Sistema!AW238)</f>
        <v/>
      </c>
      <c r="AX238" t="str">
        <f>IF(Sistema!AX238="","",Sistema!AX238)</f>
        <v/>
      </c>
      <c r="AY238" t="str">
        <f>IF(Sistema!AY238="","",Sistema!AY238)</f>
        <v/>
      </c>
      <c r="AZ238" t="str">
        <f>IF(Sistema!AZ238="","",Sistema!AZ238)</f>
        <v/>
      </c>
      <c r="BA238" t="str">
        <f>IF(Sistema!BA238="","",Sistema!BA238)</f>
        <v/>
      </c>
      <c r="BB238" t="str">
        <f>IF(Sistema!BB238="","",Sistema!BB238)</f>
        <v/>
      </c>
      <c r="BC238" t="str">
        <f>IF(Sistema!BC238="","",Sistema!BC238)</f>
        <v/>
      </c>
      <c r="BD238" t="str">
        <f>IF(Sistema!BD238="","",Sistema!BD238)</f>
        <v/>
      </c>
      <c r="BE238" t="str">
        <f>IF(Sistema!BE238="","",Sistema!BE238)</f>
        <v/>
      </c>
      <c r="BF238" t="str">
        <f>IF(Sistema!BF238="","",Sistema!BF238)</f>
        <v/>
      </c>
      <c r="BG238" t="str">
        <f>IF(Sistema!BG238="","",Sistema!BG238)</f>
        <v/>
      </c>
      <c r="BH238" t="str">
        <f>IF(Sistema!BH238="","",Sistema!BH238)</f>
        <v/>
      </c>
      <c r="BI238" t="str">
        <f>IF(Sistema!BI238="","",Sistema!BI238)</f>
        <v/>
      </c>
      <c r="BJ238" t="str">
        <f>IF(Sistema!BJ238="","",Sistema!BJ238)</f>
        <v/>
      </c>
      <c r="BK238" t="str">
        <f>IF(Sistema!BK238="","",Sistema!BK238)</f>
        <v/>
      </c>
      <c r="BL238" t="str">
        <f>IF(Sistema!BL238="","",Sistema!BL238)</f>
        <v/>
      </c>
      <c r="BM238" t="str">
        <f>IF(Sistema!BM238="","",Sistema!BM238)</f>
        <v/>
      </c>
      <c r="BN238" t="str">
        <f>IF(Sistema!BN238="","",Sistema!BN238)</f>
        <v/>
      </c>
      <c r="BO238" t="str">
        <f>IF(Sistema!BO238="","",Sistema!BO238)</f>
        <v/>
      </c>
      <c r="BP238" t="str">
        <f>IF(Sistema!BP238="","",Sistema!BP238)</f>
        <v/>
      </c>
      <c r="BQ238" t="str">
        <f>IF(Sistema!BQ238="","",Sistema!BQ238)</f>
        <v/>
      </c>
      <c r="BR238" t="str">
        <f>IF(Sistema!BR238="","",Sistema!BR238)</f>
        <v/>
      </c>
      <c r="BS238" t="str">
        <f>IF(Sistema!BS238="","",Sistema!BS238)</f>
        <v/>
      </c>
      <c r="BT238" t="str">
        <f>IF(Sistema!BT238="","",Sistema!BT238)</f>
        <v/>
      </c>
      <c r="BU238" t="str">
        <f>IF(Sistema!BU238="","",Sistema!BU238)</f>
        <v/>
      </c>
      <c r="BV238" t="str">
        <f>IF(Sistema!BV238="","",Sistema!BV238)</f>
        <v/>
      </c>
      <c r="BW238" t="str">
        <f>IF(Sistema!BW238="","",Sistema!BW238)</f>
        <v/>
      </c>
      <c r="BX238" t="str">
        <f>IF(Sistema!BX238="","",Sistema!BX238)</f>
        <v/>
      </c>
      <c r="BY238" t="str">
        <f>IF(Sistema!BY238="","",Sistema!BY238)</f>
        <v/>
      </c>
      <c r="BZ238" t="str">
        <f>IF(Sistema!BZ238="","",Sistema!BZ238)</f>
        <v/>
      </c>
      <c r="CA238" t="str">
        <f>IF(Sistema!CA238="","",Sistema!CA238)</f>
        <v/>
      </c>
      <c r="CB238" t="str">
        <f>IF(Sistema!CB238="","",Sistema!CB238)</f>
        <v/>
      </c>
      <c r="CC238" t="str">
        <f>IF(Sistema!CC238="","",Sistema!CC238)</f>
        <v/>
      </c>
      <c r="CD238" t="str">
        <f>IF(Sistema!CD238="","",Sistema!CD238)</f>
        <v/>
      </c>
    </row>
    <row r="239" spans="1:82" x14ac:dyDescent="0.25">
      <c r="A239" t="str">
        <f>IF(Sistema!A239="","",Sistema!A239)</f>
        <v/>
      </c>
      <c r="B239" t="str">
        <f>IF(Sistema!B239="","",Sistema!B239)</f>
        <v/>
      </c>
      <c r="C239" t="str">
        <f>IF(Sistema!C239="","",Sistema!C239)</f>
        <v/>
      </c>
      <c r="D239" t="str">
        <f>IF(Sistema!D239="","",Sistema!D239)</f>
        <v/>
      </c>
      <c r="E239" t="str">
        <f>IF(Sistema!E239="","",Sistema!E239)</f>
        <v/>
      </c>
      <c r="F239">
        <f>IF(P239&gt;0,1,IF(Sistema!F239=0,-1,1))</f>
        <v>-1</v>
      </c>
      <c r="G239">
        <f>Sistema!G239</f>
        <v>0</v>
      </c>
      <c r="H239" t="str">
        <f>IF(OR(R239="notify",R239=1),"visible",IF(OR(Sistema!F239=-1,Sistema!F239=0,ISNUMBER(SEARCH("PCK",E239))),"hidden",IF(P239&gt;0,"visible","hidden")))</f>
        <v>hidden</v>
      </c>
      <c r="I239" t="str">
        <f>IF(B239="simple",IF(P239&gt;0,"",IF(R239="notify",Info!C$2,"")),IF(B239="variable",IF(P239&gt;0,"",IF(R239="notify",Info!C$4,"")),""))</f>
        <v/>
      </c>
      <c r="J239" t="str">
        <f>IF(Sistema!J239="","",Sistema!J239)</f>
        <v/>
      </c>
      <c r="M239" t="str">
        <f>IF(Sistema!M239="","",Sistema!M239)</f>
        <v/>
      </c>
      <c r="N239" s="6" t="s">
        <v>1557</v>
      </c>
      <c r="O239" s="6">
        <v>1</v>
      </c>
      <c r="P239">
        <f>Sistema!P239</f>
        <v>0</v>
      </c>
      <c r="Q239">
        <f>Sistema!Q239</f>
        <v>0</v>
      </c>
      <c r="R239">
        <f>IF(Sistema!R239=1,"notify",Sistema!R239)</f>
        <v>0</v>
      </c>
      <c r="T239" t="str">
        <f>IF(Sistema!T239="","",Sistema!T239)</f>
        <v/>
      </c>
      <c r="U239" t="str">
        <f>IF(Sistema!U239="","",Sistema!U239)</f>
        <v/>
      </c>
      <c r="V239" t="str">
        <f>IF(Sistema!V239="","",Sistema!V239)</f>
        <v/>
      </c>
      <c r="W239" t="str">
        <f>IF(Sistema!W239="","",Sistema!W239)</f>
        <v/>
      </c>
      <c r="X239" s="6">
        <v>1</v>
      </c>
      <c r="Z239" t="str">
        <f>IF(Sistema!Z239="","",Sistema!Z239)</f>
        <v/>
      </c>
      <c r="AA239" t="str">
        <f>IF(Sistema!AA239="","",Sistema!AA239)</f>
        <v/>
      </c>
      <c r="AB239" t="str">
        <f>IF(Sistema!AB239="","",IF(OR(ISNUMBER(SEARCH("MKP",E239)),ISNUMBER(SEARCH("MKP",C239))),"Marketplace &gt; "&amp;Sistema!AB239,Sistema!AB239))</f>
        <v/>
      </c>
      <c r="AC239" t="str">
        <f>IF(Sistema!AC239="","",Sistema!AC239)</f>
        <v/>
      </c>
      <c r="AE239" t="str">
        <f>IF(Sistema!AE239="","",Sistema!AE239)</f>
        <v/>
      </c>
      <c r="AH239" t="str">
        <f>IF(Sistema!AH239="","",Sistema!AH239)</f>
        <v/>
      </c>
      <c r="AQ239" t="str">
        <f>IF(Sistema!AQ239="","",Sistema!AQ239)</f>
        <v/>
      </c>
      <c r="AR239" t="str">
        <f>IF(Sistema!AR239="","",Sistema!AR239)</f>
        <v/>
      </c>
      <c r="AS239" t="str">
        <f>IF(Sistema!AS239="","",Sistema!AS239)</f>
        <v/>
      </c>
      <c r="AT239" t="str">
        <f>IF(Sistema!AT239="","",Sistema!AT239)</f>
        <v/>
      </c>
      <c r="AU239" t="str">
        <f>IF(Sistema!AU239="","",Sistema!AU239)</f>
        <v/>
      </c>
      <c r="AV239" t="str">
        <f>IF(Sistema!AV239="","",Sistema!AV239)</f>
        <v/>
      </c>
      <c r="AW239" t="str">
        <f>IF(Sistema!AW239="","",Sistema!AW239)</f>
        <v/>
      </c>
      <c r="AX239" t="str">
        <f>IF(Sistema!AX239="","",Sistema!AX239)</f>
        <v/>
      </c>
      <c r="AY239" t="str">
        <f>IF(Sistema!AY239="","",Sistema!AY239)</f>
        <v/>
      </c>
      <c r="AZ239" t="str">
        <f>IF(Sistema!AZ239="","",Sistema!AZ239)</f>
        <v/>
      </c>
      <c r="BA239" t="str">
        <f>IF(Sistema!BA239="","",Sistema!BA239)</f>
        <v/>
      </c>
      <c r="BB239" t="str">
        <f>IF(Sistema!BB239="","",Sistema!BB239)</f>
        <v/>
      </c>
      <c r="BC239" t="str">
        <f>IF(Sistema!BC239="","",Sistema!BC239)</f>
        <v/>
      </c>
      <c r="BD239" t="str">
        <f>IF(Sistema!BD239="","",Sistema!BD239)</f>
        <v/>
      </c>
      <c r="BE239" t="str">
        <f>IF(Sistema!BE239="","",Sistema!BE239)</f>
        <v/>
      </c>
      <c r="BF239" t="str">
        <f>IF(Sistema!BF239="","",Sistema!BF239)</f>
        <v/>
      </c>
      <c r="BG239" t="str">
        <f>IF(Sistema!BG239="","",Sistema!BG239)</f>
        <v/>
      </c>
      <c r="BH239" t="str">
        <f>IF(Sistema!BH239="","",Sistema!BH239)</f>
        <v/>
      </c>
      <c r="BI239" t="str">
        <f>IF(Sistema!BI239="","",Sistema!BI239)</f>
        <v/>
      </c>
      <c r="BJ239" t="str">
        <f>IF(Sistema!BJ239="","",Sistema!BJ239)</f>
        <v/>
      </c>
      <c r="BK239" t="str">
        <f>IF(Sistema!BK239="","",Sistema!BK239)</f>
        <v/>
      </c>
      <c r="BL239" t="str">
        <f>IF(Sistema!BL239="","",Sistema!BL239)</f>
        <v/>
      </c>
      <c r="BM239" t="str">
        <f>IF(Sistema!BM239="","",Sistema!BM239)</f>
        <v/>
      </c>
      <c r="BN239" t="str">
        <f>IF(Sistema!BN239="","",Sistema!BN239)</f>
        <v/>
      </c>
      <c r="BO239" t="str">
        <f>IF(Sistema!BO239="","",Sistema!BO239)</f>
        <v/>
      </c>
      <c r="BP239" t="str">
        <f>IF(Sistema!BP239="","",Sistema!BP239)</f>
        <v/>
      </c>
      <c r="BQ239" t="str">
        <f>IF(Sistema!BQ239="","",Sistema!BQ239)</f>
        <v/>
      </c>
      <c r="BR239" t="str">
        <f>IF(Sistema!BR239="","",Sistema!BR239)</f>
        <v/>
      </c>
      <c r="BS239" t="str">
        <f>IF(Sistema!BS239="","",Sistema!BS239)</f>
        <v/>
      </c>
      <c r="BT239" t="str">
        <f>IF(Sistema!BT239="","",Sistema!BT239)</f>
        <v/>
      </c>
      <c r="BU239" t="str">
        <f>IF(Sistema!BU239="","",Sistema!BU239)</f>
        <v/>
      </c>
      <c r="BV239" t="str">
        <f>IF(Sistema!BV239="","",Sistema!BV239)</f>
        <v/>
      </c>
      <c r="BW239" t="str">
        <f>IF(Sistema!BW239="","",Sistema!BW239)</f>
        <v/>
      </c>
      <c r="BX239" t="str">
        <f>IF(Sistema!BX239="","",Sistema!BX239)</f>
        <v/>
      </c>
      <c r="BY239" t="str">
        <f>IF(Sistema!BY239="","",Sistema!BY239)</f>
        <v/>
      </c>
      <c r="BZ239" t="str">
        <f>IF(Sistema!BZ239="","",Sistema!BZ239)</f>
        <v/>
      </c>
      <c r="CA239" t="str">
        <f>IF(Sistema!CA239="","",Sistema!CA239)</f>
        <v/>
      </c>
      <c r="CB239" t="str">
        <f>IF(Sistema!CB239="","",Sistema!CB239)</f>
        <v/>
      </c>
      <c r="CC239" t="str">
        <f>IF(Sistema!CC239="","",Sistema!CC239)</f>
        <v/>
      </c>
      <c r="CD239" t="str">
        <f>IF(Sistema!CD239="","",Sistema!CD239)</f>
        <v/>
      </c>
    </row>
    <row r="240" spans="1:82" x14ac:dyDescent="0.25">
      <c r="A240" t="str">
        <f>IF(Sistema!A240="","",Sistema!A240)</f>
        <v/>
      </c>
      <c r="B240" t="str">
        <f>IF(Sistema!B240="","",Sistema!B240)</f>
        <v/>
      </c>
      <c r="C240" t="str">
        <f>IF(Sistema!C240="","",Sistema!C240)</f>
        <v/>
      </c>
      <c r="D240" t="str">
        <f>IF(Sistema!D240="","",Sistema!D240)</f>
        <v/>
      </c>
      <c r="E240" t="str">
        <f>IF(Sistema!E240="","",Sistema!E240)</f>
        <v/>
      </c>
      <c r="F240">
        <f>IF(P240&gt;0,1,IF(Sistema!F240=0,-1,1))</f>
        <v>-1</v>
      </c>
      <c r="G240">
        <f>Sistema!G240</f>
        <v>0</v>
      </c>
      <c r="H240" t="str">
        <f>IF(OR(R240="notify",R240=1),"visible",IF(OR(Sistema!F240=-1,Sistema!F240=0,ISNUMBER(SEARCH("PCK",E240))),"hidden",IF(P240&gt;0,"visible","hidden")))</f>
        <v>hidden</v>
      </c>
      <c r="I240" t="str">
        <f>IF(B240="simple",IF(P240&gt;0,"",IF(R240="notify",Info!C$2,"")),IF(B240="variable",IF(P240&gt;0,"",IF(R240="notify",Info!C$4,"")),""))</f>
        <v/>
      </c>
      <c r="J240" t="str">
        <f>IF(Sistema!J240="","",Sistema!J240)</f>
        <v/>
      </c>
      <c r="M240" t="str">
        <f>IF(Sistema!M240="","",Sistema!M240)</f>
        <v/>
      </c>
      <c r="N240" s="6" t="s">
        <v>1557</v>
      </c>
      <c r="O240" s="6">
        <v>1</v>
      </c>
      <c r="P240">
        <f>Sistema!P240</f>
        <v>0</v>
      </c>
      <c r="Q240">
        <f>Sistema!Q240</f>
        <v>0</v>
      </c>
      <c r="R240">
        <f>IF(Sistema!R240=1,"notify",Sistema!R240)</f>
        <v>0</v>
      </c>
      <c r="T240" t="str">
        <f>IF(Sistema!T240="","",Sistema!T240)</f>
        <v/>
      </c>
      <c r="U240" t="str">
        <f>IF(Sistema!U240="","",Sistema!U240)</f>
        <v/>
      </c>
      <c r="V240" t="str">
        <f>IF(Sistema!V240="","",Sistema!V240)</f>
        <v/>
      </c>
      <c r="W240" t="str">
        <f>IF(Sistema!W240="","",Sistema!W240)</f>
        <v/>
      </c>
      <c r="X240" s="6">
        <v>1</v>
      </c>
      <c r="Z240" t="str">
        <f>IF(Sistema!Z240="","",Sistema!Z240)</f>
        <v/>
      </c>
      <c r="AA240" t="str">
        <f>IF(Sistema!AA240="","",Sistema!AA240)</f>
        <v/>
      </c>
      <c r="AB240" t="str">
        <f>IF(Sistema!AB240="","",IF(OR(ISNUMBER(SEARCH("MKP",E240)),ISNUMBER(SEARCH("MKP",C240))),"Marketplace &gt; "&amp;Sistema!AB240,Sistema!AB240))</f>
        <v/>
      </c>
      <c r="AC240" t="str">
        <f>IF(Sistema!AC240="","",Sistema!AC240)</f>
        <v/>
      </c>
      <c r="AE240" t="str">
        <f>IF(Sistema!AE240="","",Sistema!AE240)</f>
        <v/>
      </c>
      <c r="AH240" t="str">
        <f>IF(Sistema!AH240="","",Sistema!AH240)</f>
        <v/>
      </c>
      <c r="AQ240" t="str">
        <f>IF(Sistema!AQ240="","",Sistema!AQ240)</f>
        <v/>
      </c>
      <c r="AR240" t="str">
        <f>IF(Sistema!AR240="","",Sistema!AR240)</f>
        <v/>
      </c>
      <c r="AS240" t="str">
        <f>IF(Sistema!AS240="","",Sistema!AS240)</f>
        <v/>
      </c>
      <c r="AT240" t="str">
        <f>IF(Sistema!AT240="","",Sistema!AT240)</f>
        <v/>
      </c>
      <c r="AU240" t="str">
        <f>IF(Sistema!AU240="","",Sistema!AU240)</f>
        <v/>
      </c>
      <c r="AV240" t="str">
        <f>IF(Sistema!AV240="","",Sistema!AV240)</f>
        <v/>
      </c>
      <c r="AW240" t="str">
        <f>IF(Sistema!AW240="","",Sistema!AW240)</f>
        <v/>
      </c>
      <c r="AX240" t="str">
        <f>IF(Sistema!AX240="","",Sistema!AX240)</f>
        <v/>
      </c>
      <c r="AY240" t="str">
        <f>IF(Sistema!AY240="","",Sistema!AY240)</f>
        <v/>
      </c>
      <c r="AZ240" t="str">
        <f>IF(Sistema!AZ240="","",Sistema!AZ240)</f>
        <v/>
      </c>
      <c r="BA240" t="str">
        <f>IF(Sistema!BA240="","",Sistema!BA240)</f>
        <v/>
      </c>
      <c r="BB240" t="str">
        <f>IF(Sistema!BB240="","",Sistema!BB240)</f>
        <v/>
      </c>
      <c r="BC240" t="str">
        <f>IF(Sistema!BC240="","",Sistema!BC240)</f>
        <v/>
      </c>
      <c r="BD240" t="str">
        <f>IF(Sistema!BD240="","",Sistema!BD240)</f>
        <v/>
      </c>
      <c r="BE240" t="str">
        <f>IF(Sistema!BE240="","",Sistema!BE240)</f>
        <v/>
      </c>
      <c r="BF240" t="str">
        <f>IF(Sistema!BF240="","",Sistema!BF240)</f>
        <v/>
      </c>
      <c r="BG240" t="str">
        <f>IF(Sistema!BG240="","",Sistema!BG240)</f>
        <v/>
      </c>
      <c r="BH240" t="str">
        <f>IF(Sistema!BH240="","",Sistema!BH240)</f>
        <v/>
      </c>
      <c r="BI240" t="str">
        <f>IF(Sistema!BI240="","",Sistema!BI240)</f>
        <v/>
      </c>
      <c r="BJ240" t="str">
        <f>IF(Sistema!BJ240="","",Sistema!BJ240)</f>
        <v/>
      </c>
      <c r="BK240" t="str">
        <f>IF(Sistema!BK240="","",Sistema!BK240)</f>
        <v/>
      </c>
      <c r="BL240" t="str">
        <f>IF(Sistema!BL240="","",Sistema!BL240)</f>
        <v/>
      </c>
      <c r="BM240" t="str">
        <f>IF(Sistema!BM240="","",Sistema!BM240)</f>
        <v/>
      </c>
      <c r="BN240" t="str">
        <f>IF(Sistema!BN240="","",Sistema!BN240)</f>
        <v/>
      </c>
      <c r="BO240" t="str">
        <f>IF(Sistema!BO240="","",Sistema!BO240)</f>
        <v/>
      </c>
      <c r="BP240" t="str">
        <f>IF(Sistema!BP240="","",Sistema!BP240)</f>
        <v/>
      </c>
      <c r="BQ240" t="str">
        <f>IF(Sistema!BQ240="","",Sistema!BQ240)</f>
        <v/>
      </c>
      <c r="BR240" t="str">
        <f>IF(Sistema!BR240="","",Sistema!BR240)</f>
        <v/>
      </c>
      <c r="BS240" t="str">
        <f>IF(Sistema!BS240="","",Sistema!BS240)</f>
        <v/>
      </c>
      <c r="BT240" t="str">
        <f>IF(Sistema!BT240="","",Sistema!BT240)</f>
        <v/>
      </c>
      <c r="BU240" t="str">
        <f>IF(Sistema!BU240="","",Sistema!BU240)</f>
        <v/>
      </c>
      <c r="BV240" t="str">
        <f>IF(Sistema!BV240="","",Sistema!BV240)</f>
        <v/>
      </c>
      <c r="BW240" t="str">
        <f>IF(Sistema!BW240="","",Sistema!BW240)</f>
        <v/>
      </c>
      <c r="BX240" t="str">
        <f>IF(Sistema!BX240="","",Sistema!BX240)</f>
        <v/>
      </c>
      <c r="BY240" t="str">
        <f>IF(Sistema!BY240="","",Sistema!BY240)</f>
        <v/>
      </c>
      <c r="BZ240" t="str">
        <f>IF(Sistema!BZ240="","",Sistema!BZ240)</f>
        <v/>
      </c>
      <c r="CA240" t="str">
        <f>IF(Sistema!CA240="","",Sistema!CA240)</f>
        <v/>
      </c>
      <c r="CB240" t="str">
        <f>IF(Sistema!CB240="","",Sistema!CB240)</f>
        <v/>
      </c>
      <c r="CC240" t="str">
        <f>IF(Sistema!CC240="","",Sistema!CC240)</f>
        <v/>
      </c>
      <c r="CD240" t="str">
        <f>IF(Sistema!CD240="","",Sistema!CD240)</f>
        <v/>
      </c>
    </row>
    <row r="241" spans="1:82" x14ac:dyDescent="0.25">
      <c r="A241" t="str">
        <f>IF(Sistema!A241="","",Sistema!A241)</f>
        <v/>
      </c>
      <c r="B241" t="str">
        <f>IF(Sistema!B241="","",Sistema!B241)</f>
        <v/>
      </c>
      <c r="C241" t="str">
        <f>IF(Sistema!C241="","",Sistema!C241)</f>
        <v/>
      </c>
      <c r="D241" t="str">
        <f>IF(Sistema!D241="","",Sistema!D241)</f>
        <v/>
      </c>
      <c r="E241" t="str">
        <f>IF(Sistema!E241="","",Sistema!E241)</f>
        <v/>
      </c>
      <c r="F241">
        <f>IF(P241&gt;0,1,IF(Sistema!F241=0,-1,1))</f>
        <v>-1</v>
      </c>
      <c r="G241">
        <f>Sistema!G241</f>
        <v>0</v>
      </c>
      <c r="H241" t="str">
        <f>IF(OR(R241="notify",R241=1),"visible",IF(OR(Sistema!F241=-1,Sistema!F241=0,ISNUMBER(SEARCH("PCK",E241))),"hidden",IF(P241&gt;0,"visible","hidden")))</f>
        <v>hidden</v>
      </c>
      <c r="I241" t="str">
        <f>IF(B241="simple",IF(P241&gt;0,"",IF(R241="notify",Info!C$2,"")),IF(B241="variable",IF(P241&gt;0,"",IF(R241="notify",Info!C$4,"")),""))</f>
        <v/>
      </c>
      <c r="J241" t="str">
        <f>IF(Sistema!J241="","",Sistema!J241)</f>
        <v/>
      </c>
      <c r="M241" t="str">
        <f>IF(Sistema!M241="","",Sistema!M241)</f>
        <v/>
      </c>
      <c r="N241" s="6" t="s">
        <v>1557</v>
      </c>
      <c r="O241" s="6">
        <v>1</v>
      </c>
      <c r="P241">
        <f>Sistema!P241</f>
        <v>0</v>
      </c>
      <c r="Q241">
        <f>Sistema!Q241</f>
        <v>0</v>
      </c>
      <c r="R241">
        <f>IF(Sistema!R241=1,"notify",Sistema!R241)</f>
        <v>0</v>
      </c>
      <c r="T241" t="str">
        <f>IF(Sistema!T241="","",Sistema!T241)</f>
        <v/>
      </c>
      <c r="U241" t="str">
        <f>IF(Sistema!U241="","",Sistema!U241)</f>
        <v/>
      </c>
      <c r="V241" t="str">
        <f>IF(Sistema!V241="","",Sistema!V241)</f>
        <v/>
      </c>
      <c r="W241" t="str">
        <f>IF(Sistema!W241="","",Sistema!W241)</f>
        <v/>
      </c>
      <c r="X241" s="6">
        <v>1</v>
      </c>
      <c r="Z241" t="str">
        <f>IF(Sistema!Z241="","",Sistema!Z241)</f>
        <v/>
      </c>
      <c r="AA241" t="str">
        <f>IF(Sistema!AA241="","",Sistema!AA241)</f>
        <v/>
      </c>
      <c r="AB241" t="str">
        <f>IF(Sistema!AB241="","",IF(OR(ISNUMBER(SEARCH("MKP",E241)),ISNUMBER(SEARCH("MKP",C241))),"Marketplace &gt; "&amp;Sistema!AB241,Sistema!AB241))</f>
        <v/>
      </c>
      <c r="AC241" t="str">
        <f>IF(Sistema!AC241="","",Sistema!AC241)</f>
        <v/>
      </c>
      <c r="AE241" t="str">
        <f>IF(Sistema!AE241="","",Sistema!AE241)</f>
        <v/>
      </c>
      <c r="AH241" t="str">
        <f>IF(Sistema!AH241="","",Sistema!AH241)</f>
        <v/>
      </c>
      <c r="AQ241" t="str">
        <f>IF(Sistema!AQ241="","",Sistema!AQ241)</f>
        <v/>
      </c>
      <c r="AR241" t="str">
        <f>IF(Sistema!AR241="","",Sistema!AR241)</f>
        <v/>
      </c>
      <c r="AS241" t="str">
        <f>IF(Sistema!AS241="","",Sistema!AS241)</f>
        <v/>
      </c>
      <c r="AT241" t="str">
        <f>IF(Sistema!AT241="","",Sistema!AT241)</f>
        <v/>
      </c>
      <c r="AU241" t="str">
        <f>IF(Sistema!AU241="","",Sistema!AU241)</f>
        <v/>
      </c>
      <c r="AV241" t="str">
        <f>IF(Sistema!AV241="","",Sistema!AV241)</f>
        <v/>
      </c>
      <c r="AW241" t="str">
        <f>IF(Sistema!AW241="","",Sistema!AW241)</f>
        <v/>
      </c>
      <c r="AX241" t="str">
        <f>IF(Sistema!AX241="","",Sistema!AX241)</f>
        <v/>
      </c>
      <c r="AY241" t="str">
        <f>IF(Sistema!AY241="","",Sistema!AY241)</f>
        <v/>
      </c>
      <c r="AZ241" t="str">
        <f>IF(Sistema!AZ241="","",Sistema!AZ241)</f>
        <v/>
      </c>
      <c r="BA241" t="str">
        <f>IF(Sistema!BA241="","",Sistema!BA241)</f>
        <v/>
      </c>
      <c r="BB241" t="str">
        <f>IF(Sistema!BB241="","",Sistema!BB241)</f>
        <v/>
      </c>
      <c r="BC241" t="str">
        <f>IF(Sistema!BC241="","",Sistema!BC241)</f>
        <v/>
      </c>
      <c r="BD241" t="str">
        <f>IF(Sistema!BD241="","",Sistema!BD241)</f>
        <v/>
      </c>
      <c r="BE241" t="str">
        <f>IF(Sistema!BE241="","",Sistema!BE241)</f>
        <v/>
      </c>
      <c r="BF241" t="str">
        <f>IF(Sistema!BF241="","",Sistema!BF241)</f>
        <v/>
      </c>
      <c r="BG241" t="str">
        <f>IF(Sistema!BG241="","",Sistema!BG241)</f>
        <v/>
      </c>
      <c r="BH241" t="str">
        <f>IF(Sistema!BH241="","",Sistema!BH241)</f>
        <v/>
      </c>
      <c r="BI241" t="str">
        <f>IF(Sistema!BI241="","",Sistema!BI241)</f>
        <v/>
      </c>
      <c r="BJ241" t="str">
        <f>IF(Sistema!BJ241="","",Sistema!BJ241)</f>
        <v/>
      </c>
      <c r="BK241" t="str">
        <f>IF(Sistema!BK241="","",Sistema!BK241)</f>
        <v/>
      </c>
      <c r="BL241" t="str">
        <f>IF(Sistema!BL241="","",Sistema!BL241)</f>
        <v/>
      </c>
      <c r="BM241" t="str">
        <f>IF(Sistema!BM241="","",Sistema!BM241)</f>
        <v/>
      </c>
      <c r="BN241" t="str">
        <f>IF(Sistema!BN241="","",Sistema!BN241)</f>
        <v/>
      </c>
      <c r="BO241" t="str">
        <f>IF(Sistema!BO241="","",Sistema!BO241)</f>
        <v/>
      </c>
      <c r="BP241" t="str">
        <f>IF(Sistema!BP241="","",Sistema!BP241)</f>
        <v/>
      </c>
      <c r="BQ241" t="str">
        <f>IF(Sistema!BQ241="","",Sistema!BQ241)</f>
        <v/>
      </c>
      <c r="BR241" t="str">
        <f>IF(Sistema!BR241="","",Sistema!BR241)</f>
        <v/>
      </c>
      <c r="BS241" t="str">
        <f>IF(Sistema!BS241="","",Sistema!BS241)</f>
        <v/>
      </c>
      <c r="BT241" t="str">
        <f>IF(Sistema!BT241="","",Sistema!BT241)</f>
        <v/>
      </c>
      <c r="BU241" t="str">
        <f>IF(Sistema!BU241="","",Sistema!BU241)</f>
        <v/>
      </c>
      <c r="BV241" t="str">
        <f>IF(Sistema!BV241="","",Sistema!BV241)</f>
        <v/>
      </c>
      <c r="BW241" t="str">
        <f>IF(Sistema!BW241="","",Sistema!BW241)</f>
        <v/>
      </c>
      <c r="BX241" t="str">
        <f>IF(Sistema!BX241="","",Sistema!BX241)</f>
        <v/>
      </c>
      <c r="BY241" t="str">
        <f>IF(Sistema!BY241="","",Sistema!BY241)</f>
        <v/>
      </c>
      <c r="BZ241" t="str">
        <f>IF(Sistema!BZ241="","",Sistema!BZ241)</f>
        <v/>
      </c>
      <c r="CA241" t="str">
        <f>IF(Sistema!CA241="","",Sistema!CA241)</f>
        <v/>
      </c>
      <c r="CB241" t="str">
        <f>IF(Sistema!CB241="","",Sistema!CB241)</f>
        <v/>
      </c>
      <c r="CC241" t="str">
        <f>IF(Sistema!CC241="","",Sistema!CC241)</f>
        <v/>
      </c>
      <c r="CD241" t="str">
        <f>IF(Sistema!CD241="","",Sistema!CD241)</f>
        <v/>
      </c>
    </row>
    <row r="242" spans="1:82" x14ac:dyDescent="0.25">
      <c r="A242" t="str">
        <f>IF(Sistema!A242="","",Sistema!A242)</f>
        <v/>
      </c>
      <c r="B242" t="str">
        <f>IF(Sistema!B242="","",Sistema!B242)</f>
        <v/>
      </c>
      <c r="C242" t="str">
        <f>IF(Sistema!C242="","",Sistema!C242)</f>
        <v/>
      </c>
      <c r="D242" t="str">
        <f>IF(Sistema!D242="","",Sistema!D242)</f>
        <v/>
      </c>
      <c r="E242" t="str">
        <f>IF(Sistema!E242="","",Sistema!E242)</f>
        <v/>
      </c>
      <c r="F242">
        <f>IF(P242&gt;0,1,IF(Sistema!F242=0,-1,1))</f>
        <v>-1</v>
      </c>
      <c r="G242">
        <f>Sistema!G242</f>
        <v>0</v>
      </c>
      <c r="H242" t="str">
        <f>IF(OR(R242="notify",R242=1),"visible",IF(OR(Sistema!F242=-1,Sistema!F242=0,ISNUMBER(SEARCH("PCK",E242))),"hidden",IF(P242&gt;0,"visible","hidden")))</f>
        <v>hidden</v>
      </c>
      <c r="I242" t="str">
        <f>IF(B242="simple",IF(P242&gt;0,"",IF(R242="notify",Info!C$2,"")),IF(B242="variable",IF(P242&gt;0,"",IF(R242="notify",Info!C$4,"")),""))</f>
        <v/>
      </c>
      <c r="J242" t="str">
        <f>IF(Sistema!J242="","",Sistema!J242)</f>
        <v/>
      </c>
      <c r="M242" t="str">
        <f>IF(Sistema!M242="","",Sistema!M242)</f>
        <v/>
      </c>
      <c r="N242" s="6" t="s">
        <v>1557</v>
      </c>
      <c r="O242" s="6">
        <v>1</v>
      </c>
      <c r="P242">
        <f>Sistema!P242</f>
        <v>0</v>
      </c>
      <c r="Q242">
        <f>Sistema!Q242</f>
        <v>0</v>
      </c>
      <c r="R242">
        <f>IF(Sistema!R242=1,"notify",Sistema!R242)</f>
        <v>0</v>
      </c>
      <c r="T242" t="str">
        <f>IF(Sistema!T242="","",Sistema!T242)</f>
        <v/>
      </c>
      <c r="U242" t="str">
        <f>IF(Sistema!U242="","",Sistema!U242)</f>
        <v/>
      </c>
      <c r="V242" t="str">
        <f>IF(Sistema!V242="","",Sistema!V242)</f>
        <v/>
      </c>
      <c r="W242" t="str">
        <f>IF(Sistema!W242="","",Sistema!W242)</f>
        <v/>
      </c>
      <c r="X242" s="6">
        <v>1</v>
      </c>
      <c r="Z242" t="str">
        <f>IF(Sistema!Z242="","",Sistema!Z242)</f>
        <v/>
      </c>
      <c r="AA242" t="str">
        <f>IF(Sistema!AA242="","",Sistema!AA242)</f>
        <v/>
      </c>
      <c r="AB242" t="str">
        <f>IF(Sistema!AB242="","",IF(OR(ISNUMBER(SEARCH("MKP",E242)),ISNUMBER(SEARCH("MKP",C242))),"Marketplace &gt; "&amp;Sistema!AB242,Sistema!AB242))</f>
        <v/>
      </c>
      <c r="AC242" t="str">
        <f>IF(Sistema!AC242="","",Sistema!AC242)</f>
        <v/>
      </c>
      <c r="AE242" t="str">
        <f>IF(Sistema!AE242="","",Sistema!AE242)</f>
        <v/>
      </c>
      <c r="AH242" t="str">
        <f>IF(Sistema!AH242="","",Sistema!AH242)</f>
        <v/>
      </c>
      <c r="AQ242" t="str">
        <f>IF(Sistema!AQ242="","",Sistema!AQ242)</f>
        <v/>
      </c>
      <c r="AR242" t="str">
        <f>IF(Sistema!AR242="","",Sistema!AR242)</f>
        <v/>
      </c>
      <c r="AS242" t="str">
        <f>IF(Sistema!AS242="","",Sistema!AS242)</f>
        <v/>
      </c>
      <c r="AT242" t="str">
        <f>IF(Sistema!AT242="","",Sistema!AT242)</f>
        <v/>
      </c>
      <c r="AU242" t="str">
        <f>IF(Sistema!AU242="","",Sistema!AU242)</f>
        <v/>
      </c>
      <c r="AV242" t="str">
        <f>IF(Sistema!AV242="","",Sistema!AV242)</f>
        <v/>
      </c>
      <c r="AW242" t="str">
        <f>IF(Sistema!AW242="","",Sistema!AW242)</f>
        <v/>
      </c>
      <c r="AX242" t="str">
        <f>IF(Sistema!AX242="","",Sistema!AX242)</f>
        <v/>
      </c>
      <c r="AY242" t="str">
        <f>IF(Sistema!AY242="","",Sistema!AY242)</f>
        <v/>
      </c>
      <c r="AZ242" t="str">
        <f>IF(Sistema!AZ242="","",Sistema!AZ242)</f>
        <v/>
      </c>
      <c r="BA242" t="str">
        <f>IF(Sistema!BA242="","",Sistema!BA242)</f>
        <v/>
      </c>
      <c r="BB242" t="str">
        <f>IF(Sistema!BB242="","",Sistema!BB242)</f>
        <v/>
      </c>
      <c r="BC242" t="str">
        <f>IF(Sistema!BC242="","",Sistema!BC242)</f>
        <v/>
      </c>
      <c r="BD242" t="str">
        <f>IF(Sistema!BD242="","",Sistema!BD242)</f>
        <v/>
      </c>
      <c r="BE242" t="str">
        <f>IF(Sistema!BE242="","",Sistema!BE242)</f>
        <v/>
      </c>
      <c r="BF242" t="str">
        <f>IF(Sistema!BF242="","",Sistema!BF242)</f>
        <v/>
      </c>
      <c r="BG242" t="str">
        <f>IF(Sistema!BG242="","",Sistema!BG242)</f>
        <v/>
      </c>
      <c r="BH242" t="str">
        <f>IF(Sistema!BH242="","",Sistema!BH242)</f>
        <v/>
      </c>
      <c r="BI242" t="str">
        <f>IF(Sistema!BI242="","",Sistema!BI242)</f>
        <v/>
      </c>
      <c r="BJ242" t="str">
        <f>IF(Sistema!BJ242="","",Sistema!BJ242)</f>
        <v/>
      </c>
      <c r="BK242" t="str">
        <f>IF(Sistema!BK242="","",Sistema!BK242)</f>
        <v/>
      </c>
      <c r="BL242" t="str">
        <f>IF(Sistema!BL242="","",Sistema!BL242)</f>
        <v/>
      </c>
      <c r="BM242" t="str">
        <f>IF(Sistema!BM242="","",Sistema!BM242)</f>
        <v/>
      </c>
      <c r="BN242" t="str">
        <f>IF(Sistema!BN242="","",Sistema!BN242)</f>
        <v/>
      </c>
      <c r="BO242" t="str">
        <f>IF(Sistema!BO242="","",Sistema!BO242)</f>
        <v/>
      </c>
      <c r="BP242" t="str">
        <f>IF(Sistema!BP242="","",Sistema!BP242)</f>
        <v/>
      </c>
      <c r="BQ242" t="str">
        <f>IF(Sistema!BQ242="","",Sistema!BQ242)</f>
        <v/>
      </c>
      <c r="BR242" t="str">
        <f>IF(Sistema!BR242="","",Sistema!BR242)</f>
        <v/>
      </c>
      <c r="BS242" t="str">
        <f>IF(Sistema!BS242="","",Sistema!BS242)</f>
        <v/>
      </c>
      <c r="BT242" t="str">
        <f>IF(Sistema!BT242="","",Sistema!BT242)</f>
        <v/>
      </c>
      <c r="BU242" t="str">
        <f>IF(Sistema!BU242="","",Sistema!BU242)</f>
        <v/>
      </c>
      <c r="BV242" t="str">
        <f>IF(Sistema!BV242="","",Sistema!BV242)</f>
        <v/>
      </c>
      <c r="BW242" t="str">
        <f>IF(Sistema!BW242="","",Sistema!BW242)</f>
        <v/>
      </c>
      <c r="BX242" t="str">
        <f>IF(Sistema!BX242="","",Sistema!BX242)</f>
        <v/>
      </c>
      <c r="BY242" t="str">
        <f>IF(Sistema!BY242="","",Sistema!BY242)</f>
        <v/>
      </c>
      <c r="BZ242" t="str">
        <f>IF(Sistema!BZ242="","",Sistema!BZ242)</f>
        <v/>
      </c>
      <c r="CA242" t="str">
        <f>IF(Sistema!CA242="","",Sistema!CA242)</f>
        <v/>
      </c>
      <c r="CB242" t="str">
        <f>IF(Sistema!CB242="","",Sistema!CB242)</f>
        <v/>
      </c>
      <c r="CC242" t="str">
        <f>IF(Sistema!CC242="","",Sistema!CC242)</f>
        <v/>
      </c>
      <c r="CD242" t="str">
        <f>IF(Sistema!CD242="","",Sistema!CD242)</f>
        <v/>
      </c>
    </row>
    <row r="243" spans="1:82" x14ac:dyDescent="0.25">
      <c r="A243" t="str">
        <f>IF(Sistema!A243="","",Sistema!A243)</f>
        <v/>
      </c>
      <c r="B243" t="str">
        <f>IF(Sistema!B243="","",Sistema!B243)</f>
        <v/>
      </c>
      <c r="C243" t="str">
        <f>IF(Sistema!C243="","",Sistema!C243)</f>
        <v/>
      </c>
      <c r="D243" t="str">
        <f>IF(Sistema!D243="","",Sistema!D243)</f>
        <v/>
      </c>
      <c r="E243" t="str">
        <f>IF(Sistema!E243="","",Sistema!E243)</f>
        <v/>
      </c>
      <c r="F243">
        <f>IF(P243&gt;0,1,IF(Sistema!F243=0,-1,1))</f>
        <v>-1</v>
      </c>
      <c r="G243">
        <f>Sistema!G243</f>
        <v>0</v>
      </c>
      <c r="H243" t="str">
        <f>IF(OR(R243="notify",R243=1),"visible",IF(OR(Sistema!F243=-1,Sistema!F243=0,ISNUMBER(SEARCH("PCK",E243))),"hidden",IF(P243&gt;0,"visible","hidden")))</f>
        <v>hidden</v>
      </c>
      <c r="I243" t="str">
        <f>IF(B243="simple",IF(P243&gt;0,"",IF(R243="notify",Info!C$2,"")),IF(B243="variable",IF(P243&gt;0,"",IF(R243="notify",Info!C$4,"")),""))</f>
        <v/>
      </c>
      <c r="J243" t="str">
        <f>IF(Sistema!J243="","",Sistema!J243)</f>
        <v/>
      </c>
      <c r="M243" t="str">
        <f>IF(Sistema!M243="","",Sistema!M243)</f>
        <v/>
      </c>
      <c r="N243" s="6" t="s">
        <v>1557</v>
      </c>
      <c r="O243" s="6">
        <v>1</v>
      </c>
      <c r="P243">
        <f>Sistema!P243</f>
        <v>0</v>
      </c>
      <c r="Q243">
        <f>Sistema!Q243</f>
        <v>0</v>
      </c>
      <c r="R243">
        <f>IF(Sistema!R243=1,"notify",Sistema!R243)</f>
        <v>0</v>
      </c>
      <c r="T243" t="str">
        <f>IF(Sistema!T243="","",Sistema!T243)</f>
        <v/>
      </c>
      <c r="U243" t="str">
        <f>IF(Sistema!U243="","",Sistema!U243)</f>
        <v/>
      </c>
      <c r="V243" t="str">
        <f>IF(Sistema!V243="","",Sistema!V243)</f>
        <v/>
      </c>
      <c r="W243" t="str">
        <f>IF(Sistema!W243="","",Sistema!W243)</f>
        <v/>
      </c>
      <c r="X243" s="6">
        <v>1</v>
      </c>
      <c r="Z243" t="str">
        <f>IF(Sistema!Z243="","",Sistema!Z243)</f>
        <v/>
      </c>
      <c r="AA243" t="str">
        <f>IF(Sistema!AA243="","",Sistema!AA243)</f>
        <v/>
      </c>
      <c r="AB243" t="str">
        <f>IF(Sistema!AB243="","",IF(OR(ISNUMBER(SEARCH("MKP",E243)),ISNUMBER(SEARCH("MKP",C243))),"Marketplace &gt; "&amp;Sistema!AB243,Sistema!AB243))</f>
        <v/>
      </c>
      <c r="AC243" t="str">
        <f>IF(Sistema!AC243="","",Sistema!AC243)</f>
        <v/>
      </c>
      <c r="AE243" t="str">
        <f>IF(Sistema!AE243="","",Sistema!AE243)</f>
        <v/>
      </c>
      <c r="AH243" t="str">
        <f>IF(Sistema!AH243="","",Sistema!AH243)</f>
        <v/>
      </c>
      <c r="AQ243" t="str">
        <f>IF(Sistema!AQ243="","",Sistema!AQ243)</f>
        <v/>
      </c>
      <c r="AR243" t="str">
        <f>IF(Sistema!AR243="","",Sistema!AR243)</f>
        <v/>
      </c>
      <c r="AS243" t="str">
        <f>IF(Sistema!AS243="","",Sistema!AS243)</f>
        <v/>
      </c>
      <c r="AT243" t="str">
        <f>IF(Sistema!AT243="","",Sistema!AT243)</f>
        <v/>
      </c>
      <c r="AU243" t="str">
        <f>IF(Sistema!AU243="","",Sistema!AU243)</f>
        <v/>
      </c>
      <c r="AV243" t="str">
        <f>IF(Sistema!AV243="","",Sistema!AV243)</f>
        <v/>
      </c>
      <c r="AW243" t="str">
        <f>IF(Sistema!AW243="","",Sistema!AW243)</f>
        <v/>
      </c>
      <c r="AX243" t="str">
        <f>IF(Sistema!AX243="","",Sistema!AX243)</f>
        <v/>
      </c>
      <c r="AY243" t="str">
        <f>IF(Sistema!AY243="","",Sistema!AY243)</f>
        <v/>
      </c>
      <c r="AZ243" t="str">
        <f>IF(Sistema!AZ243="","",Sistema!AZ243)</f>
        <v/>
      </c>
      <c r="BA243" t="str">
        <f>IF(Sistema!BA243="","",Sistema!BA243)</f>
        <v/>
      </c>
      <c r="BB243" t="str">
        <f>IF(Sistema!BB243="","",Sistema!BB243)</f>
        <v/>
      </c>
      <c r="BC243" t="str">
        <f>IF(Sistema!BC243="","",Sistema!BC243)</f>
        <v/>
      </c>
      <c r="BD243" t="str">
        <f>IF(Sistema!BD243="","",Sistema!BD243)</f>
        <v/>
      </c>
      <c r="BE243" t="str">
        <f>IF(Sistema!BE243="","",Sistema!BE243)</f>
        <v/>
      </c>
      <c r="BF243" t="str">
        <f>IF(Sistema!BF243="","",Sistema!BF243)</f>
        <v/>
      </c>
      <c r="BG243" t="str">
        <f>IF(Sistema!BG243="","",Sistema!BG243)</f>
        <v/>
      </c>
      <c r="BH243" t="str">
        <f>IF(Sistema!BH243="","",Sistema!BH243)</f>
        <v/>
      </c>
      <c r="BI243" t="str">
        <f>IF(Sistema!BI243="","",Sistema!BI243)</f>
        <v/>
      </c>
      <c r="BJ243" t="str">
        <f>IF(Sistema!BJ243="","",Sistema!BJ243)</f>
        <v/>
      </c>
      <c r="BK243" t="str">
        <f>IF(Sistema!BK243="","",Sistema!BK243)</f>
        <v/>
      </c>
      <c r="BL243" t="str">
        <f>IF(Sistema!BL243="","",Sistema!BL243)</f>
        <v/>
      </c>
      <c r="BM243" t="str">
        <f>IF(Sistema!BM243="","",Sistema!BM243)</f>
        <v/>
      </c>
      <c r="BN243" t="str">
        <f>IF(Sistema!BN243="","",Sistema!BN243)</f>
        <v/>
      </c>
      <c r="BO243" t="str">
        <f>IF(Sistema!BO243="","",Sistema!BO243)</f>
        <v/>
      </c>
      <c r="BP243" t="str">
        <f>IF(Sistema!BP243="","",Sistema!BP243)</f>
        <v/>
      </c>
      <c r="BQ243" t="str">
        <f>IF(Sistema!BQ243="","",Sistema!BQ243)</f>
        <v/>
      </c>
      <c r="BR243" t="str">
        <f>IF(Sistema!BR243="","",Sistema!BR243)</f>
        <v/>
      </c>
      <c r="BS243" t="str">
        <f>IF(Sistema!BS243="","",Sistema!BS243)</f>
        <v/>
      </c>
      <c r="BT243" t="str">
        <f>IF(Sistema!BT243="","",Sistema!BT243)</f>
        <v/>
      </c>
      <c r="BU243" t="str">
        <f>IF(Sistema!BU243="","",Sistema!BU243)</f>
        <v/>
      </c>
      <c r="BV243" t="str">
        <f>IF(Sistema!BV243="","",Sistema!BV243)</f>
        <v/>
      </c>
      <c r="BW243" t="str">
        <f>IF(Sistema!BW243="","",Sistema!BW243)</f>
        <v/>
      </c>
      <c r="BX243" t="str">
        <f>IF(Sistema!BX243="","",Sistema!BX243)</f>
        <v/>
      </c>
      <c r="BY243" t="str">
        <f>IF(Sistema!BY243="","",Sistema!BY243)</f>
        <v/>
      </c>
      <c r="BZ243" t="str">
        <f>IF(Sistema!BZ243="","",Sistema!BZ243)</f>
        <v/>
      </c>
      <c r="CA243" t="str">
        <f>IF(Sistema!CA243="","",Sistema!CA243)</f>
        <v/>
      </c>
      <c r="CB243" t="str">
        <f>IF(Sistema!CB243="","",Sistema!CB243)</f>
        <v/>
      </c>
      <c r="CC243" t="str">
        <f>IF(Sistema!CC243="","",Sistema!CC243)</f>
        <v/>
      </c>
      <c r="CD243" t="str">
        <f>IF(Sistema!CD243="","",Sistema!CD243)</f>
        <v/>
      </c>
    </row>
    <row r="244" spans="1:82" x14ac:dyDescent="0.25">
      <c r="A244" t="str">
        <f>IF(Sistema!A244="","",Sistema!A244)</f>
        <v/>
      </c>
      <c r="B244" t="str">
        <f>IF(Sistema!B244="","",Sistema!B244)</f>
        <v/>
      </c>
      <c r="C244" t="str">
        <f>IF(Sistema!C244="","",Sistema!C244)</f>
        <v/>
      </c>
      <c r="D244" t="str">
        <f>IF(Sistema!D244="","",Sistema!D244)</f>
        <v/>
      </c>
      <c r="E244" t="str">
        <f>IF(Sistema!E244="","",Sistema!E244)</f>
        <v/>
      </c>
      <c r="F244">
        <f>IF(P244&gt;0,1,IF(Sistema!F244=0,-1,1))</f>
        <v>-1</v>
      </c>
      <c r="G244">
        <f>Sistema!G244</f>
        <v>0</v>
      </c>
      <c r="H244" t="str">
        <f>IF(OR(R244="notify",R244=1),"visible",IF(OR(Sistema!F244=-1,Sistema!F244=0,ISNUMBER(SEARCH("PCK",E244))),"hidden",IF(P244&gt;0,"visible","hidden")))</f>
        <v>hidden</v>
      </c>
      <c r="I244" t="str">
        <f>IF(B244="simple",IF(P244&gt;0,"",IF(R244="notify",Info!C$2,"")),IF(B244="variable",IF(P244&gt;0,"",IF(R244="notify",Info!C$4,"")),""))</f>
        <v/>
      </c>
      <c r="J244" t="str">
        <f>IF(Sistema!J244="","",Sistema!J244)</f>
        <v/>
      </c>
      <c r="M244" t="str">
        <f>IF(Sistema!M244="","",Sistema!M244)</f>
        <v/>
      </c>
      <c r="N244" s="6" t="s">
        <v>1557</v>
      </c>
      <c r="O244" s="6">
        <v>1</v>
      </c>
      <c r="P244">
        <f>Sistema!P244</f>
        <v>0</v>
      </c>
      <c r="Q244">
        <f>Sistema!Q244</f>
        <v>0</v>
      </c>
      <c r="R244">
        <f>IF(Sistema!R244=1,"notify",Sistema!R244)</f>
        <v>0</v>
      </c>
      <c r="T244" t="str">
        <f>IF(Sistema!T244="","",Sistema!T244)</f>
        <v/>
      </c>
      <c r="U244" t="str">
        <f>IF(Sistema!U244="","",Sistema!U244)</f>
        <v/>
      </c>
      <c r="V244" t="str">
        <f>IF(Sistema!V244="","",Sistema!V244)</f>
        <v/>
      </c>
      <c r="W244" t="str">
        <f>IF(Sistema!W244="","",Sistema!W244)</f>
        <v/>
      </c>
      <c r="X244" s="6">
        <v>1</v>
      </c>
      <c r="Z244" t="str">
        <f>IF(Sistema!Z244="","",Sistema!Z244)</f>
        <v/>
      </c>
      <c r="AA244" t="str">
        <f>IF(Sistema!AA244="","",Sistema!AA244)</f>
        <v/>
      </c>
      <c r="AB244" t="str">
        <f>IF(Sistema!AB244="","",IF(OR(ISNUMBER(SEARCH("MKP",E244)),ISNUMBER(SEARCH("MKP",C244))),"Marketplace &gt; "&amp;Sistema!AB244,Sistema!AB244))</f>
        <v/>
      </c>
      <c r="AC244" t="str">
        <f>IF(Sistema!AC244="","",Sistema!AC244)</f>
        <v/>
      </c>
      <c r="AE244" t="str">
        <f>IF(Sistema!AE244="","",Sistema!AE244)</f>
        <v/>
      </c>
      <c r="AH244" t="str">
        <f>IF(Sistema!AH244="","",Sistema!AH244)</f>
        <v/>
      </c>
      <c r="AQ244" t="str">
        <f>IF(Sistema!AQ244="","",Sistema!AQ244)</f>
        <v/>
      </c>
      <c r="AR244" t="str">
        <f>IF(Sistema!AR244="","",Sistema!AR244)</f>
        <v/>
      </c>
      <c r="AS244" t="str">
        <f>IF(Sistema!AS244="","",Sistema!AS244)</f>
        <v/>
      </c>
      <c r="AT244" t="str">
        <f>IF(Sistema!AT244="","",Sistema!AT244)</f>
        <v/>
      </c>
      <c r="AU244" t="str">
        <f>IF(Sistema!AU244="","",Sistema!AU244)</f>
        <v/>
      </c>
      <c r="AV244" t="str">
        <f>IF(Sistema!AV244="","",Sistema!AV244)</f>
        <v/>
      </c>
      <c r="AW244" t="str">
        <f>IF(Sistema!AW244="","",Sistema!AW244)</f>
        <v/>
      </c>
      <c r="AX244" t="str">
        <f>IF(Sistema!AX244="","",Sistema!AX244)</f>
        <v/>
      </c>
      <c r="AY244" t="str">
        <f>IF(Sistema!AY244="","",Sistema!AY244)</f>
        <v/>
      </c>
      <c r="AZ244" t="str">
        <f>IF(Sistema!AZ244="","",Sistema!AZ244)</f>
        <v/>
      </c>
      <c r="BA244" t="str">
        <f>IF(Sistema!BA244="","",Sistema!BA244)</f>
        <v/>
      </c>
      <c r="BB244" t="str">
        <f>IF(Sistema!BB244="","",Sistema!BB244)</f>
        <v/>
      </c>
      <c r="BC244" t="str">
        <f>IF(Sistema!BC244="","",Sistema!BC244)</f>
        <v/>
      </c>
      <c r="BD244" t="str">
        <f>IF(Sistema!BD244="","",Sistema!BD244)</f>
        <v/>
      </c>
      <c r="BE244" t="str">
        <f>IF(Sistema!BE244="","",Sistema!BE244)</f>
        <v/>
      </c>
      <c r="BF244" t="str">
        <f>IF(Sistema!BF244="","",Sistema!BF244)</f>
        <v/>
      </c>
      <c r="BG244" t="str">
        <f>IF(Sistema!BG244="","",Sistema!BG244)</f>
        <v/>
      </c>
      <c r="BH244" t="str">
        <f>IF(Sistema!BH244="","",Sistema!BH244)</f>
        <v/>
      </c>
      <c r="BI244" t="str">
        <f>IF(Sistema!BI244="","",Sistema!BI244)</f>
        <v/>
      </c>
      <c r="BJ244" t="str">
        <f>IF(Sistema!BJ244="","",Sistema!BJ244)</f>
        <v/>
      </c>
      <c r="BK244" t="str">
        <f>IF(Sistema!BK244="","",Sistema!BK244)</f>
        <v/>
      </c>
      <c r="BL244" t="str">
        <f>IF(Sistema!BL244="","",Sistema!BL244)</f>
        <v/>
      </c>
      <c r="BM244" t="str">
        <f>IF(Sistema!BM244="","",Sistema!BM244)</f>
        <v/>
      </c>
      <c r="BN244" t="str">
        <f>IF(Sistema!BN244="","",Sistema!BN244)</f>
        <v/>
      </c>
      <c r="BO244" t="str">
        <f>IF(Sistema!BO244="","",Sistema!BO244)</f>
        <v/>
      </c>
      <c r="BP244" t="str">
        <f>IF(Sistema!BP244="","",Sistema!BP244)</f>
        <v/>
      </c>
      <c r="BQ244" t="str">
        <f>IF(Sistema!BQ244="","",Sistema!BQ244)</f>
        <v/>
      </c>
      <c r="BR244" t="str">
        <f>IF(Sistema!BR244="","",Sistema!BR244)</f>
        <v/>
      </c>
      <c r="BS244" t="str">
        <f>IF(Sistema!BS244="","",Sistema!BS244)</f>
        <v/>
      </c>
      <c r="BT244" t="str">
        <f>IF(Sistema!BT244="","",Sistema!BT244)</f>
        <v/>
      </c>
      <c r="BU244" t="str">
        <f>IF(Sistema!BU244="","",Sistema!BU244)</f>
        <v/>
      </c>
      <c r="BV244" t="str">
        <f>IF(Sistema!BV244="","",Sistema!BV244)</f>
        <v/>
      </c>
      <c r="BW244" t="str">
        <f>IF(Sistema!BW244="","",Sistema!BW244)</f>
        <v/>
      </c>
      <c r="BX244" t="str">
        <f>IF(Sistema!BX244="","",Sistema!BX244)</f>
        <v/>
      </c>
      <c r="BY244" t="str">
        <f>IF(Sistema!BY244="","",Sistema!BY244)</f>
        <v/>
      </c>
      <c r="BZ244" t="str">
        <f>IF(Sistema!BZ244="","",Sistema!BZ244)</f>
        <v/>
      </c>
      <c r="CA244" t="str">
        <f>IF(Sistema!CA244="","",Sistema!CA244)</f>
        <v/>
      </c>
      <c r="CB244" t="str">
        <f>IF(Sistema!CB244="","",Sistema!CB244)</f>
        <v/>
      </c>
      <c r="CC244" t="str">
        <f>IF(Sistema!CC244="","",Sistema!CC244)</f>
        <v/>
      </c>
      <c r="CD244" t="str">
        <f>IF(Sistema!CD244="","",Sistema!CD244)</f>
        <v/>
      </c>
    </row>
    <row r="245" spans="1:82" x14ac:dyDescent="0.25">
      <c r="A245" t="str">
        <f>IF(Sistema!A245="","",Sistema!A245)</f>
        <v/>
      </c>
      <c r="B245" t="str">
        <f>IF(Sistema!B245="","",Sistema!B245)</f>
        <v/>
      </c>
      <c r="C245" t="str">
        <f>IF(Sistema!C245="","",Sistema!C245)</f>
        <v/>
      </c>
      <c r="D245" t="str">
        <f>IF(Sistema!D245="","",Sistema!D245)</f>
        <v/>
      </c>
      <c r="E245" t="str">
        <f>IF(Sistema!E245="","",Sistema!E245)</f>
        <v/>
      </c>
      <c r="F245">
        <f>IF(P245&gt;0,1,IF(Sistema!F245=0,-1,1))</f>
        <v>-1</v>
      </c>
      <c r="G245">
        <f>Sistema!G245</f>
        <v>0</v>
      </c>
      <c r="H245" t="str">
        <f>IF(OR(R245="notify",R245=1),"visible",IF(OR(Sistema!F245=-1,Sistema!F245=0,ISNUMBER(SEARCH("PCK",E245))),"hidden",IF(P245&gt;0,"visible","hidden")))</f>
        <v>hidden</v>
      </c>
      <c r="I245" t="str">
        <f>IF(B245="simple",IF(P245&gt;0,"",IF(R245="notify",Info!C$2,"")),IF(B245="variable",IF(P245&gt;0,"",IF(R245="notify",Info!C$4,"")),""))</f>
        <v/>
      </c>
      <c r="J245" t="str">
        <f>IF(Sistema!J245="","",Sistema!J245)</f>
        <v/>
      </c>
      <c r="M245" t="str">
        <f>IF(Sistema!M245="","",Sistema!M245)</f>
        <v/>
      </c>
      <c r="N245" s="6" t="s">
        <v>1557</v>
      </c>
      <c r="O245" s="6">
        <v>1</v>
      </c>
      <c r="P245">
        <f>Sistema!P245</f>
        <v>0</v>
      </c>
      <c r="Q245">
        <f>Sistema!Q245</f>
        <v>0</v>
      </c>
      <c r="R245">
        <f>IF(Sistema!R245=1,"notify",Sistema!R245)</f>
        <v>0</v>
      </c>
      <c r="T245" t="str">
        <f>IF(Sistema!T245="","",Sistema!T245)</f>
        <v/>
      </c>
      <c r="U245" t="str">
        <f>IF(Sistema!U245="","",Sistema!U245)</f>
        <v/>
      </c>
      <c r="V245" t="str">
        <f>IF(Sistema!V245="","",Sistema!V245)</f>
        <v/>
      </c>
      <c r="W245" t="str">
        <f>IF(Sistema!W245="","",Sistema!W245)</f>
        <v/>
      </c>
      <c r="X245" s="6">
        <v>1</v>
      </c>
      <c r="Z245" t="str">
        <f>IF(Sistema!Z245="","",Sistema!Z245)</f>
        <v/>
      </c>
      <c r="AA245" t="str">
        <f>IF(Sistema!AA245="","",Sistema!AA245)</f>
        <v/>
      </c>
      <c r="AB245" t="str">
        <f>IF(Sistema!AB245="","",IF(OR(ISNUMBER(SEARCH("MKP",E245)),ISNUMBER(SEARCH("MKP",C245))),"Marketplace &gt; "&amp;Sistema!AB245,Sistema!AB245))</f>
        <v/>
      </c>
      <c r="AC245" t="str">
        <f>IF(Sistema!AC245="","",Sistema!AC245)</f>
        <v/>
      </c>
      <c r="AE245" t="str">
        <f>IF(Sistema!AE245="","",Sistema!AE245)</f>
        <v/>
      </c>
      <c r="AH245" t="str">
        <f>IF(Sistema!AH245="","",Sistema!AH245)</f>
        <v/>
      </c>
      <c r="AQ245" t="str">
        <f>IF(Sistema!AQ245="","",Sistema!AQ245)</f>
        <v/>
      </c>
      <c r="AR245" t="str">
        <f>IF(Sistema!AR245="","",Sistema!AR245)</f>
        <v/>
      </c>
      <c r="AS245" t="str">
        <f>IF(Sistema!AS245="","",Sistema!AS245)</f>
        <v/>
      </c>
      <c r="AT245" t="str">
        <f>IF(Sistema!AT245="","",Sistema!AT245)</f>
        <v/>
      </c>
      <c r="AU245" t="str">
        <f>IF(Sistema!AU245="","",Sistema!AU245)</f>
        <v/>
      </c>
      <c r="AV245" t="str">
        <f>IF(Sistema!AV245="","",Sistema!AV245)</f>
        <v/>
      </c>
      <c r="AW245" t="str">
        <f>IF(Sistema!AW245="","",Sistema!AW245)</f>
        <v/>
      </c>
      <c r="AX245" t="str">
        <f>IF(Sistema!AX245="","",Sistema!AX245)</f>
        <v/>
      </c>
      <c r="AY245" t="str">
        <f>IF(Sistema!AY245="","",Sistema!AY245)</f>
        <v/>
      </c>
      <c r="AZ245" t="str">
        <f>IF(Sistema!AZ245="","",Sistema!AZ245)</f>
        <v/>
      </c>
      <c r="BA245" t="str">
        <f>IF(Sistema!BA245="","",Sistema!BA245)</f>
        <v/>
      </c>
      <c r="BB245" t="str">
        <f>IF(Sistema!BB245="","",Sistema!BB245)</f>
        <v/>
      </c>
      <c r="BC245" t="str">
        <f>IF(Sistema!BC245="","",Sistema!BC245)</f>
        <v/>
      </c>
      <c r="BD245" t="str">
        <f>IF(Sistema!BD245="","",Sistema!BD245)</f>
        <v/>
      </c>
      <c r="BE245" t="str">
        <f>IF(Sistema!BE245="","",Sistema!BE245)</f>
        <v/>
      </c>
      <c r="BF245" t="str">
        <f>IF(Sistema!BF245="","",Sistema!BF245)</f>
        <v/>
      </c>
      <c r="BG245" t="str">
        <f>IF(Sistema!BG245="","",Sistema!BG245)</f>
        <v/>
      </c>
      <c r="BH245" t="str">
        <f>IF(Sistema!BH245="","",Sistema!BH245)</f>
        <v/>
      </c>
      <c r="BI245" t="str">
        <f>IF(Sistema!BI245="","",Sistema!BI245)</f>
        <v/>
      </c>
      <c r="BJ245" t="str">
        <f>IF(Sistema!BJ245="","",Sistema!BJ245)</f>
        <v/>
      </c>
      <c r="BK245" t="str">
        <f>IF(Sistema!BK245="","",Sistema!BK245)</f>
        <v/>
      </c>
      <c r="BL245" t="str">
        <f>IF(Sistema!BL245="","",Sistema!BL245)</f>
        <v/>
      </c>
      <c r="BM245" t="str">
        <f>IF(Sistema!BM245="","",Sistema!BM245)</f>
        <v/>
      </c>
      <c r="BN245" t="str">
        <f>IF(Sistema!BN245="","",Sistema!BN245)</f>
        <v/>
      </c>
      <c r="BO245" t="str">
        <f>IF(Sistema!BO245="","",Sistema!BO245)</f>
        <v/>
      </c>
      <c r="BP245" t="str">
        <f>IF(Sistema!BP245="","",Sistema!BP245)</f>
        <v/>
      </c>
      <c r="BQ245" t="str">
        <f>IF(Sistema!BQ245="","",Sistema!BQ245)</f>
        <v/>
      </c>
      <c r="BR245" t="str">
        <f>IF(Sistema!BR245="","",Sistema!BR245)</f>
        <v/>
      </c>
      <c r="BS245" t="str">
        <f>IF(Sistema!BS245="","",Sistema!BS245)</f>
        <v/>
      </c>
      <c r="BT245" t="str">
        <f>IF(Sistema!BT245="","",Sistema!BT245)</f>
        <v/>
      </c>
      <c r="BU245" t="str">
        <f>IF(Sistema!BU245="","",Sistema!BU245)</f>
        <v/>
      </c>
      <c r="BV245" t="str">
        <f>IF(Sistema!BV245="","",Sistema!BV245)</f>
        <v/>
      </c>
      <c r="BW245" t="str">
        <f>IF(Sistema!BW245="","",Sistema!BW245)</f>
        <v/>
      </c>
      <c r="BX245" t="str">
        <f>IF(Sistema!BX245="","",Sistema!BX245)</f>
        <v/>
      </c>
      <c r="BY245" t="str">
        <f>IF(Sistema!BY245="","",Sistema!BY245)</f>
        <v/>
      </c>
      <c r="BZ245" t="str">
        <f>IF(Sistema!BZ245="","",Sistema!BZ245)</f>
        <v/>
      </c>
      <c r="CA245" t="str">
        <f>IF(Sistema!CA245="","",Sistema!CA245)</f>
        <v/>
      </c>
      <c r="CB245" t="str">
        <f>IF(Sistema!CB245="","",Sistema!CB245)</f>
        <v/>
      </c>
      <c r="CC245" t="str">
        <f>IF(Sistema!CC245="","",Sistema!CC245)</f>
        <v/>
      </c>
      <c r="CD245" t="str">
        <f>IF(Sistema!CD245="","",Sistema!CD245)</f>
        <v/>
      </c>
    </row>
    <row r="246" spans="1:82" x14ac:dyDescent="0.25">
      <c r="A246" t="str">
        <f>IF(Sistema!A246="","",Sistema!A246)</f>
        <v/>
      </c>
      <c r="B246" t="str">
        <f>IF(Sistema!B246="","",Sistema!B246)</f>
        <v/>
      </c>
      <c r="C246" t="str">
        <f>IF(Sistema!C246="","",Sistema!C246)</f>
        <v/>
      </c>
      <c r="D246" t="str">
        <f>IF(Sistema!D246="","",Sistema!D246)</f>
        <v/>
      </c>
      <c r="E246" t="str">
        <f>IF(Sistema!E246="","",Sistema!E246)</f>
        <v/>
      </c>
      <c r="F246">
        <f>IF(P246&gt;0,1,IF(Sistema!F246=0,-1,1))</f>
        <v>-1</v>
      </c>
      <c r="G246">
        <f>Sistema!G246</f>
        <v>0</v>
      </c>
      <c r="H246" t="str">
        <f>IF(OR(R246="notify",R246=1),"visible",IF(OR(Sistema!F246=-1,Sistema!F246=0,ISNUMBER(SEARCH("PCK",E246))),"hidden",IF(P246&gt;0,"visible","hidden")))</f>
        <v>hidden</v>
      </c>
      <c r="I246" t="str">
        <f>IF(B246="simple",IF(P246&gt;0,"",IF(R246="notify",Info!C$2,"")),IF(B246="variable",IF(P246&gt;0,"",IF(R246="notify",Info!C$4,"")),""))</f>
        <v/>
      </c>
      <c r="J246" t="str">
        <f>IF(Sistema!J246="","",Sistema!J246)</f>
        <v/>
      </c>
      <c r="M246" t="str">
        <f>IF(Sistema!M246="","",Sistema!M246)</f>
        <v/>
      </c>
      <c r="N246" s="6" t="s">
        <v>1557</v>
      </c>
      <c r="O246" s="6">
        <v>1</v>
      </c>
      <c r="P246">
        <f>Sistema!P246</f>
        <v>0</v>
      </c>
      <c r="Q246">
        <f>Sistema!Q246</f>
        <v>0</v>
      </c>
      <c r="R246">
        <f>IF(Sistema!R246=1,"notify",Sistema!R246)</f>
        <v>0</v>
      </c>
      <c r="T246" t="str">
        <f>IF(Sistema!T246="","",Sistema!T246)</f>
        <v/>
      </c>
      <c r="U246" t="str">
        <f>IF(Sistema!U246="","",Sistema!U246)</f>
        <v/>
      </c>
      <c r="V246" t="str">
        <f>IF(Sistema!V246="","",Sistema!V246)</f>
        <v/>
      </c>
      <c r="W246" t="str">
        <f>IF(Sistema!W246="","",Sistema!W246)</f>
        <v/>
      </c>
      <c r="X246" s="6">
        <v>1</v>
      </c>
      <c r="Z246" t="str">
        <f>IF(Sistema!Z246="","",Sistema!Z246)</f>
        <v/>
      </c>
      <c r="AA246" t="str">
        <f>IF(Sistema!AA246="","",Sistema!AA246)</f>
        <v/>
      </c>
      <c r="AB246" t="str">
        <f>IF(Sistema!AB246="","",IF(OR(ISNUMBER(SEARCH("MKP",E246)),ISNUMBER(SEARCH("MKP",C246))),"Marketplace &gt; "&amp;Sistema!AB246,Sistema!AB246))</f>
        <v/>
      </c>
      <c r="AC246" t="str">
        <f>IF(Sistema!AC246="","",Sistema!AC246)</f>
        <v/>
      </c>
      <c r="AE246" t="str">
        <f>IF(Sistema!AE246="","",Sistema!AE246)</f>
        <v/>
      </c>
      <c r="AH246" t="str">
        <f>IF(Sistema!AH246="","",Sistema!AH246)</f>
        <v/>
      </c>
      <c r="AQ246" t="str">
        <f>IF(Sistema!AQ246="","",Sistema!AQ246)</f>
        <v/>
      </c>
      <c r="AR246" t="str">
        <f>IF(Sistema!AR246="","",Sistema!AR246)</f>
        <v/>
      </c>
      <c r="AS246" t="str">
        <f>IF(Sistema!AS246="","",Sistema!AS246)</f>
        <v/>
      </c>
      <c r="AT246" t="str">
        <f>IF(Sistema!AT246="","",Sistema!AT246)</f>
        <v/>
      </c>
      <c r="AU246" t="str">
        <f>IF(Sistema!AU246="","",Sistema!AU246)</f>
        <v/>
      </c>
      <c r="AV246" t="str">
        <f>IF(Sistema!AV246="","",Sistema!AV246)</f>
        <v/>
      </c>
      <c r="AW246" t="str">
        <f>IF(Sistema!AW246="","",Sistema!AW246)</f>
        <v/>
      </c>
      <c r="AX246" t="str">
        <f>IF(Sistema!AX246="","",Sistema!AX246)</f>
        <v/>
      </c>
      <c r="AY246" t="str">
        <f>IF(Sistema!AY246="","",Sistema!AY246)</f>
        <v/>
      </c>
      <c r="AZ246" t="str">
        <f>IF(Sistema!AZ246="","",Sistema!AZ246)</f>
        <v/>
      </c>
      <c r="BA246" t="str">
        <f>IF(Sistema!BA246="","",Sistema!BA246)</f>
        <v/>
      </c>
      <c r="BB246" t="str">
        <f>IF(Sistema!BB246="","",Sistema!BB246)</f>
        <v/>
      </c>
      <c r="BC246" t="str">
        <f>IF(Sistema!BC246="","",Sistema!BC246)</f>
        <v/>
      </c>
      <c r="BD246" t="str">
        <f>IF(Sistema!BD246="","",Sistema!BD246)</f>
        <v/>
      </c>
      <c r="BE246" t="str">
        <f>IF(Sistema!BE246="","",Sistema!BE246)</f>
        <v/>
      </c>
      <c r="BF246" t="str">
        <f>IF(Sistema!BF246="","",Sistema!BF246)</f>
        <v/>
      </c>
      <c r="BG246" t="str">
        <f>IF(Sistema!BG246="","",Sistema!BG246)</f>
        <v/>
      </c>
      <c r="BH246" t="str">
        <f>IF(Sistema!BH246="","",Sistema!BH246)</f>
        <v/>
      </c>
      <c r="BI246" t="str">
        <f>IF(Sistema!BI246="","",Sistema!BI246)</f>
        <v/>
      </c>
      <c r="BJ246" t="str">
        <f>IF(Sistema!BJ246="","",Sistema!BJ246)</f>
        <v/>
      </c>
      <c r="BK246" t="str">
        <f>IF(Sistema!BK246="","",Sistema!BK246)</f>
        <v/>
      </c>
      <c r="BL246" t="str">
        <f>IF(Sistema!BL246="","",Sistema!BL246)</f>
        <v/>
      </c>
      <c r="BM246" t="str">
        <f>IF(Sistema!BM246="","",Sistema!BM246)</f>
        <v/>
      </c>
      <c r="BN246" t="str">
        <f>IF(Sistema!BN246="","",Sistema!BN246)</f>
        <v/>
      </c>
      <c r="BO246" t="str">
        <f>IF(Sistema!BO246="","",Sistema!BO246)</f>
        <v/>
      </c>
      <c r="BP246" t="str">
        <f>IF(Sistema!BP246="","",Sistema!BP246)</f>
        <v/>
      </c>
      <c r="BQ246" t="str">
        <f>IF(Sistema!BQ246="","",Sistema!BQ246)</f>
        <v/>
      </c>
      <c r="BR246" t="str">
        <f>IF(Sistema!BR246="","",Sistema!BR246)</f>
        <v/>
      </c>
      <c r="BS246" t="str">
        <f>IF(Sistema!BS246="","",Sistema!BS246)</f>
        <v/>
      </c>
      <c r="BT246" t="str">
        <f>IF(Sistema!BT246="","",Sistema!BT246)</f>
        <v/>
      </c>
      <c r="BU246" t="str">
        <f>IF(Sistema!BU246="","",Sistema!BU246)</f>
        <v/>
      </c>
      <c r="BV246" t="str">
        <f>IF(Sistema!BV246="","",Sistema!BV246)</f>
        <v/>
      </c>
      <c r="BW246" t="str">
        <f>IF(Sistema!BW246="","",Sistema!BW246)</f>
        <v/>
      </c>
      <c r="BX246" t="str">
        <f>IF(Sistema!BX246="","",Sistema!BX246)</f>
        <v/>
      </c>
      <c r="BY246" t="str">
        <f>IF(Sistema!BY246="","",Sistema!BY246)</f>
        <v/>
      </c>
      <c r="BZ246" t="str">
        <f>IF(Sistema!BZ246="","",Sistema!BZ246)</f>
        <v/>
      </c>
      <c r="CA246" t="str">
        <f>IF(Sistema!CA246="","",Sistema!CA246)</f>
        <v/>
      </c>
      <c r="CB246" t="str">
        <f>IF(Sistema!CB246="","",Sistema!CB246)</f>
        <v/>
      </c>
      <c r="CC246" t="str">
        <f>IF(Sistema!CC246="","",Sistema!CC246)</f>
        <v/>
      </c>
      <c r="CD246" t="str">
        <f>IF(Sistema!CD246="","",Sistema!CD246)</f>
        <v/>
      </c>
    </row>
    <row r="247" spans="1:82" x14ac:dyDescent="0.25">
      <c r="A247" t="str">
        <f>IF(Sistema!A247="","",Sistema!A247)</f>
        <v/>
      </c>
      <c r="B247" t="str">
        <f>IF(Sistema!B247="","",Sistema!B247)</f>
        <v/>
      </c>
      <c r="C247" t="str">
        <f>IF(Sistema!C247="","",Sistema!C247)</f>
        <v/>
      </c>
      <c r="D247" t="str">
        <f>IF(Sistema!D247="","",Sistema!D247)</f>
        <v/>
      </c>
      <c r="E247" t="str">
        <f>IF(Sistema!E247="","",Sistema!E247)</f>
        <v/>
      </c>
      <c r="F247">
        <f>IF(P247&gt;0,1,IF(Sistema!F247=0,-1,1))</f>
        <v>-1</v>
      </c>
      <c r="G247">
        <f>Sistema!G247</f>
        <v>0</v>
      </c>
      <c r="H247" t="str">
        <f>IF(OR(R247="notify",R247=1),"visible",IF(OR(Sistema!F247=-1,Sistema!F247=0,ISNUMBER(SEARCH("PCK",E247))),"hidden",IF(P247&gt;0,"visible","hidden")))</f>
        <v>hidden</v>
      </c>
      <c r="I247" t="str">
        <f>IF(B247="simple",IF(P247&gt;0,"",IF(R247="notify",Info!C$2,"")),IF(B247="variable",IF(P247&gt;0,"",IF(R247="notify",Info!C$4,"")),""))</f>
        <v/>
      </c>
      <c r="J247" t="str">
        <f>IF(Sistema!J247="","",Sistema!J247)</f>
        <v/>
      </c>
      <c r="M247" t="str">
        <f>IF(Sistema!M247="","",Sistema!M247)</f>
        <v/>
      </c>
      <c r="N247" s="6" t="s">
        <v>1557</v>
      </c>
      <c r="O247" s="6">
        <v>1</v>
      </c>
      <c r="P247">
        <f>Sistema!P247</f>
        <v>0</v>
      </c>
      <c r="Q247">
        <f>Sistema!Q247</f>
        <v>0</v>
      </c>
      <c r="R247">
        <f>IF(Sistema!R247=1,"notify",Sistema!R247)</f>
        <v>0</v>
      </c>
      <c r="T247" t="str">
        <f>IF(Sistema!T247="","",Sistema!T247)</f>
        <v/>
      </c>
      <c r="U247" t="str">
        <f>IF(Sistema!U247="","",Sistema!U247)</f>
        <v/>
      </c>
      <c r="V247" t="str">
        <f>IF(Sistema!V247="","",Sistema!V247)</f>
        <v/>
      </c>
      <c r="W247" t="str">
        <f>IF(Sistema!W247="","",Sistema!W247)</f>
        <v/>
      </c>
      <c r="X247" s="6">
        <v>1</v>
      </c>
      <c r="Z247" t="str">
        <f>IF(Sistema!Z247="","",Sistema!Z247)</f>
        <v/>
      </c>
      <c r="AA247" t="str">
        <f>IF(Sistema!AA247="","",Sistema!AA247)</f>
        <v/>
      </c>
      <c r="AB247" t="str">
        <f>IF(Sistema!AB247="","",IF(OR(ISNUMBER(SEARCH("MKP",E247)),ISNUMBER(SEARCH("MKP",C247))),"Marketplace &gt; "&amp;Sistema!AB247,Sistema!AB247))</f>
        <v/>
      </c>
      <c r="AC247" t="str">
        <f>IF(Sistema!AC247="","",Sistema!AC247)</f>
        <v/>
      </c>
      <c r="AE247" t="str">
        <f>IF(Sistema!AE247="","",Sistema!AE247)</f>
        <v/>
      </c>
      <c r="AH247" t="str">
        <f>IF(Sistema!AH247="","",Sistema!AH247)</f>
        <v/>
      </c>
      <c r="AQ247" t="str">
        <f>IF(Sistema!AQ247="","",Sistema!AQ247)</f>
        <v/>
      </c>
      <c r="AR247" t="str">
        <f>IF(Sistema!AR247="","",Sistema!AR247)</f>
        <v/>
      </c>
      <c r="AS247" t="str">
        <f>IF(Sistema!AS247="","",Sistema!AS247)</f>
        <v/>
      </c>
      <c r="AT247" t="str">
        <f>IF(Sistema!AT247="","",Sistema!AT247)</f>
        <v/>
      </c>
      <c r="AU247" t="str">
        <f>IF(Sistema!AU247="","",Sistema!AU247)</f>
        <v/>
      </c>
      <c r="AV247" t="str">
        <f>IF(Sistema!AV247="","",Sistema!AV247)</f>
        <v/>
      </c>
      <c r="AW247" t="str">
        <f>IF(Sistema!AW247="","",Sistema!AW247)</f>
        <v/>
      </c>
      <c r="AX247" t="str">
        <f>IF(Sistema!AX247="","",Sistema!AX247)</f>
        <v/>
      </c>
      <c r="AY247" t="str">
        <f>IF(Sistema!AY247="","",Sistema!AY247)</f>
        <v/>
      </c>
      <c r="AZ247" t="str">
        <f>IF(Sistema!AZ247="","",Sistema!AZ247)</f>
        <v/>
      </c>
      <c r="BA247" t="str">
        <f>IF(Sistema!BA247="","",Sistema!BA247)</f>
        <v/>
      </c>
      <c r="BB247" t="str">
        <f>IF(Sistema!BB247="","",Sistema!BB247)</f>
        <v/>
      </c>
      <c r="BC247" t="str">
        <f>IF(Sistema!BC247="","",Sistema!BC247)</f>
        <v/>
      </c>
      <c r="BD247" t="str">
        <f>IF(Sistema!BD247="","",Sistema!BD247)</f>
        <v/>
      </c>
      <c r="BE247" t="str">
        <f>IF(Sistema!BE247="","",Sistema!BE247)</f>
        <v/>
      </c>
      <c r="BF247" t="str">
        <f>IF(Sistema!BF247="","",Sistema!BF247)</f>
        <v/>
      </c>
      <c r="BG247" t="str">
        <f>IF(Sistema!BG247="","",Sistema!BG247)</f>
        <v/>
      </c>
      <c r="BH247" t="str">
        <f>IF(Sistema!BH247="","",Sistema!BH247)</f>
        <v/>
      </c>
      <c r="BI247" t="str">
        <f>IF(Sistema!BI247="","",Sistema!BI247)</f>
        <v/>
      </c>
      <c r="BJ247" t="str">
        <f>IF(Sistema!BJ247="","",Sistema!BJ247)</f>
        <v/>
      </c>
      <c r="BK247" t="str">
        <f>IF(Sistema!BK247="","",Sistema!BK247)</f>
        <v/>
      </c>
      <c r="BL247" t="str">
        <f>IF(Sistema!BL247="","",Sistema!BL247)</f>
        <v/>
      </c>
      <c r="BM247" t="str">
        <f>IF(Sistema!BM247="","",Sistema!BM247)</f>
        <v/>
      </c>
      <c r="BN247" t="str">
        <f>IF(Sistema!BN247="","",Sistema!BN247)</f>
        <v/>
      </c>
      <c r="BO247" t="str">
        <f>IF(Sistema!BO247="","",Sistema!BO247)</f>
        <v/>
      </c>
      <c r="BP247" t="str">
        <f>IF(Sistema!BP247="","",Sistema!BP247)</f>
        <v/>
      </c>
      <c r="BQ247" t="str">
        <f>IF(Sistema!BQ247="","",Sistema!BQ247)</f>
        <v/>
      </c>
      <c r="BR247" t="str">
        <f>IF(Sistema!BR247="","",Sistema!BR247)</f>
        <v/>
      </c>
      <c r="BS247" t="str">
        <f>IF(Sistema!BS247="","",Sistema!BS247)</f>
        <v/>
      </c>
      <c r="BT247" t="str">
        <f>IF(Sistema!BT247="","",Sistema!BT247)</f>
        <v/>
      </c>
      <c r="BU247" t="str">
        <f>IF(Sistema!BU247="","",Sistema!BU247)</f>
        <v/>
      </c>
      <c r="BV247" t="str">
        <f>IF(Sistema!BV247="","",Sistema!BV247)</f>
        <v/>
      </c>
      <c r="BW247" t="str">
        <f>IF(Sistema!BW247="","",Sistema!BW247)</f>
        <v/>
      </c>
      <c r="BX247" t="str">
        <f>IF(Sistema!BX247="","",Sistema!BX247)</f>
        <v/>
      </c>
      <c r="BY247" t="str">
        <f>IF(Sistema!BY247="","",Sistema!BY247)</f>
        <v/>
      </c>
      <c r="BZ247" t="str">
        <f>IF(Sistema!BZ247="","",Sistema!BZ247)</f>
        <v/>
      </c>
      <c r="CA247" t="str">
        <f>IF(Sistema!CA247="","",Sistema!CA247)</f>
        <v/>
      </c>
      <c r="CB247" t="str">
        <f>IF(Sistema!CB247="","",Sistema!CB247)</f>
        <v/>
      </c>
      <c r="CC247" t="str">
        <f>IF(Sistema!CC247="","",Sistema!CC247)</f>
        <v/>
      </c>
      <c r="CD247" t="str">
        <f>IF(Sistema!CD247="","",Sistema!CD247)</f>
        <v/>
      </c>
    </row>
    <row r="248" spans="1:82" x14ac:dyDescent="0.25">
      <c r="A248" t="str">
        <f>IF(Sistema!A248="","",Sistema!A248)</f>
        <v/>
      </c>
      <c r="B248" t="str">
        <f>IF(Sistema!B248="","",Sistema!B248)</f>
        <v/>
      </c>
      <c r="C248" t="str">
        <f>IF(Sistema!C248="","",Sistema!C248)</f>
        <v/>
      </c>
      <c r="D248" t="str">
        <f>IF(Sistema!D248="","",Sistema!D248)</f>
        <v/>
      </c>
      <c r="E248" t="str">
        <f>IF(Sistema!E248="","",Sistema!E248)</f>
        <v/>
      </c>
      <c r="F248">
        <f>IF(P248&gt;0,1,IF(Sistema!F248=0,-1,1))</f>
        <v>-1</v>
      </c>
      <c r="G248">
        <f>Sistema!G248</f>
        <v>0</v>
      </c>
      <c r="H248" t="str">
        <f>IF(OR(R248="notify",R248=1),"visible",IF(OR(Sistema!F248=-1,Sistema!F248=0,ISNUMBER(SEARCH("PCK",E248))),"hidden",IF(P248&gt;0,"visible","hidden")))</f>
        <v>hidden</v>
      </c>
      <c r="I248" t="str">
        <f>IF(B248="simple",IF(P248&gt;0,"",IF(R248="notify",Info!C$2,"")),IF(B248="variable",IF(P248&gt;0,"",IF(R248="notify",Info!C$4,"")),""))</f>
        <v/>
      </c>
      <c r="J248" t="str">
        <f>IF(Sistema!J248="","",Sistema!J248)</f>
        <v/>
      </c>
      <c r="M248" t="str">
        <f>IF(Sistema!M248="","",Sistema!M248)</f>
        <v/>
      </c>
      <c r="N248" s="6" t="s">
        <v>1557</v>
      </c>
      <c r="O248" s="6">
        <v>1</v>
      </c>
      <c r="P248">
        <f>Sistema!P248</f>
        <v>0</v>
      </c>
      <c r="Q248">
        <f>Sistema!Q248</f>
        <v>0</v>
      </c>
      <c r="R248">
        <f>IF(Sistema!R248=1,"notify",Sistema!R248)</f>
        <v>0</v>
      </c>
      <c r="T248" t="str">
        <f>IF(Sistema!T248="","",Sistema!T248)</f>
        <v/>
      </c>
      <c r="U248" t="str">
        <f>IF(Sistema!U248="","",Sistema!U248)</f>
        <v/>
      </c>
      <c r="V248" t="str">
        <f>IF(Sistema!V248="","",Sistema!V248)</f>
        <v/>
      </c>
      <c r="W248" t="str">
        <f>IF(Sistema!W248="","",Sistema!W248)</f>
        <v/>
      </c>
      <c r="X248" s="6">
        <v>1</v>
      </c>
      <c r="Z248" t="str">
        <f>IF(Sistema!Z248="","",Sistema!Z248)</f>
        <v/>
      </c>
      <c r="AA248" t="str">
        <f>IF(Sistema!AA248="","",Sistema!AA248)</f>
        <v/>
      </c>
      <c r="AB248" t="str">
        <f>IF(Sistema!AB248="","",IF(OR(ISNUMBER(SEARCH("MKP",E248)),ISNUMBER(SEARCH("MKP",C248))),"Marketplace &gt; "&amp;Sistema!AB248,Sistema!AB248))</f>
        <v/>
      </c>
      <c r="AC248" t="str">
        <f>IF(Sistema!AC248="","",Sistema!AC248)</f>
        <v/>
      </c>
      <c r="AE248" t="str">
        <f>IF(Sistema!AE248="","",Sistema!AE248)</f>
        <v/>
      </c>
      <c r="AH248" t="str">
        <f>IF(Sistema!AH248="","",Sistema!AH248)</f>
        <v/>
      </c>
      <c r="AQ248" t="str">
        <f>IF(Sistema!AQ248="","",Sistema!AQ248)</f>
        <v/>
      </c>
      <c r="AR248" t="str">
        <f>IF(Sistema!AR248="","",Sistema!AR248)</f>
        <v/>
      </c>
      <c r="AS248" t="str">
        <f>IF(Sistema!AS248="","",Sistema!AS248)</f>
        <v/>
      </c>
      <c r="AT248" t="str">
        <f>IF(Sistema!AT248="","",Sistema!AT248)</f>
        <v/>
      </c>
      <c r="AU248" t="str">
        <f>IF(Sistema!AU248="","",Sistema!AU248)</f>
        <v/>
      </c>
      <c r="AV248" t="str">
        <f>IF(Sistema!AV248="","",Sistema!AV248)</f>
        <v/>
      </c>
      <c r="AW248" t="str">
        <f>IF(Sistema!AW248="","",Sistema!AW248)</f>
        <v/>
      </c>
      <c r="AX248" t="str">
        <f>IF(Sistema!AX248="","",Sistema!AX248)</f>
        <v/>
      </c>
      <c r="AY248" t="str">
        <f>IF(Sistema!AY248="","",Sistema!AY248)</f>
        <v/>
      </c>
      <c r="AZ248" t="str">
        <f>IF(Sistema!AZ248="","",Sistema!AZ248)</f>
        <v/>
      </c>
      <c r="BA248" t="str">
        <f>IF(Sistema!BA248="","",Sistema!BA248)</f>
        <v/>
      </c>
      <c r="BB248" t="str">
        <f>IF(Sistema!BB248="","",Sistema!BB248)</f>
        <v/>
      </c>
      <c r="BC248" t="str">
        <f>IF(Sistema!BC248="","",Sistema!BC248)</f>
        <v/>
      </c>
      <c r="BD248" t="str">
        <f>IF(Sistema!BD248="","",Sistema!BD248)</f>
        <v/>
      </c>
      <c r="BE248" t="str">
        <f>IF(Sistema!BE248="","",Sistema!BE248)</f>
        <v/>
      </c>
      <c r="BF248" t="str">
        <f>IF(Sistema!BF248="","",Sistema!BF248)</f>
        <v/>
      </c>
      <c r="BG248" t="str">
        <f>IF(Sistema!BG248="","",Sistema!BG248)</f>
        <v/>
      </c>
      <c r="BH248" t="str">
        <f>IF(Sistema!BH248="","",Sistema!BH248)</f>
        <v/>
      </c>
      <c r="BI248" t="str">
        <f>IF(Sistema!BI248="","",Sistema!BI248)</f>
        <v/>
      </c>
      <c r="BJ248" t="str">
        <f>IF(Sistema!BJ248="","",Sistema!BJ248)</f>
        <v/>
      </c>
      <c r="BK248" t="str">
        <f>IF(Sistema!BK248="","",Sistema!BK248)</f>
        <v/>
      </c>
      <c r="BL248" t="str">
        <f>IF(Sistema!BL248="","",Sistema!BL248)</f>
        <v/>
      </c>
      <c r="BM248" t="str">
        <f>IF(Sistema!BM248="","",Sistema!BM248)</f>
        <v/>
      </c>
      <c r="BN248" t="str">
        <f>IF(Sistema!BN248="","",Sistema!BN248)</f>
        <v/>
      </c>
      <c r="BO248" t="str">
        <f>IF(Sistema!BO248="","",Sistema!BO248)</f>
        <v/>
      </c>
      <c r="BP248" t="str">
        <f>IF(Sistema!BP248="","",Sistema!BP248)</f>
        <v/>
      </c>
      <c r="BQ248" t="str">
        <f>IF(Sistema!BQ248="","",Sistema!BQ248)</f>
        <v/>
      </c>
      <c r="BR248" t="str">
        <f>IF(Sistema!BR248="","",Sistema!BR248)</f>
        <v/>
      </c>
      <c r="BS248" t="str">
        <f>IF(Sistema!BS248="","",Sistema!BS248)</f>
        <v/>
      </c>
      <c r="BT248" t="str">
        <f>IF(Sistema!BT248="","",Sistema!BT248)</f>
        <v/>
      </c>
      <c r="BU248" t="str">
        <f>IF(Sistema!BU248="","",Sistema!BU248)</f>
        <v/>
      </c>
      <c r="BV248" t="str">
        <f>IF(Sistema!BV248="","",Sistema!BV248)</f>
        <v/>
      </c>
      <c r="BW248" t="str">
        <f>IF(Sistema!BW248="","",Sistema!BW248)</f>
        <v/>
      </c>
      <c r="BX248" t="str">
        <f>IF(Sistema!BX248="","",Sistema!BX248)</f>
        <v/>
      </c>
      <c r="BY248" t="str">
        <f>IF(Sistema!BY248="","",Sistema!BY248)</f>
        <v/>
      </c>
      <c r="BZ248" t="str">
        <f>IF(Sistema!BZ248="","",Sistema!BZ248)</f>
        <v/>
      </c>
      <c r="CA248" t="str">
        <f>IF(Sistema!CA248="","",Sistema!CA248)</f>
        <v/>
      </c>
      <c r="CB248" t="str">
        <f>IF(Sistema!CB248="","",Sistema!CB248)</f>
        <v/>
      </c>
      <c r="CC248" t="str">
        <f>IF(Sistema!CC248="","",Sistema!CC248)</f>
        <v/>
      </c>
      <c r="CD248" t="str">
        <f>IF(Sistema!CD248="","",Sistema!CD248)</f>
        <v/>
      </c>
    </row>
    <row r="249" spans="1:82" x14ac:dyDescent="0.25">
      <c r="A249" t="str">
        <f>IF(Sistema!A249="","",Sistema!A249)</f>
        <v/>
      </c>
      <c r="B249" t="str">
        <f>IF(Sistema!B249="","",Sistema!B249)</f>
        <v/>
      </c>
      <c r="C249" t="str">
        <f>IF(Sistema!C249="","",Sistema!C249)</f>
        <v/>
      </c>
      <c r="D249" t="str">
        <f>IF(Sistema!D249="","",Sistema!D249)</f>
        <v/>
      </c>
      <c r="E249" t="str">
        <f>IF(Sistema!E249="","",Sistema!E249)</f>
        <v/>
      </c>
      <c r="F249">
        <f>IF(P249&gt;0,1,IF(Sistema!F249=0,-1,1))</f>
        <v>-1</v>
      </c>
      <c r="G249">
        <f>Sistema!G249</f>
        <v>0</v>
      </c>
      <c r="H249" t="str">
        <f>IF(OR(R249="notify",R249=1),"visible",IF(OR(Sistema!F249=-1,Sistema!F249=0,ISNUMBER(SEARCH("PCK",E249))),"hidden",IF(P249&gt;0,"visible","hidden")))</f>
        <v>hidden</v>
      </c>
      <c r="I249" t="str">
        <f>IF(B249="simple",IF(P249&gt;0,"",IF(R249="notify",Info!C$2,"")),IF(B249="variable",IF(P249&gt;0,"",IF(R249="notify",Info!C$4,"")),""))</f>
        <v/>
      </c>
      <c r="J249" t="str">
        <f>IF(Sistema!J249="","",Sistema!J249)</f>
        <v/>
      </c>
      <c r="M249" t="str">
        <f>IF(Sistema!M249="","",Sistema!M249)</f>
        <v/>
      </c>
      <c r="N249" s="6" t="s">
        <v>1557</v>
      </c>
      <c r="O249" s="6">
        <v>1</v>
      </c>
      <c r="P249">
        <f>Sistema!P249</f>
        <v>0</v>
      </c>
      <c r="Q249">
        <f>Sistema!Q249</f>
        <v>0</v>
      </c>
      <c r="R249">
        <f>IF(Sistema!R249=1,"notify",Sistema!R249)</f>
        <v>0</v>
      </c>
      <c r="T249" t="str">
        <f>IF(Sistema!T249="","",Sistema!T249)</f>
        <v/>
      </c>
      <c r="U249" t="str">
        <f>IF(Sistema!U249="","",Sistema!U249)</f>
        <v/>
      </c>
      <c r="V249" t="str">
        <f>IF(Sistema!V249="","",Sistema!V249)</f>
        <v/>
      </c>
      <c r="W249" t="str">
        <f>IF(Sistema!W249="","",Sistema!W249)</f>
        <v/>
      </c>
      <c r="X249" s="6">
        <v>1</v>
      </c>
      <c r="Z249" t="str">
        <f>IF(Sistema!Z249="","",Sistema!Z249)</f>
        <v/>
      </c>
      <c r="AA249" t="str">
        <f>IF(Sistema!AA249="","",Sistema!AA249)</f>
        <v/>
      </c>
      <c r="AB249" t="str">
        <f>IF(Sistema!AB249="","",IF(OR(ISNUMBER(SEARCH("MKP",E249)),ISNUMBER(SEARCH("MKP",C249))),"Marketplace &gt; "&amp;Sistema!AB249,Sistema!AB249))</f>
        <v/>
      </c>
      <c r="AC249" t="str">
        <f>IF(Sistema!AC249="","",Sistema!AC249)</f>
        <v/>
      </c>
      <c r="AE249" t="str">
        <f>IF(Sistema!AE249="","",Sistema!AE249)</f>
        <v/>
      </c>
      <c r="AH249" t="str">
        <f>IF(Sistema!AH249="","",Sistema!AH249)</f>
        <v/>
      </c>
      <c r="AQ249" t="str">
        <f>IF(Sistema!AQ249="","",Sistema!AQ249)</f>
        <v/>
      </c>
      <c r="AR249" t="str">
        <f>IF(Sistema!AR249="","",Sistema!AR249)</f>
        <v/>
      </c>
      <c r="AS249" t="str">
        <f>IF(Sistema!AS249="","",Sistema!AS249)</f>
        <v/>
      </c>
      <c r="AT249" t="str">
        <f>IF(Sistema!AT249="","",Sistema!AT249)</f>
        <v/>
      </c>
      <c r="AU249" t="str">
        <f>IF(Sistema!AU249="","",Sistema!AU249)</f>
        <v/>
      </c>
      <c r="AV249" t="str">
        <f>IF(Sistema!AV249="","",Sistema!AV249)</f>
        <v/>
      </c>
      <c r="AW249" t="str">
        <f>IF(Sistema!AW249="","",Sistema!AW249)</f>
        <v/>
      </c>
      <c r="AX249" t="str">
        <f>IF(Sistema!AX249="","",Sistema!AX249)</f>
        <v/>
      </c>
      <c r="AY249" t="str">
        <f>IF(Sistema!AY249="","",Sistema!AY249)</f>
        <v/>
      </c>
      <c r="AZ249" t="str">
        <f>IF(Sistema!AZ249="","",Sistema!AZ249)</f>
        <v/>
      </c>
      <c r="BA249" t="str">
        <f>IF(Sistema!BA249="","",Sistema!BA249)</f>
        <v/>
      </c>
      <c r="BB249" t="str">
        <f>IF(Sistema!BB249="","",Sistema!BB249)</f>
        <v/>
      </c>
      <c r="BC249" t="str">
        <f>IF(Sistema!BC249="","",Sistema!BC249)</f>
        <v/>
      </c>
      <c r="BD249" t="str">
        <f>IF(Sistema!BD249="","",Sistema!BD249)</f>
        <v/>
      </c>
      <c r="BE249" t="str">
        <f>IF(Sistema!BE249="","",Sistema!BE249)</f>
        <v/>
      </c>
      <c r="BF249" t="str">
        <f>IF(Sistema!BF249="","",Sistema!BF249)</f>
        <v/>
      </c>
      <c r="BG249" t="str">
        <f>IF(Sistema!BG249="","",Sistema!BG249)</f>
        <v/>
      </c>
      <c r="BH249" t="str">
        <f>IF(Sistema!BH249="","",Sistema!BH249)</f>
        <v/>
      </c>
      <c r="BI249" t="str">
        <f>IF(Sistema!BI249="","",Sistema!BI249)</f>
        <v/>
      </c>
      <c r="BJ249" t="str">
        <f>IF(Sistema!BJ249="","",Sistema!BJ249)</f>
        <v/>
      </c>
      <c r="BK249" t="str">
        <f>IF(Sistema!BK249="","",Sistema!BK249)</f>
        <v/>
      </c>
      <c r="BL249" t="str">
        <f>IF(Sistema!BL249="","",Sistema!BL249)</f>
        <v/>
      </c>
      <c r="BM249" t="str">
        <f>IF(Sistema!BM249="","",Sistema!BM249)</f>
        <v/>
      </c>
      <c r="BN249" t="str">
        <f>IF(Sistema!BN249="","",Sistema!BN249)</f>
        <v/>
      </c>
      <c r="BO249" t="str">
        <f>IF(Sistema!BO249="","",Sistema!BO249)</f>
        <v/>
      </c>
      <c r="BP249" t="str">
        <f>IF(Sistema!BP249="","",Sistema!BP249)</f>
        <v/>
      </c>
      <c r="BQ249" t="str">
        <f>IF(Sistema!BQ249="","",Sistema!BQ249)</f>
        <v/>
      </c>
      <c r="BR249" t="str">
        <f>IF(Sistema!BR249="","",Sistema!BR249)</f>
        <v/>
      </c>
      <c r="BS249" t="str">
        <f>IF(Sistema!BS249="","",Sistema!BS249)</f>
        <v/>
      </c>
      <c r="BT249" t="str">
        <f>IF(Sistema!BT249="","",Sistema!BT249)</f>
        <v/>
      </c>
      <c r="BU249" t="str">
        <f>IF(Sistema!BU249="","",Sistema!BU249)</f>
        <v/>
      </c>
      <c r="BV249" t="str">
        <f>IF(Sistema!BV249="","",Sistema!BV249)</f>
        <v/>
      </c>
      <c r="BW249" t="str">
        <f>IF(Sistema!BW249="","",Sistema!BW249)</f>
        <v/>
      </c>
      <c r="BX249" t="str">
        <f>IF(Sistema!BX249="","",Sistema!BX249)</f>
        <v/>
      </c>
      <c r="BY249" t="str">
        <f>IF(Sistema!BY249="","",Sistema!BY249)</f>
        <v/>
      </c>
      <c r="BZ249" t="str">
        <f>IF(Sistema!BZ249="","",Sistema!BZ249)</f>
        <v/>
      </c>
      <c r="CA249" t="str">
        <f>IF(Sistema!CA249="","",Sistema!CA249)</f>
        <v/>
      </c>
      <c r="CB249" t="str">
        <f>IF(Sistema!CB249="","",Sistema!CB249)</f>
        <v/>
      </c>
      <c r="CC249" t="str">
        <f>IF(Sistema!CC249="","",Sistema!CC249)</f>
        <v/>
      </c>
      <c r="CD249" t="str">
        <f>IF(Sistema!CD249="","",Sistema!CD249)</f>
        <v/>
      </c>
    </row>
    <row r="250" spans="1:82" x14ac:dyDescent="0.25">
      <c r="A250" t="str">
        <f>IF(Sistema!A250="","",Sistema!A250)</f>
        <v/>
      </c>
      <c r="B250" t="str">
        <f>IF(Sistema!B250="","",Sistema!B250)</f>
        <v/>
      </c>
      <c r="C250" t="str">
        <f>IF(Sistema!C250="","",Sistema!C250)</f>
        <v/>
      </c>
      <c r="D250" t="str">
        <f>IF(Sistema!D250="","",Sistema!D250)</f>
        <v/>
      </c>
      <c r="E250" t="str">
        <f>IF(Sistema!E250="","",Sistema!E250)</f>
        <v/>
      </c>
      <c r="F250">
        <f>IF(P250&gt;0,1,IF(Sistema!F250=0,-1,1))</f>
        <v>-1</v>
      </c>
      <c r="G250">
        <f>Sistema!G250</f>
        <v>0</v>
      </c>
      <c r="H250" t="str">
        <f>IF(OR(R250="notify",R250=1),"visible",IF(OR(Sistema!F250=-1,Sistema!F250=0,ISNUMBER(SEARCH("PCK",E250))),"hidden",IF(P250&gt;0,"visible","hidden")))</f>
        <v>hidden</v>
      </c>
      <c r="I250" t="str">
        <f>IF(B250="simple",IF(P250&gt;0,"",IF(R250="notify",Info!C$2,"")),IF(B250="variable",IF(P250&gt;0,"",IF(R250="notify",Info!C$4,"")),""))</f>
        <v/>
      </c>
      <c r="J250" t="str">
        <f>IF(Sistema!J250="","",Sistema!J250)</f>
        <v/>
      </c>
      <c r="M250" t="str">
        <f>IF(Sistema!M250="","",Sistema!M250)</f>
        <v/>
      </c>
      <c r="N250" s="6" t="s">
        <v>1557</v>
      </c>
      <c r="O250" s="6">
        <v>1</v>
      </c>
      <c r="P250">
        <f>Sistema!P250</f>
        <v>0</v>
      </c>
      <c r="Q250">
        <f>Sistema!Q250</f>
        <v>0</v>
      </c>
      <c r="R250">
        <f>IF(Sistema!R250=1,"notify",Sistema!R250)</f>
        <v>0</v>
      </c>
      <c r="T250" t="str">
        <f>IF(Sistema!T250="","",Sistema!T250)</f>
        <v/>
      </c>
      <c r="U250" t="str">
        <f>IF(Sistema!U250="","",Sistema!U250)</f>
        <v/>
      </c>
      <c r="V250" t="str">
        <f>IF(Sistema!V250="","",Sistema!V250)</f>
        <v/>
      </c>
      <c r="W250" t="str">
        <f>IF(Sistema!W250="","",Sistema!W250)</f>
        <v/>
      </c>
      <c r="X250" s="6">
        <v>1</v>
      </c>
      <c r="Z250" t="str">
        <f>IF(Sistema!Z250="","",Sistema!Z250)</f>
        <v/>
      </c>
      <c r="AA250" t="str">
        <f>IF(Sistema!AA250="","",Sistema!AA250)</f>
        <v/>
      </c>
      <c r="AB250" t="str">
        <f>IF(Sistema!AB250="","",IF(OR(ISNUMBER(SEARCH("MKP",E250)),ISNUMBER(SEARCH("MKP",C250))),"Marketplace &gt; "&amp;Sistema!AB250,Sistema!AB250))</f>
        <v/>
      </c>
      <c r="AC250" t="str">
        <f>IF(Sistema!AC250="","",Sistema!AC250)</f>
        <v/>
      </c>
      <c r="AE250" t="str">
        <f>IF(Sistema!AE250="","",Sistema!AE250)</f>
        <v/>
      </c>
      <c r="AH250" t="str">
        <f>IF(Sistema!AH250="","",Sistema!AH250)</f>
        <v/>
      </c>
      <c r="AQ250" t="str">
        <f>IF(Sistema!AQ250="","",Sistema!AQ250)</f>
        <v/>
      </c>
      <c r="AR250" t="str">
        <f>IF(Sistema!AR250="","",Sistema!AR250)</f>
        <v/>
      </c>
      <c r="AS250" t="str">
        <f>IF(Sistema!AS250="","",Sistema!AS250)</f>
        <v/>
      </c>
      <c r="AT250" t="str">
        <f>IF(Sistema!AT250="","",Sistema!AT250)</f>
        <v/>
      </c>
      <c r="AU250" t="str">
        <f>IF(Sistema!AU250="","",Sistema!AU250)</f>
        <v/>
      </c>
      <c r="AV250" t="str">
        <f>IF(Sistema!AV250="","",Sistema!AV250)</f>
        <v/>
      </c>
      <c r="AW250" t="str">
        <f>IF(Sistema!AW250="","",Sistema!AW250)</f>
        <v/>
      </c>
      <c r="AX250" t="str">
        <f>IF(Sistema!AX250="","",Sistema!AX250)</f>
        <v/>
      </c>
      <c r="AY250" t="str">
        <f>IF(Sistema!AY250="","",Sistema!AY250)</f>
        <v/>
      </c>
      <c r="AZ250" t="str">
        <f>IF(Sistema!AZ250="","",Sistema!AZ250)</f>
        <v/>
      </c>
      <c r="BA250" t="str">
        <f>IF(Sistema!BA250="","",Sistema!BA250)</f>
        <v/>
      </c>
      <c r="BB250" t="str">
        <f>IF(Sistema!BB250="","",Sistema!BB250)</f>
        <v/>
      </c>
      <c r="BC250" t="str">
        <f>IF(Sistema!BC250="","",Sistema!BC250)</f>
        <v/>
      </c>
      <c r="BD250" t="str">
        <f>IF(Sistema!BD250="","",Sistema!BD250)</f>
        <v/>
      </c>
      <c r="BE250" t="str">
        <f>IF(Sistema!BE250="","",Sistema!BE250)</f>
        <v/>
      </c>
      <c r="BF250" t="str">
        <f>IF(Sistema!BF250="","",Sistema!BF250)</f>
        <v/>
      </c>
      <c r="BG250" t="str">
        <f>IF(Sistema!BG250="","",Sistema!BG250)</f>
        <v/>
      </c>
      <c r="BH250" t="str">
        <f>IF(Sistema!BH250="","",Sistema!BH250)</f>
        <v/>
      </c>
      <c r="BI250" t="str">
        <f>IF(Sistema!BI250="","",Sistema!BI250)</f>
        <v/>
      </c>
      <c r="BJ250" t="str">
        <f>IF(Sistema!BJ250="","",Sistema!BJ250)</f>
        <v/>
      </c>
      <c r="BK250" t="str">
        <f>IF(Sistema!BK250="","",Sistema!BK250)</f>
        <v/>
      </c>
      <c r="BL250" t="str">
        <f>IF(Sistema!BL250="","",Sistema!BL250)</f>
        <v/>
      </c>
      <c r="BM250" t="str">
        <f>IF(Sistema!BM250="","",Sistema!BM250)</f>
        <v/>
      </c>
      <c r="BN250" t="str">
        <f>IF(Sistema!BN250="","",Sistema!BN250)</f>
        <v/>
      </c>
      <c r="BO250" t="str">
        <f>IF(Sistema!BO250="","",Sistema!BO250)</f>
        <v/>
      </c>
      <c r="BP250" t="str">
        <f>IF(Sistema!BP250="","",Sistema!BP250)</f>
        <v/>
      </c>
      <c r="BQ250" t="str">
        <f>IF(Sistema!BQ250="","",Sistema!BQ250)</f>
        <v/>
      </c>
      <c r="BR250" t="str">
        <f>IF(Sistema!BR250="","",Sistema!BR250)</f>
        <v/>
      </c>
      <c r="BS250" t="str">
        <f>IF(Sistema!BS250="","",Sistema!BS250)</f>
        <v/>
      </c>
      <c r="BT250" t="str">
        <f>IF(Sistema!BT250="","",Sistema!BT250)</f>
        <v/>
      </c>
      <c r="BU250" t="str">
        <f>IF(Sistema!BU250="","",Sistema!BU250)</f>
        <v/>
      </c>
      <c r="BV250" t="str">
        <f>IF(Sistema!BV250="","",Sistema!BV250)</f>
        <v/>
      </c>
      <c r="BW250" t="str">
        <f>IF(Sistema!BW250="","",Sistema!BW250)</f>
        <v/>
      </c>
      <c r="BX250" t="str">
        <f>IF(Sistema!BX250="","",Sistema!BX250)</f>
        <v/>
      </c>
      <c r="BY250" t="str">
        <f>IF(Sistema!BY250="","",Sistema!BY250)</f>
        <v/>
      </c>
      <c r="BZ250" t="str">
        <f>IF(Sistema!BZ250="","",Sistema!BZ250)</f>
        <v/>
      </c>
      <c r="CA250" t="str">
        <f>IF(Sistema!CA250="","",Sistema!CA250)</f>
        <v/>
      </c>
      <c r="CB250" t="str">
        <f>IF(Sistema!CB250="","",Sistema!CB250)</f>
        <v/>
      </c>
      <c r="CC250" t="str">
        <f>IF(Sistema!CC250="","",Sistema!CC250)</f>
        <v/>
      </c>
      <c r="CD250" t="str">
        <f>IF(Sistema!CD250="","",Sistema!CD250)</f>
        <v/>
      </c>
    </row>
    <row r="251" spans="1:82" x14ac:dyDescent="0.25">
      <c r="A251" t="str">
        <f>IF(Sistema!A251="","",Sistema!A251)</f>
        <v/>
      </c>
      <c r="B251" t="str">
        <f>IF(Sistema!B251="","",Sistema!B251)</f>
        <v/>
      </c>
      <c r="C251" t="str">
        <f>IF(Sistema!C251="","",Sistema!C251)</f>
        <v/>
      </c>
      <c r="D251" t="str">
        <f>IF(Sistema!D251="","",Sistema!D251)</f>
        <v/>
      </c>
      <c r="E251" t="str">
        <f>IF(Sistema!E251="","",Sistema!E251)</f>
        <v/>
      </c>
      <c r="F251">
        <f>IF(P251&gt;0,1,IF(Sistema!F251=0,-1,1))</f>
        <v>-1</v>
      </c>
      <c r="G251">
        <f>Sistema!G251</f>
        <v>0</v>
      </c>
      <c r="H251" t="str">
        <f>IF(OR(R251="notify",R251=1),"visible",IF(OR(Sistema!F251=-1,Sistema!F251=0,ISNUMBER(SEARCH("PCK",E251))),"hidden",IF(P251&gt;0,"visible","hidden")))</f>
        <v>hidden</v>
      </c>
      <c r="I251" t="str">
        <f>IF(B251="simple",IF(P251&gt;0,"",IF(R251="notify",Info!C$2,"")),IF(B251="variable",IF(P251&gt;0,"",IF(R251="notify",Info!C$4,"")),""))</f>
        <v/>
      </c>
      <c r="J251" t="str">
        <f>IF(Sistema!J251="","",Sistema!J251)</f>
        <v/>
      </c>
      <c r="M251" t="str">
        <f>IF(Sistema!M251="","",Sistema!M251)</f>
        <v/>
      </c>
      <c r="N251" s="6" t="s">
        <v>1557</v>
      </c>
      <c r="O251" s="6">
        <v>1</v>
      </c>
      <c r="P251">
        <f>Sistema!P251</f>
        <v>0</v>
      </c>
      <c r="Q251">
        <f>Sistema!Q251</f>
        <v>0</v>
      </c>
      <c r="R251">
        <f>IF(Sistema!R251=1,"notify",Sistema!R251)</f>
        <v>0</v>
      </c>
      <c r="T251" t="str">
        <f>IF(Sistema!T251="","",Sistema!T251)</f>
        <v/>
      </c>
      <c r="U251" t="str">
        <f>IF(Sistema!U251="","",Sistema!U251)</f>
        <v/>
      </c>
      <c r="V251" t="str">
        <f>IF(Sistema!V251="","",Sistema!V251)</f>
        <v/>
      </c>
      <c r="W251" t="str">
        <f>IF(Sistema!W251="","",Sistema!W251)</f>
        <v/>
      </c>
      <c r="X251" s="6">
        <v>1</v>
      </c>
      <c r="Z251" t="str">
        <f>IF(Sistema!Z251="","",Sistema!Z251)</f>
        <v/>
      </c>
      <c r="AA251" t="str">
        <f>IF(Sistema!AA251="","",Sistema!AA251)</f>
        <v/>
      </c>
      <c r="AB251" t="str">
        <f>IF(Sistema!AB251="","",IF(OR(ISNUMBER(SEARCH("MKP",E251)),ISNUMBER(SEARCH("MKP",C251))),"Marketplace &gt; "&amp;Sistema!AB251,Sistema!AB251))</f>
        <v/>
      </c>
      <c r="AC251" t="str">
        <f>IF(Sistema!AC251="","",Sistema!AC251)</f>
        <v/>
      </c>
      <c r="AE251" t="str">
        <f>IF(Sistema!AE251="","",Sistema!AE251)</f>
        <v/>
      </c>
      <c r="AH251" t="str">
        <f>IF(Sistema!AH251="","",Sistema!AH251)</f>
        <v/>
      </c>
      <c r="AQ251" t="str">
        <f>IF(Sistema!AQ251="","",Sistema!AQ251)</f>
        <v/>
      </c>
      <c r="AR251" t="str">
        <f>IF(Sistema!AR251="","",Sistema!AR251)</f>
        <v/>
      </c>
      <c r="AS251" t="str">
        <f>IF(Sistema!AS251="","",Sistema!AS251)</f>
        <v/>
      </c>
      <c r="AT251" t="str">
        <f>IF(Sistema!AT251="","",Sistema!AT251)</f>
        <v/>
      </c>
      <c r="AU251" t="str">
        <f>IF(Sistema!AU251="","",Sistema!AU251)</f>
        <v/>
      </c>
      <c r="AV251" t="str">
        <f>IF(Sistema!AV251="","",Sistema!AV251)</f>
        <v/>
      </c>
      <c r="AW251" t="str">
        <f>IF(Sistema!AW251="","",Sistema!AW251)</f>
        <v/>
      </c>
      <c r="AX251" t="str">
        <f>IF(Sistema!AX251="","",Sistema!AX251)</f>
        <v/>
      </c>
      <c r="AY251" t="str">
        <f>IF(Sistema!AY251="","",Sistema!AY251)</f>
        <v/>
      </c>
      <c r="AZ251" t="str">
        <f>IF(Sistema!AZ251="","",Sistema!AZ251)</f>
        <v/>
      </c>
      <c r="BA251" t="str">
        <f>IF(Sistema!BA251="","",Sistema!BA251)</f>
        <v/>
      </c>
      <c r="BB251" t="str">
        <f>IF(Sistema!BB251="","",Sistema!BB251)</f>
        <v/>
      </c>
      <c r="BC251" t="str">
        <f>IF(Sistema!BC251="","",Sistema!BC251)</f>
        <v/>
      </c>
      <c r="BD251" t="str">
        <f>IF(Sistema!BD251="","",Sistema!BD251)</f>
        <v/>
      </c>
      <c r="BE251" t="str">
        <f>IF(Sistema!BE251="","",Sistema!BE251)</f>
        <v/>
      </c>
      <c r="BF251" t="str">
        <f>IF(Sistema!BF251="","",Sistema!BF251)</f>
        <v/>
      </c>
      <c r="BG251" t="str">
        <f>IF(Sistema!BG251="","",Sistema!BG251)</f>
        <v/>
      </c>
      <c r="BH251" t="str">
        <f>IF(Sistema!BH251="","",Sistema!BH251)</f>
        <v/>
      </c>
      <c r="BI251" t="str">
        <f>IF(Sistema!BI251="","",Sistema!BI251)</f>
        <v/>
      </c>
      <c r="BJ251" t="str">
        <f>IF(Sistema!BJ251="","",Sistema!BJ251)</f>
        <v/>
      </c>
      <c r="BK251" t="str">
        <f>IF(Sistema!BK251="","",Sistema!BK251)</f>
        <v/>
      </c>
      <c r="BL251" t="str">
        <f>IF(Sistema!BL251="","",Sistema!BL251)</f>
        <v/>
      </c>
      <c r="BM251" t="str">
        <f>IF(Sistema!BM251="","",Sistema!BM251)</f>
        <v/>
      </c>
      <c r="BN251" t="str">
        <f>IF(Sistema!BN251="","",Sistema!BN251)</f>
        <v/>
      </c>
      <c r="BO251" t="str">
        <f>IF(Sistema!BO251="","",Sistema!BO251)</f>
        <v/>
      </c>
      <c r="BP251" t="str">
        <f>IF(Sistema!BP251="","",Sistema!BP251)</f>
        <v/>
      </c>
      <c r="BQ251" t="str">
        <f>IF(Sistema!BQ251="","",Sistema!BQ251)</f>
        <v/>
      </c>
      <c r="BR251" t="str">
        <f>IF(Sistema!BR251="","",Sistema!BR251)</f>
        <v/>
      </c>
      <c r="BS251" t="str">
        <f>IF(Sistema!BS251="","",Sistema!BS251)</f>
        <v/>
      </c>
      <c r="BT251" t="str">
        <f>IF(Sistema!BT251="","",Sistema!BT251)</f>
        <v/>
      </c>
      <c r="BU251" t="str">
        <f>IF(Sistema!BU251="","",Sistema!BU251)</f>
        <v/>
      </c>
      <c r="BV251" t="str">
        <f>IF(Sistema!BV251="","",Sistema!BV251)</f>
        <v/>
      </c>
      <c r="BW251" t="str">
        <f>IF(Sistema!BW251="","",Sistema!BW251)</f>
        <v/>
      </c>
      <c r="BX251" t="str">
        <f>IF(Sistema!BX251="","",Sistema!BX251)</f>
        <v/>
      </c>
      <c r="BY251" t="str">
        <f>IF(Sistema!BY251="","",Sistema!BY251)</f>
        <v/>
      </c>
      <c r="BZ251" t="str">
        <f>IF(Sistema!BZ251="","",Sistema!BZ251)</f>
        <v/>
      </c>
      <c r="CA251" t="str">
        <f>IF(Sistema!CA251="","",Sistema!CA251)</f>
        <v/>
      </c>
      <c r="CB251" t="str">
        <f>IF(Sistema!CB251="","",Sistema!CB251)</f>
        <v/>
      </c>
      <c r="CC251" t="str">
        <f>IF(Sistema!CC251="","",Sistema!CC251)</f>
        <v/>
      </c>
      <c r="CD251" t="str">
        <f>IF(Sistema!CD251="","",Sistema!CD251)</f>
        <v/>
      </c>
    </row>
    <row r="252" spans="1:82" x14ac:dyDescent="0.25">
      <c r="A252" t="str">
        <f>IF(Sistema!A252="","",Sistema!A252)</f>
        <v/>
      </c>
      <c r="B252" t="str">
        <f>IF(Sistema!B252="","",Sistema!B252)</f>
        <v/>
      </c>
      <c r="C252" t="str">
        <f>IF(Sistema!C252="","",Sistema!C252)</f>
        <v/>
      </c>
      <c r="D252" t="str">
        <f>IF(Sistema!D252="","",Sistema!D252)</f>
        <v/>
      </c>
      <c r="E252" t="str">
        <f>IF(Sistema!E252="","",Sistema!E252)</f>
        <v/>
      </c>
      <c r="F252">
        <f>IF(P252&gt;0,1,IF(Sistema!F252=0,-1,1))</f>
        <v>-1</v>
      </c>
      <c r="G252">
        <f>Sistema!G252</f>
        <v>0</v>
      </c>
      <c r="H252" t="str">
        <f>IF(OR(R252="notify",R252=1),"visible",IF(OR(Sistema!F252=-1,Sistema!F252=0,ISNUMBER(SEARCH("PCK",E252))),"hidden",IF(P252&gt;0,"visible","hidden")))</f>
        <v>hidden</v>
      </c>
      <c r="I252" t="str">
        <f>IF(B252="simple",IF(P252&gt;0,"",IF(R252="notify",Info!C$2,"")),IF(B252="variable",IF(P252&gt;0,"",IF(R252="notify",Info!C$4,"")),""))</f>
        <v/>
      </c>
      <c r="J252" t="str">
        <f>IF(Sistema!J252="","",Sistema!J252)</f>
        <v/>
      </c>
      <c r="M252" t="str">
        <f>IF(Sistema!M252="","",Sistema!M252)</f>
        <v/>
      </c>
      <c r="N252" s="6" t="s">
        <v>1557</v>
      </c>
      <c r="O252" s="6">
        <v>1</v>
      </c>
      <c r="P252">
        <f>Sistema!P252</f>
        <v>0</v>
      </c>
      <c r="Q252">
        <f>Sistema!Q252</f>
        <v>0</v>
      </c>
      <c r="R252">
        <f>IF(Sistema!R252=1,"notify",Sistema!R252)</f>
        <v>0</v>
      </c>
      <c r="T252" t="str">
        <f>IF(Sistema!T252="","",Sistema!T252)</f>
        <v/>
      </c>
      <c r="U252" t="str">
        <f>IF(Sistema!U252="","",Sistema!U252)</f>
        <v/>
      </c>
      <c r="V252" t="str">
        <f>IF(Sistema!V252="","",Sistema!V252)</f>
        <v/>
      </c>
      <c r="W252" t="str">
        <f>IF(Sistema!W252="","",Sistema!W252)</f>
        <v/>
      </c>
      <c r="X252" s="6">
        <v>1</v>
      </c>
      <c r="Z252" t="str">
        <f>IF(Sistema!Z252="","",Sistema!Z252)</f>
        <v/>
      </c>
      <c r="AA252" t="str">
        <f>IF(Sistema!AA252="","",Sistema!AA252)</f>
        <v/>
      </c>
      <c r="AB252" t="str">
        <f>IF(Sistema!AB252="","",IF(OR(ISNUMBER(SEARCH("MKP",E252)),ISNUMBER(SEARCH("MKP",C252))),"Marketplace &gt; "&amp;Sistema!AB252,Sistema!AB252))</f>
        <v/>
      </c>
      <c r="AC252" t="str">
        <f>IF(Sistema!AC252="","",Sistema!AC252)</f>
        <v/>
      </c>
      <c r="AE252" t="str">
        <f>IF(Sistema!AE252="","",Sistema!AE252)</f>
        <v/>
      </c>
      <c r="AH252" t="str">
        <f>IF(Sistema!AH252="","",Sistema!AH252)</f>
        <v/>
      </c>
      <c r="AQ252" t="str">
        <f>IF(Sistema!AQ252="","",Sistema!AQ252)</f>
        <v/>
      </c>
      <c r="AR252" t="str">
        <f>IF(Sistema!AR252="","",Sistema!AR252)</f>
        <v/>
      </c>
      <c r="AS252" t="str">
        <f>IF(Sistema!AS252="","",Sistema!AS252)</f>
        <v/>
      </c>
      <c r="AT252" t="str">
        <f>IF(Sistema!AT252="","",Sistema!AT252)</f>
        <v/>
      </c>
      <c r="AU252" t="str">
        <f>IF(Sistema!AU252="","",Sistema!AU252)</f>
        <v/>
      </c>
      <c r="AV252" t="str">
        <f>IF(Sistema!AV252="","",Sistema!AV252)</f>
        <v/>
      </c>
      <c r="AW252" t="str">
        <f>IF(Sistema!AW252="","",Sistema!AW252)</f>
        <v/>
      </c>
      <c r="AX252" t="str">
        <f>IF(Sistema!AX252="","",Sistema!AX252)</f>
        <v/>
      </c>
      <c r="AY252" t="str">
        <f>IF(Sistema!AY252="","",Sistema!AY252)</f>
        <v/>
      </c>
      <c r="AZ252" t="str">
        <f>IF(Sistema!AZ252="","",Sistema!AZ252)</f>
        <v/>
      </c>
      <c r="BA252" t="str">
        <f>IF(Sistema!BA252="","",Sistema!BA252)</f>
        <v/>
      </c>
      <c r="BB252" t="str">
        <f>IF(Sistema!BB252="","",Sistema!BB252)</f>
        <v/>
      </c>
      <c r="BC252" t="str">
        <f>IF(Sistema!BC252="","",Sistema!BC252)</f>
        <v/>
      </c>
      <c r="BD252" t="str">
        <f>IF(Sistema!BD252="","",Sistema!BD252)</f>
        <v/>
      </c>
      <c r="BE252" t="str">
        <f>IF(Sistema!BE252="","",Sistema!BE252)</f>
        <v/>
      </c>
      <c r="BF252" t="str">
        <f>IF(Sistema!BF252="","",Sistema!BF252)</f>
        <v/>
      </c>
      <c r="BG252" t="str">
        <f>IF(Sistema!BG252="","",Sistema!BG252)</f>
        <v/>
      </c>
      <c r="BH252" t="str">
        <f>IF(Sistema!BH252="","",Sistema!BH252)</f>
        <v/>
      </c>
      <c r="BI252" t="str">
        <f>IF(Sistema!BI252="","",Sistema!BI252)</f>
        <v/>
      </c>
      <c r="BJ252" t="str">
        <f>IF(Sistema!BJ252="","",Sistema!BJ252)</f>
        <v/>
      </c>
      <c r="BK252" t="str">
        <f>IF(Sistema!BK252="","",Sistema!BK252)</f>
        <v/>
      </c>
      <c r="BL252" t="str">
        <f>IF(Sistema!BL252="","",Sistema!BL252)</f>
        <v/>
      </c>
      <c r="BM252" t="str">
        <f>IF(Sistema!BM252="","",Sistema!BM252)</f>
        <v/>
      </c>
      <c r="BN252" t="str">
        <f>IF(Sistema!BN252="","",Sistema!BN252)</f>
        <v/>
      </c>
      <c r="BO252" t="str">
        <f>IF(Sistema!BO252="","",Sistema!BO252)</f>
        <v/>
      </c>
      <c r="BP252" t="str">
        <f>IF(Sistema!BP252="","",Sistema!BP252)</f>
        <v/>
      </c>
      <c r="BQ252" t="str">
        <f>IF(Sistema!BQ252="","",Sistema!BQ252)</f>
        <v/>
      </c>
      <c r="BR252" t="str">
        <f>IF(Sistema!BR252="","",Sistema!BR252)</f>
        <v/>
      </c>
      <c r="BS252" t="str">
        <f>IF(Sistema!BS252="","",Sistema!BS252)</f>
        <v/>
      </c>
      <c r="BT252" t="str">
        <f>IF(Sistema!BT252="","",Sistema!BT252)</f>
        <v/>
      </c>
      <c r="BU252" t="str">
        <f>IF(Sistema!BU252="","",Sistema!BU252)</f>
        <v/>
      </c>
      <c r="BV252" t="str">
        <f>IF(Sistema!BV252="","",Sistema!BV252)</f>
        <v/>
      </c>
      <c r="BW252" t="str">
        <f>IF(Sistema!BW252="","",Sistema!BW252)</f>
        <v/>
      </c>
      <c r="BX252" t="str">
        <f>IF(Sistema!BX252="","",Sistema!BX252)</f>
        <v/>
      </c>
      <c r="BY252" t="str">
        <f>IF(Sistema!BY252="","",Sistema!BY252)</f>
        <v/>
      </c>
      <c r="BZ252" t="str">
        <f>IF(Sistema!BZ252="","",Sistema!BZ252)</f>
        <v/>
      </c>
      <c r="CA252" t="str">
        <f>IF(Sistema!CA252="","",Sistema!CA252)</f>
        <v/>
      </c>
      <c r="CB252" t="str">
        <f>IF(Sistema!CB252="","",Sistema!CB252)</f>
        <v/>
      </c>
      <c r="CC252" t="str">
        <f>IF(Sistema!CC252="","",Sistema!CC252)</f>
        <v/>
      </c>
      <c r="CD252" t="str">
        <f>IF(Sistema!CD252="","",Sistema!CD252)</f>
        <v/>
      </c>
    </row>
    <row r="253" spans="1:82" x14ac:dyDescent="0.25">
      <c r="A253" t="str">
        <f>IF(Sistema!A253="","",Sistema!A253)</f>
        <v/>
      </c>
      <c r="B253" t="str">
        <f>IF(Sistema!B253="","",Sistema!B253)</f>
        <v/>
      </c>
      <c r="C253" t="str">
        <f>IF(Sistema!C253="","",Sistema!C253)</f>
        <v/>
      </c>
      <c r="D253" t="str">
        <f>IF(Sistema!D253="","",Sistema!D253)</f>
        <v/>
      </c>
      <c r="E253" t="str">
        <f>IF(Sistema!E253="","",Sistema!E253)</f>
        <v/>
      </c>
      <c r="F253">
        <f>IF(P253&gt;0,1,IF(Sistema!F253=0,-1,1))</f>
        <v>-1</v>
      </c>
      <c r="G253">
        <f>Sistema!G253</f>
        <v>0</v>
      </c>
      <c r="H253" t="str">
        <f>IF(OR(R253="notify",R253=1),"visible",IF(OR(Sistema!F253=-1,Sistema!F253=0,ISNUMBER(SEARCH("PCK",E253))),"hidden",IF(P253&gt;0,"visible","hidden")))</f>
        <v>hidden</v>
      </c>
      <c r="I253" t="str">
        <f>IF(B253="simple",IF(P253&gt;0,"",IF(R253="notify",Info!C$2,"")),IF(B253="variable",IF(P253&gt;0,"",IF(R253="notify",Info!C$4,"")),""))</f>
        <v/>
      </c>
      <c r="J253" t="str">
        <f>IF(Sistema!J253="","",Sistema!J253)</f>
        <v/>
      </c>
      <c r="M253" t="str">
        <f>IF(Sistema!M253="","",Sistema!M253)</f>
        <v/>
      </c>
      <c r="N253" s="6" t="s">
        <v>1557</v>
      </c>
      <c r="O253" s="6">
        <v>1</v>
      </c>
      <c r="P253">
        <f>Sistema!P253</f>
        <v>0</v>
      </c>
      <c r="Q253">
        <f>Sistema!Q253</f>
        <v>0</v>
      </c>
      <c r="R253">
        <f>IF(Sistema!R253=1,"notify",Sistema!R253)</f>
        <v>0</v>
      </c>
      <c r="T253" t="str">
        <f>IF(Sistema!T253="","",Sistema!T253)</f>
        <v/>
      </c>
      <c r="U253" t="str">
        <f>IF(Sistema!U253="","",Sistema!U253)</f>
        <v/>
      </c>
      <c r="V253" t="str">
        <f>IF(Sistema!V253="","",Sistema!V253)</f>
        <v/>
      </c>
      <c r="W253" t="str">
        <f>IF(Sistema!W253="","",Sistema!W253)</f>
        <v/>
      </c>
      <c r="X253" s="6">
        <v>1</v>
      </c>
      <c r="Z253" t="str">
        <f>IF(Sistema!Z253="","",Sistema!Z253)</f>
        <v/>
      </c>
      <c r="AA253" t="str">
        <f>IF(Sistema!AA253="","",Sistema!AA253)</f>
        <v/>
      </c>
      <c r="AB253" t="str">
        <f>IF(Sistema!AB253="","",IF(OR(ISNUMBER(SEARCH("MKP",E253)),ISNUMBER(SEARCH("MKP",C253))),"Marketplace &gt; "&amp;Sistema!AB253,Sistema!AB253))</f>
        <v/>
      </c>
      <c r="AC253" t="str">
        <f>IF(Sistema!AC253="","",Sistema!AC253)</f>
        <v/>
      </c>
      <c r="AE253" t="str">
        <f>IF(Sistema!AE253="","",Sistema!AE253)</f>
        <v/>
      </c>
      <c r="AH253" t="str">
        <f>IF(Sistema!AH253="","",Sistema!AH253)</f>
        <v/>
      </c>
      <c r="AQ253" t="str">
        <f>IF(Sistema!AQ253="","",Sistema!AQ253)</f>
        <v/>
      </c>
      <c r="AR253" t="str">
        <f>IF(Sistema!AR253="","",Sistema!AR253)</f>
        <v/>
      </c>
      <c r="AS253" t="str">
        <f>IF(Sistema!AS253="","",Sistema!AS253)</f>
        <v/>
      </c>
      <c r="AT253" t="str">
        <f>IF(Sistema!AT253="","",Sistema!AT253)</f>
        <v/>
      </c>
      <c r="AU253" t="str">
        <f>IF(Sistema!AU253="","",Sistema!AU253)</f>
        <v/>
      </c>
      <c r="AV253" t="str">
        <f>IF(Sistema!AV253="","",Sistema!AV253)</f>
        <v/>
      </c>
      <c r="AW253" t="str">
        <f>IF(Sistema!AW253="","",Sistema!AW253)</f>
        <v/>
      </c>
      <c r="AX253" t="str">
        <f>IF(Sistema!AX253="","",Sistema!AX253)</f>
        <v/>
      </c>
      <c r="AY253" t="str">
        <f>IF(Sistema!AY253="","",Sistema!AY253)</f>
        <v/>
      </c>
      <c r="AZ253" t="str">
        <f>IF(Sistema!AZ253="","",Sistema!AZ253)</f>
        <v/>
      </c>
      <c r="BA253" t="str">
        <f>IF(Sistema!BA253="","",Sistema!BA253)</f>
        <v/>
      </c>
      <c r="BB253" t="str">
        <f>IF(Sistema!BB253="","",Sistema!BB253)</f>
        <v/>
      </c>
      <c r="BC253" t="str">
        <f>IF(Sistema!BC253="","",Sistema!BC253)</f>
        <v/>
      </c>
      <c r="BD253" t="str">
        <f>IF(Sistema!BD253="","",Sistema!BD253)</f>
        <v/>
      </c>
      <c r="BE253" t="str">
        <f>IF(Sistema!BE253="","",Sistema!BE253)</f>
        <v/>
      </c>
      <c r="BF253" t="str">
        <f>IF(Sistema!BF253="","",Sistema!BF253)</f>
        <v/>
      </c>
      <c r="BG253" t="str">
        <f>IF(Sistema!BG253="","",Sistema!BG253)</f>
        <v/>
      </c>
      <c r="BH253" t="str">
        <f>IF(Sistema!BH253="","",Sistema!BH253)</f>
        <v/>
      </c>
      <c r="BI253" t="str">
        <f>IF(Sistema!BI253="","",Sistema!BI253)</f>
        <v/>
      </c>
      <c r="BJ253" t="str">
        <f>IF(Sistema!BJ253="","",Sistema!BJ253)</f>
        <v/>
      </c>
      <c r="BK253" t="str">
        <f>IF(Sistema!BK253="","",Sistema!BK253)</f>
        <v/>
      </c>
      <c r="BL253" t="str">
        <f>IF(Sistema!BL253="","",Sistema!BL253)</f>
        <v/>
      </c>
      <c r="BM253" t="str">
        <f>IF(Sistema!BM253="","",Sistema!BM253)</f>
        <v/>
      </c>
      <c r="BN253" t="str">
        <f>IF(Sistema!BN253="","",Sistema!BN253)</f>
        <v/>
      </c>
      <c r="BO253" t="str">
        <f>IF(Sistema!BO253="","",Sistema!BO253)</f>
        <v/>
      </c>
      <c r="BP253" t="str">
        <f>IF(Sistema!BP253="","",Sistema!BP253)</f>
        <v/>
      </c>
      <c r="BQ253" t="str">
        <f>IF(Sistema!BQ253="","",Sistema!BQ253)</f>
        <v/>
      </c>
      <c r="BR253" t="str">
        <f>IF(Sistema!BR253="","",Sistema!BR253)</f>
        <v/>
      </c>
      <c r="BS253" t="str">
        <f>IF(Sistema!BS253="","",Sistema!BS253)</f>
        <v/>
      </c>
      <c r="BT253" t="str">
        <f>IF(Sistema!BT253="","",Sistema!BT253)</f>
        <v/>
      </c>
      <c r="BU253" t="str">
        <f>IF(Sistema!BU253="","",Sistema!BU253)</f>
        <v/>
      </c>
      <c r="BV253" t="str">
        <f>IF(Sistema!BV253="","",Sistema!BV253)</f>
        <v/>
      </c>
      <c r="BW253" t="str">
        <f>IF(Sistema!BW253="","",Sistema!BW253)</f>
        <v/>
      </c>
      <c r="BX253" t="str">
        <f>IF(Sistema!BX253="","",Sistema!BX253)</f>
        <v/>
      </c>
      <c r="BY253" t="str">
        <f>IF(Sistema!BY253="","",Sistema!BY253)</f>
        <v/>
      </c>
      <c r="BZ253" t="str">
        <f>IF(Sistema!BZ253="","",Sistema!BZ253)</f>
        <v/>
      </c>
      <c r="CA253" t="str">
        <f>IF(Sistema!CA253="","",Sistema!CA253)</f>
        <v/>
      </c>
      <c r="CB253" t="str">
        <f>IF(Sistema!CB253="","",Sistema!CB253)</f>
        <v/>
      </c>
      <c r="CC253" t="str">
        <f>IF(Sistema!CC253="","",Sistema!CC253)</f>
        <v/>
      </c>
      <c r="CD253" t="str">
        <f>IF(Sistema!CD253="","",Sistema!CD253)</f>
        <v/>
      </c>
    </row>
    <row r="254" spans="1:82" x14ac:dyDescent="0.25">
      <c r="A254" t="str">
        <f>IF(Sistema!A254="","",Sistema!A254)</f>
        <v/>
      </c>
      <c r="B254" t="str">
        <f>IF(Sistema!B254="","",Sistema!B254)</f>
        <v/>
      </c>
      <c r="C254" t="str">
        <f>IF(Sistema!C254="","",Sistema!C254)</f>
        <v/>
      </c>
      <c r="D254" t="str">
        <f>IF(Sistema!D254="","",Sistema!D254)</f>
        <v/>
      </c>
      <c r="E254" t="str">
        <f>IF(Sistema!E254="","",Sistema!E254)</f>
        <v/>
      </c>
      <c r="F254">
        <f>IF(P254&gt;0,1,IF(Sistema!F254=0,-1,1))</f>
        <v>-1</v>
      </c>
      <c r="G254">
        <f>Sistema!G254</f>
        <v>0</v>
      </c>
      <c r="H254" t="str">
        <f>IF(OR(R254="notify",R254=1),"visible",IF(OR(Sistema!F254=-1,Sistema!F254=0,ISNUMBER(SEARCH("PCK",E254))),"hidden",IF(P254&gt;0,"visible","hidden")))</f>
        <v>hidden</v>
      </c>
      <c r="I254" t="str">
        <f>IF(B254="simple",IF(P254&gt;0,"",IF(R254="notify",Info!C$2,"")),IF(B254="variable",IF(P254&gt;0,"",IF(R254="notify",Info!C$4,"")),""))</f>
        <v/>
      </c>
      <c r="J254" t="str">
        <f>IF(Sistema!J254="","",Sistema!J254)</f>
        <v/>
      </c>
      <c r="M254" t="str">
        <f>IF(Sistema!M254="","",Sistema!M254)</f>
        <v/>
      </c>
      <c r="N254" s="6" t="s">
        <v>1557</v>
      </c>
      <c r="O254" s="6">
        <v>1</v>
      </c>
      <c r="P254">
        <f>Sistema!P254</f>
        <v>0</v>
      </c>
      <c r="Q254">
        <f>Sistema!Q254</f>
        <v>0</v>
      </c>
      <c r="R254">
        <f>IF(Sistema!R254=1,"notify",Sistema!R254)</f>
        <v>0</v>
      </c>
      <c r="T254" t="str">
        <f>IF(Sistema!T254="","",Sistema!T254)</f>
        <v/>
      </c>
      <c r="U254" t="str">
        <f>IF(Sistema!U254="","",Sistema!U254)</f>
        <v/>
      </c>
      <c r="V254" t="str">
        <f>IF(Sistema!V254="","",Sistema!V254)</f>
        <v/>
      </c>
      <c r="W254" t="str">
        <f>IF(Sistema!W254="","",Sistema!W254)</f>
        <v/>
      </c>
      <c r="X254" s="6">
        <v>1</v>
      </c>
      <c r="Z254" t="str">
        <f>IF(Sistema!Z254="","",Sistema!Z254)</f>
        <v/>
      </c>
      <c r="AA254" t="str">
        <f>IF(Sistema!AA254="","",Sistema!AA254)</f>
        <v/>
      </c>
      <c r="AB254" t="str">
        <f>IF(Sistema!AB254="","",IF(OR(ISNUMBER(SEARCH("MKP",E254)),ISNUMBER(SEARCH("MKP",C254))),"Marketplace &gt; "&amp;Sistema!AB254,Sistema!AB254))</f>
        <v/>
      </c>
      <c r="AC254" t="str">
        <f>IF(Sistema!AC254="","",Sistema!AC254)</f>
        <v/>
      </c>
      <c r="AE254" t="str">
        <f>IF(Sistema!AE254="","",Sistema!AE254)</f>
        <v/>
      </c>
      <c r="AH254" t="str">
        <f>IF(Sistema!AH254="","",Sistema!AH254)</f>
        <v/>
      </c>
      <c r="AQ254" t="str">
        <f>IF(Sistema!AQ254="","",Sistema!AQ254)</f>
        <v/>
      </c>
      <c r="AR254" t="str">
        <f>IF(Sistema!AR254="","",Sistema!AR254)</f>
        <v/>
      </c>
      <c r="AS254" t="str">
        <f>IF(Sistema!AS254="","",Sistema!AS254)</f>
        <v/>
      </c>
      <c r="AT254" t="str">
        <f>IF(Sistema!AT254="","",Sistema!AT254)</f>
        <v/>
      </c>
      <c r="AU254" t="str">
        <f>IF(Sistema!AU254="","",Sistema!AU254)</f>
        <v/>
      </c>
      <c r="AV254" t="str">
        <f>IF(Sistema!AV254="","",Sistema!AV254)</f>
        <v/>
      </c>
      <c r="AW254" t="str">
        <f>IF(Sistema!AW254="","",Sistema!AW254)</f>
        <v/>
      </c>
      <c r="AX254" t="str">
        <f>IF(Sistema!AX254="","",Sistema!AX254)</f>
        <v/>
      </c>
      <c r="AY254" t="str">
        <f>IF(Sistema!AY254="","",Sistema!AY254)</f>
        <v/>
      </c>
      <c r="AZ254" t="str">
        <f>IF(Sistema!AZ254="","",Sistema!AZ254)</f>
        <v/>
      </c>
      <c r="BA254" t="str">
        <f>IF(Sistema!BA254="","",Sistema!BA254)</f>
        <v/>
      </c>
      <c r="BB254" t="str">
        <f>IF(Sistema!BB254="","",Sistema!BB254)</f>
        <v/>
      </c>
      <c r="BC254" t="str">
        <f>IF(Sistema!BC254="","",Sistema!BC254)</f>
        <v/>
      </c>
      <c r="BD254" t="str">
        <f>IF(Sistema!BD254="","",Sistema!BD254)</f>
        <v/>
      </c>
      <c r="BE254" t="str">
        <f>IF(Sistema!BE254="","",Sistema!BE254)</f>
        <v/>
      </c>
      <c r="BF254" t="str">
        <f>IF(Sistema!BF254="","",Sistema!BF254)</f>
        <v/>
      </c>
      <c r="BG254" t="str">
        <f>IF(Sistema!BG254="","",Sistema!BG254)</f>
        <v/>
      </c>
      <c r="BH254" t="str">
        <f>IF(Sistema!BH254="","",Sistema!BH254)</f>
        <v/>
      </c>
      <c r="BI254" t="str">
        <f>IF(Sistema!BI254="","",Sistema!BI254)</f>
        <v/>
      </c>
      <c r="BJ254" t="str">
        <f>IF(Sistema!BJ254="","",Sistema!BJ254)</f>
        <v/>
      </c>
      <c r="BK254" t="str">
        <f>IF(Sistema!BK254="","",Sistema!BK254)</f>
        <v/>
      </c>
      <c r="BL254" t="str">
        <f>IF(Sistema!BL254="","",Sistema!BL254)</f>
        <v/>
      </c>
      <c r="BM254" t="str">
        <f>IF(Sistema!BM254="","",Sistema!BM254)</f>
        <v/>
      </c>
      <c r="BN254" t="str">
        <f>IF(Sistema!BN254="","",Sistema!BN254)</f>
        <v/>
      </c>
      <c r="BO254" t="str">
        <f>IF(Sistema!BO254="","",Sistema!BO254)</f>
        <v/>
      </c>
      <c r="BP254" t="str">
        <f>IF(Sistema!BP254="","",Sistema!BP254)</f>
        <v/>
      </c>
      <c r="BQ254" t="str">
        <f>IF(Sistema!BQ254="","",Sistema!BQ254)</f>
        <v/>
      </c>
      <c r="BR254" t="str">
        <f>IF(Sistema!BR254="","",Sistema!BR254)</f>
        <v/>
      </c>
      <c r="BS254" t="str">
        <f>IF(Sistema!BS254="","",Sistema!BS254)</f>
        <v/>
      </c>
      <c r="BT254" t="str">
        <f>IF(Sistema!BT254="","",Sistema!BT254)</f>
        <v/>
      </c>
      <c r="BU254" t="str">
        <f>IF(Sistema!BU254="","",Sistema!BU254)</f>
        <v/>
      </c>
      <c r="BV254" t="str">
        <f>IF(Sistema!BV254="","",Sistema!BV254)</f>
        <v/>
      </c>
      <c r="BW254" t="str">
        <f>IF(Sistema!BW254="","",Sistema!BW254)</f>
        <v/>
      </c>
      <c r="BX254" t="str">
        <f>IF(Sistema!BX254="","",Sistema!BX254)</f>
        <v/>
      </c>
      <c r="BY254" t="str">
        <f>IF(Sistema!BY254="","",Sistema!BY254)</f>
        <v/>
      </c>
      <c r="BZ254" t="str">
        <f>IF(Sistema!BZ254="","",Sistema!BZ254)</f>
        <v/>
      </c>
      <c r="CA254" t="str">
        <f>IF(Sistema!CA254="","",Sistema!CA254)</f>
        <v/>
      </c>
      <c r="CB254" t="str">
        <f>IF(Sistema!CB254="","",Sistema!CB254)</f>
        <v/>
      </c>
      <c r="CC254" t="str">
        <f>IF(Sistema!CC254="","",Sistema!CC254)</f>
        <v/>
      </c>
      <c r="CD254" t="str">
        <f>IF(Sistema!CD254="","",Sistema!CD254)</f>
        <v/>
      </c>
    </row>
    <row r="255" spans="1:82" x14ac:dyDescent="0.25">
      <c r="A255" t="str">
        <f>IF(Sistema!A255="","",Sistema!A255)</f>
        <v/>
      </c>
      <c r="B255" t="str">
        <f>IF(Sistema!B255="","",Sistema!B255)</f>
        <v/>
      </c>
      <c r="C255" t="str">
        <f>IF(Sistema!C255="","",Sistema!C255)</f>
        <v/>
      </c>
      <c r="D255" t="str">
        <f>IF(Sistema!D255="","",Sistema!D255)</f>
        <v/>
      </c>
      <c r="E255" t="str">
        <f>IF(Sistema!E255="","",Sistema!E255)</f>
        <v/>
      </c>
      <c r="F255">
        <f>IF(P255&gt;0,1,IF(Sistema!F255=0,-1,1))</f>
        <v>-1</v>
      </c>
      <c r="G255">
        <f>Sistema!G255</f>
        <v>0</v>
      </c>
      <c r="H255" t="str">
        <f>IF(OR(R255="notify",R255=1),"visible",IF(OR(Sistema!F255=-1,Sistema!F255=0,ISNUMBER(SEARCH("PCK",E255))),"hidden",IF(P255&gt;0,"visible","hidden")))</f>
        <v>hidden</v>
      </c>
      <c r="I255" t="str">
        <f>IF(B255="simple",IF(P255&gt;0,"",IF(R255="notify",Info!C$2,"")),IF(B255="variable",IF(P255&gt;0,"",IF(R255="notify",Info!C$4,"")),""))</f>
        <v/>
      </c>
      <c r="J255" t="str">
        <f>IF(Sistema!J255="","",Sistema!J255)</f>
        <v/>
      </c>
      <c r="M255" t="str">
        <f>IF(Sistema!M255="","",Sistema!M255)</f>
        <v/>
      </c>
      <c r="N255" s="6" t="s">
        <v>1557</v>
      </c>
      <c r="O255" s="6">
        <v>1</v>
      </c>
      <c r="P255">
        <f>Sistema!P255</f>
        <v>0</v>
      </c>
      <c r="Q255">
        <f>Sistema!Q255</f>
        <v>0</v>
      </c>
      <c r="R255">
        <f>IF(Sistema!R255=1,"notify",Sistema!R255)</f>
        <v>0</v>
      </c>
      <c r="T255" t="str">
        <f>IF(Sistema!T255="","",Sistema!T255)</f>
        <v/>
      </c>
      <c r="U255" t="str">
        <f>IF(Sistema!U255="","",Sistema!U255)</f>
        <v/>
      </c>
      <c r="V255" t="str">
        <f>IF(Sistema!V255="","",Sistema!V255)</f>
        <v/>
      </c>
      <c r="W255" t="str">
        <f>IF(Sistema!W255="","",Sistema!W255)</f>
        <v/>
      </c>
      <c r="X255" s="6">
        <v>1</v>
      </c>
      <c r="Z255" t="str">
        <f>IF(Sistema!Z255="","",Sistema!Z255)</f>
        <v/>
      </c>
      <c r="AA255" t="str">
        <f>IF(Sistema!AA255="","",Sistema!AA255)</f>
        <v/>
      </c>
      <c r="AB255" t="str">
        <f>IF(Sistema!AB255="","",IF(OR(ISNUMBER(SEARCH("MKP",E255)),ISNUMBER(SEARCH("MKP",C255))),"Marketplace &gt; "&amp;Sistema!AB255,Sistema!AB255))</f>
        <v/>
      </c>
      <c r="AC255" t="str">
        <f>IF(Sistema!AC255="","",Sistema!AC255)</f>
        <v/>
      </c>
      <c r="AE255" t="str">
        <f>IF(Sistema!AE255="","",Sistema!AE255)</f>
        <v/>
      </c>
      <c r="AH255" t="str">
        <f>IF(Sistema!AH255="","",Sistema!AH255)</f>
        <v/>
      </c>
      <c r="AQ255" t="str">
        <f>IF(Sistema!AQ255="","",Sistema!AQ255)</f>
        <v/>
      </c>
      <c r="AR255" t="str">
        <f>IF(Sistema!AR255="","",Sistema!AR255)</f>
        <v/>
      </c>
      <c r="AS255" t="str">
        <f>IF(Sistema!AS255="","",Sistema!AS255)</f>
        <v/>
      </c>
      <c r="AT255" t="str">
        <f>IF(Sistema!AT255="","",Sistema!AT255)</f>
        <v/>
      </c>
      <c r="AU255" t="str">
        <f>IF(Sistema!AU255="","",Sistema!AU255)</f>
        <v/>
      </c>
      <c r="AV255" t="str">
        <f>IF(Sistema!AV255="","",Sistema!AV255)</f>
        <v/>
      </c>
      <c r="AW255" t="str">
        <f>IF(Sistema!AW255="","",Sistema!AW255)</f>
        <v/>
      </c>
      <c r="AX255" t="str">
        <f>IF(Sistema!AX255="","",Sistema!AX255)</f>
        <v/>
      </c>
      <c r="AY255" t="str">
        <f>IF(Sistema!AY255="","",Sistema!AY255)</f>
        <v/>
      </c>
      <c r="AZ255" t="str">
        <f>IF(Sistema!AZ255="","",Sistema!AZ255)</f>
        <v/>
      </c>
      <c r="BA255" t="str">
        <f>IF(Sistema!BA255="","",Sistema!BA255)</f>
        <v/>
      </c>
      <c r="BB255" t="str">
        <f>IF(Sistema!BB255="","",Sistema!BB255)</f>
        <v/>
      </c>
      <c r="BC255" t="str">
        <f>IF(Sistema!BC255="","",Sistema!BC255)</f>
        <v/>
      </c>
      <c r="BD255" t="str">
        <f>IF(Sistema!BD255="","",Sistema!BD255)</f>
        <v/>
      </c>
      <c r="BE255" t="str">
        <f>IF(Sistema!BE255="","",Sistema!BE255)</f>
        <v/>
      </c>
      <c r="BF255" t="str">
        <f>IF(Sistema!BF255="","",Sistema!BF255)</f>
        <v/>
      </c>
      <c r="BG255" t="str">
        <f>IF(Sistema!BG255="","",Sistema!BG255)</f>
        <v/>
      </c>
      <c r="BH255" t="str">
        <f>IF(Sistema!BH255="","",Sistema!BH255)</f>
        <v/>
      </c>
      <c r="BI255" t="str">
        <f>IF(Sistema!BI255="","",Sistema!BI255)</f>
        <v/>
      </c>
      <c r="BJ255" t="str">
        <f>IF(Sistema!BJ255="","",Sistema!BJ255)</f>
        <v/>
      </c>
      <c r="BK255" t="str">
        <f>IF(Sistema!BK255="","",Sistema!BK255)</f>
        <v/>
      </c>
      <c r="BL255" t="str">
        <f>IF(Sistema!BL255="","",Sistema!BL255)</f>
        <v/>
      </c>
      <c r="BM255" t="str">
        <f>IF(Sistema!BM255="","",Sistema!BM255)</f>
        <v/>
      </c>
      <c r="BN255" t="str">
        <f>IF(Sistema!BN255="","",Sistema!BN255)</f>
        <v/>
      </c>
      <c r="BO255" t="str">
        <f>IF(Sistema!BO255="","",Sistema!BO255)</f>
        <v/>
      </c>
      <c r="BP255" t="str">
        <f>IF(Sistema!BP255="","",Sistema!BP255)</f>
        <v/>
      </c>
      <c r="BQ255" t="str">
        <f>IF(Sistema!BQ255="","",Sistema!BQ255)</f>
        <v/>
      </c>
      <c r="BR255" t="str">
        <f>IF(Sistema!BR255="","",Sistema!BR255)</f>
        <v/>
      </c>
      <c r="BS255" t="str">
        <f>IF(Sistema!BS255="","",Sistema!BS255)</f>
        <v/>
      </c>
      <c r="BT255" t="str">
        <f>IF(Sistema!BT255="","",Sistema!BT255)</f>
        <v/>
      </c>
      <c r="BU255" t="str">
        <f>IF(Sistema!BU255="","",Sistema!BU255)</f>
        <v/>
      </c>
      <c r="BV255" t="str">
        <f>IF(Sistema!BV255="","",Sistema!BV255)</f>
        <v/>
      </c>
      <c r="BW255" t="str">
        <f>IF(Sistema!BW255="","",Sistema!BW255)</f>
        <v/>
      </c>
      <c r="BX255" t="str">
        <f>IF(Sistema!BX255="","",Sistema!BX255)</f>
        <v/>
      </c>
      <c r="BY255" t="str">
        <f>IF(Sistema!BY255="","",Sistema!BY255)</f>
        <v/>
      </c>
      <c r="BZ255" t="str">
        <f>IF(Sistema!BZ255="","",Sistema!BZ255)</f>
        <v/>
      </c>
      <c r="CA255" t="str">
        <f>IF(Sistema!CA255="","",Sistema!CA255)</f>
        <v/>
      </c>
      <c r="CB255" t="str">
        <f>IF(Sistema!CB255="","",Sistema!CB255)</f>
        <v/>
      </c>
      <c r="CC255" t="str">
        <f>IF(Sistema!CC255="","",Sistema!CC255)</f>
        <v/>
      </c>
      <c r="CD255" t="str">
        <f>IF(Sistema!CD255="","",Sistema!CD255)</f>
        <v/>
      </c>
    </row>
    <row r="256" spans="1:82" x14ac:dyDescent="0.25">
      <c r="A256" t="str">
        <f>IF(Sistema!A256="","",Sistema!A256)</f>
        <v/>
      </c>
      <c r="B256" t="str">
        <f>IF(Sistema!B256="","",Sistema!B256)</f>
        <v/>
      </c>
      <c r="C256" t="str">
        <f>IF(Sistema!C256="","",Sistema!C256)</f>
        <v/>
      </c>
      <c r="D256" t="str">
        <f>IF(Sistema!D256="","",Sistema!D256)</f>
        <v/>
      </c>
      <c r="E256" t="str">
        <f>IF(Sistema!E256="","",Sistema!E256)</f>
        <v/>
      </c>
      <c r="F256">
        <f>IF(P256&gt;0,1,IF(Sistema!F256=0,-1,1))</f>
        <v>-1</v>
      </c>
      <c r="G256">
        <f>Sistema!G256</f>
        <v>0</v>
      </c>
      <c r="H256" t="str">
        <f>IF(OR(R256="notify",R256=1),"visible",IF(OR(Sistema!F256=-1,Sistema!F256=0,ISNUMBER(SEARCH("PCK",E256))),"hidden",IF(P256&gt;0,"visible","hidden")))</f>
        <v>hidden</v>
      </c>
      <c r="I256" t="str">
        <f>IF(B256="simple",IF(P256&gt;0,"",IF(R256="notify",Info!C$2,"")),IF(B256="variable",IF(P256&gt;0,"",IF(R256="notify",Info!C$4,"")),""))</f>
        <v/>
      </c>
      <c r="J256" t="str">
        <f>IF(Sistema!J256="","",Sistema!J256)</f>
        <v/>
      </c>
      <c r="M256" t="str">
        <f>IF(Sistema!M256="","",Sistema!M256)</f>
        <v/>
      </c>
      <c r="N256" s="6" t="s">
        <v>1557</v>
      </c>
      <c r="O256" s="6">
        <v>1</v>
      </c>
      <c r="P256">
        <f>Sistema!P256</f>
        <v>0</v>
      </c>
      <c r="Q256">
        <f>Sistema!Q256</f>
        <v>0</v>
      </c>
      <c r="R256">
        <f>IF(Sistema!R256=1,"notify",Sistema!R256)</f>
        <v>0</v>
      </c>
      <c r="T256" t="str">
        <f>IF(Sistema!T256="","",Sistema!T256)</f>
        <v/>
      </c>
      <c r="U256" t="str">
        <f>IF(Sistema!U256="","",Sistema!U256)</f>
        <v/>
      </c>
      <c r="V256" t="str">
        <f>IF(Sistema!V256="","",Sistema!V256)</f>
        <v/>
      </c>
      <c r="W256" t="str">
        <f>IF(Sistema!W256="","",Sistema!W256)</f>
        <v/>
      </c>
      <c r="X256" s="6">
        <v>1</v>
      </c>
      <c r="Z256" t="str">
        <f>IF(Sistema!Z256="","",Sistema!Z256)</f>
        <v/>
      </c>
      <c r="AA256" t="str">
        <f>IF(Sistema!AA256="","",Sistema!AA256)</f>
        <v/>
      </c>
      <c r="AB256" t="str">
        <f>IF(Sistema!AB256="","",IF(OR(ISNUMBER(SEARCH("MKP",E256)),ISNUMBER(SEARCH("MKP",C256))),"Marketplace &gt; "&amp;Sistema!AB256,Sistema!AB256))</f>
        <v/>
      </c>
      <c r="AC256" t="str">
        <f>IF(Sistema!AC256="","",Sistema!AC256)</f>
        <v/>
      </c>
      <c r="AE256" t="str">
        <f>IF(Sistema!AE256="","",Sistema!AE256)</f>
        <v/>
      </c>
      <c r="AH256" t="str">
        <f>IF(Sistema!AH256="","",Sistema!AH256)</f>
        <v/>
      </c>
      <c r="AQ256" t="str">
        <f>IF(Sistema!AQ256="","",Sistema!AQ256)</f>
        <v/>
      </c>
      <c r="AR256" t="str">
        <f>IF(Sistema!AR256="","",Sistema!AR256)</f>
        <v/>
      </c>
      <c r="AS256" t="str">
        <f>IF(Sistema!AS256="","",Sistema!AS256)</f>
        <v/>
      </c>
      <c r="AT256" t="str">
        <f>IF(Sistema!AT256="","",Sistema!AT256)</f>
        <v/>
      </c>
      <c r="AU256" t="str">
        <f>IF(Sistema!AU256="","",Sistema!AU256)</f>
        <v/>
      </c>
      <c r="AV256" t="str">
        <f>IF(Sistema!AV256="","",Sistema!AV256)</f>
        <v/>
      </c>
      <c r="AW256" t="str">
        <f>IF(Sistema!AW256="","",Sistema!AW256)</f>
        <v/>
      </c>
      <c r="AX256" t="str">
        <f>IF(Sistema!AX256="","",Sistema!AX256)</f>
        <v/>
      </c>
      <c r="AY256" t="str">
        <f>IF(Sistema!AY256="","",Sistema!AY256)</f>
        <v/>
      </c>
      <c r="AZ256" t="str">
        <f>IF(Sistema!AZ256="","",Sistema!AZ256)</f>
        <v/>
      </c>
      <c r="BA256" t="str">
        <f>IF(Sistema!BA256="","",Sistema!BA256)</f>
        <v/>
      </c>
      <c r="BB256" t="str">
        <f>IF(Sistema!BB256="","",Sistema!BB256)</f>
        <v/>
      </c>
      <c r="BC256" t="str">
        <f>IF(Sistema!BC256="","",Sistema!BC256)</f>
        <v/>
      </c>
      <c r="BD256" t="str">
        <f>IF(Sistema!BD256="","",Sistema!BD256)</f>
        <v/>
      </c>
      <c r="BE256" t="str">
        <f>IF(Sistema!BE256="","",Sistema!BE256)</f>
        <v/>
      </c>
      <c r="BF256" t="str">
        <f>IF(Sistema!BF256="","",Sistema!BF256)</f>
        <v/>
      </c>
      <c r="BG256" t="str">
        <f>IF(Sistema!BG256="","",Sistema!BG256)</f>
        <v/>
      </c>
      <c r="BH256" t="str">
        <f>IF(Sistema!BH256="","",Sistema!BH256)</f>
        <v/>
      </c>
      <c r="BI256" t="str">
        <f>IF(Sistema!BI256="","",Sistema!BI256)</f>
        <v/>
      </c>
      <c r="BJ256" t="str">
        <f>IF(Sistema!BJ256="","",Sistema!BJ256)</f>
        <v/>
      </c>
      <c r="BK256" t="str">
        <f>IF(Sistema!BK256="","",Sistema!BK256)</f>
        <v/>
      </c>
      <c r="BL256" t="str">
        <f>IF(Sistema!BL256="","",Sistema!BL256)</f>
        <v/>
      </c>
      <c r="BM256" t="str">
        <f>IF(Sistema!BM256="","",Sistema!BM256)</f>
        <v/>
      </c>
      <c r="BN256" t="str">
        <f>IF(Sistema!BN256="","",Sistema!BN256)</f>
        <v/>
      </c>
      <c r="BO256" t="str">
        <f>IF(Sistema!BO256="","",Sistema!BO256)</f>
        <v/>
      </c>
      <c r="BP256" t="str">
        <f>IF(Sistema!BP256="","",Sistema!BP256)</f>
        <v/>
      </c>
      <c r="BQ256" t="str">
        <f>IF(Sistema!BQ256="","",Sistema!BQ256)</f>
        <v/>
      </c>
      <c r="BR256" t="str">
        <f>IF(Sistema!BR256="","",Sistema!BR256)</f>
        <v/>
      </c>
      <c r="BS256" t="str">
        <f>IF(Sistema!BS256="","",Sistema!BS256)</f>
        <v/>
      </c>
      <c r="BT256" t="str">
        <f>IF(Sistema!BT256="","",Sistema!BT256)</f>
        <v/>
      </c>
      <c r="BU256" t="str">
        <f>IF(Sistema!BU256="","",Sistema!BU256)</f>
        <v/>
      </c>
      <c r="BV256" t="str">
        <f>IF(Sistema!BV256="","",Sistema!BV256)</f>
        <v/>
      </c>
      <c r="BW256" t="str">
        <f>IF(Sistema!BW256="","",Sistema!BW256)</f>
        <v/>
      </c>
      <c r="BX256" t="str">
        <f>IF(Sistema!BX256="","",Sistema!BX256)</f>
        <v/>
      </c>
      <c r="BY256" t="str">
        <f>IF(Sistema!BY256="","",Sistema!BY256)</f>
        <v/>
      </c>
      <c r="BZ256" t="str">
        <f>IF(Sistema!BZ256="","",Sistema!BZ256)</f>
        <v/>
      </c>
      <c r="CA256" t="str">
        <f>IF(Sistema!CA256="","",Sistema!CA256)</f>
        <v/>
      </c>
      <c r="CB256" t="str">
        <f>IF(Sistema!CB256="","",Sistema!CB256)</f>
        <v/>
      </c>
      <c r="CC256" t="str">
        <f>IF(Sistema!CC256="","",Sistema!CC256)</f>
        <v/>
      </c>
      <c r="CD256" t="str">
        <f>IF(Sistema!CD256="","",Sistema!CD256)</f>
        <v/>
      </c>
    </row>
    <row r="257" spans="1:82" x14ac:dyDescent="0.25">
      <c r="A257" t="str">
        <f>IF(Sistema!A257="","",Sistema!A257)</f>
        <v/>
      </c>
      <c r="B257" t="str">
        <f>IF(Sistema!B257="","",Sistema!B257)</f>
        <v/>
      </c>
      <c r="C257" t="str">
        <f>IF(Sistema!C257="","",Sistema!C257)</f>
        <v/>
      </c>
      <c r="D257" t="str">
        <f>IF(Sistema!D257="","",Sistema!D257)</f>
        <v/>
      </c>
      <c r="E257" t="str">
        <f>IF(Sistema!E257="","",Sistema!E257)</f>
        <v/>
      </c>
      <c r="F257">
        <f>IF(P257&gt;0,1,IF(Sistema!F257=0,-1,1))</f>
        <v>-1</v>
      </c>
      <c r="G257">
        <f>Sistema!G257</f>
        <v>0</v>
      </c>
      <c r="H257" t="str">
        <f>IF(OR(R257="notify",R257=1),"visible",IF(OR(Sistema!F257=-1,Sistema!F257=0,ISNUMBER(SEARCH("PCK",E257))),"hidden",IF(P257&gt;0,"visible","hidden")))</f>
        <v>hidden</v>
      </c>
      <c r="I257" t="str">
        <f>IF(B257="simple",IF(P257&gt;0,"",IF(R257="notify",Info!C$2,"")),IF(B257="variable",IF(P257&gt;0,"",IF(R257="notify",Info!C$4,"")),""))</f>
        <v/>
      </c>
      <c r="J257" t="str">
        <f>IF(Sistema!J257="","",Sistema!J257)</f>
        <v/>
      </c>
      <c r="M257" t="str">
        <f>IF(Sistema!M257="","",Sistema!M257)</f>
        <v/>
      </c>
      <c r="N257" s="6" t="s">
        <v>1557</v>
      </c>
      <c r="O257" s="6">
        <v>1</v>
      </c>
      <c r="P257">
        <f>Sistema!P257</f>
        <v>0</v>
      </c>
      <c r="Q257">
        <f>Sistema!Q257</f>
        <v>0</v>
      </c>
      <c r="R257">
        <f>IF(Sistema!R257=1,"notify",Sistema!R257)</f>
        <v>0</v>
      </c>
      <c r="T257" t="str">
        <f>IF(Sistema!T257="","",Sistema!T257)</f>
        <v/>
      </c>
      <c r="U257" t="str">
        <f>IF(Sistema!U257="","",Sistema!U257)</f>
        <v/>
      </c>
      <c r="V257" t="str">
        <f>IF(Sistema!V257="","",Sistema!V257)</f>
        <v/>
      </c>
      <c r="W257" t="str">
        <f>IF(Sistema!W257="","",Sistema!W257)</f>
        <v/>
      </c>
      <c r="X257" s="6">
        <v>1</v>
      </c>
      <c r="Z257" t="str">
        <f>IF(Sistema!Z257="","",Sistema!Z257)</f>
        <v/>
      </c>
      <c r="AA257" t="str">
        <f>IF(Sistema!AA257="","",Sistema!AA257)</f>
        <v/>
      </c>
      <c r="AB257" t="str">
        <f>IF(Sistema!AB257="","",IF(OR(ISNUMBER(SEARCH("MKP",E257)),ISNUMBER(SEARCH("MKP",C257))),"Marketplace &gt; "&amp;Sistema!AB257,Sistema!AB257))</f>
        <v/>
      </c>
      <c r="AC257" t="str">
        <f>IF(Sistema!AC257="","",Sistema!AC257)</f>
        <v/>
      </c>
      <c r="AE257" t="str">
        <f>IF(Sistema!AE257="","",Sistema!AE257)</f>
        <v/>
      </c>
      <c r="AH257" t="str">
        <f>IF(Sistema!AH257="","",Sistema!AH257)</f>
        <v/>
      </c>
      <c r="AQ257" t="str">
        <f>IF(Sistema!AQ257="","",Sistema!AQ257)</f>
        <v/>
      </c>
      <c r="AR257" t="str">
        <f>IF(Sistema!AR257="","",Sistema!AR257)</f>
        <v/>
      </c>
      <c r="AS257" t="str">
        <f>IF(Sistema!AS257="","",Sistema!AS257)</f>
        <v/>
      </c>
      <c r="AT257" t="str">
        <f>IF(Sistema!AT257="","",Sistema!AT257)</f>
        <v/>
      </c>
      <c r="AU257" t="str">
        <f>IF(Sistema!AU257="","",Sistema!AU257)</f>
        <v/>
      </c>
      <c r="AV257" t="str">
        <f>IF(Sistema!AV257="","",Sistema!AV257)</f>
        <v/>
      </c>
      <c r="AW257" t="str">
        <f>IF(Sistema!AW257="","",Sistema!AW257)</f>
        <v/>
      </c>
      <c r="AX257" t="str">
        <f>IF(Sistema!AX257="","",Sistema!AX257)</f>
        <v/>
      </c>
      <c r="AY257" t="str">
        <f>IF(Sistema!AY257="","",Sistema!AY257)</f>
        <v/>
      </c>
      <c r="AZ257" t="str">
        <f>IF(Sistema!AZ257="","",Sistema!AZ257)</f>
        <v/>
      </c>
      <c r="BA257" t="str">
        <f>IF(Sistema!BA257="","",Sistema!BA257)</f>
        <v/>
      </c>
      <c r="BB257" t="str">
        <f>IF(Sistema!BB257="","",Sistema!BB257)</f>
        <v/>
      </c>
      <c r="BC257" t="str">
        <f>IF(Sistema!BC257="","",Sistema!BC257)</f>
        <v/>
      </c>
      <c r="BD257" t="str">
        <f>IF(Sistema!BD257="","",Sistema!BD257)</f>
        <v/>
      </c>
      <c r="BE257" t="str">
        <f>IF(Sistema!BE257="","",Sistema!BE257)</f>
        <v/>
      </c>
      <c r="BF257" t="str">
        <f>IF(Sistema!BF257="","",Sistema!BF257)</f>
        <v/>
      </c>
      <c r="BG257" t="str">
        <f>IF(Sistema!BG257="","",Sistema!BG257)</f>
        <v/>
      </c>
      <c r="BH257" t="str">
        <f>IF(Sistema!BH257="","",Sistema!BH257)</f>
        <v/>
      </c>
      <c r="BI257" t="str">
        <f>IF(Sistema!BI257="","",Sistema!BI257)</f>
        <v/>
      </c>
      <c r="BJ257" t="str">
        <f>IF(Sistema!BJ257="","",Sistema!BJ257)</f>
        <v/>
      </c>
      <c r="BK257" t="str">
        <f>IF(Sistema!BK257="","",Sistema!BK257)</f>
        <v/>
      </c>
      <c r="BL257" t="str">
        <f>IF(Sistema!BL257="","",Sistema!BL257)</f>
        <v/>
      </c>
      <c r="BM257" t="str">
        <f>IF(Sistema!BM257="","",Sistema!BM257)</f>
        <v/>
      </c>
      <c r="BN257" t="str">
        <f>IF(Sistema!BN257="","",Sistema!BN257)</f>
        <v/>
      </c>
      <c r="BO257" t="str">
        <f>IF(Sistema!BO257="","",Sistema!BO257)</f>
        <v/>
      </c>
      <c r="BP257" t="str">
        <f>IF(Sistema!BP257="","",Sistema!BP257)</f>
        <v/>
      </c>
      <c r="BQ257" t="str">
        <f>IF(Sistema!BQ257="","",Sistema!BQ257)</f>
        <v/>
      </c>
      <c r="BR257" t="str">
        <f>IF(Sistema!BR257="","",Sistema!BR257)</f>
        <v/>
      </c>
      <c r="BS257" t="str">
        <f>IF(Sistema!BS257="","",Sistema!BS257)</f>
        <v/>
      </c>
      <c r="BT257" t="str">
        <f>IF(Sistema!BT257="","",Sistema!BT257)</f>
        <v/>
      </c>
      <c r="BU257" t="str">
        <f>IF(Sistema!BU257="","",Sistema!BU257)</f>
        <v/>
      </c>
      <c r="BV257" t="str">
        <f>IF(Sistema!BV257="","",Sistema!BV257)</f>
        <v/>
      </c>
      <c r="BW257" t="str">
        <f>IF(Sistema!BW257="","",Sistema!BW257)</f>
        <v/>
      </c>
      <c r="BX257" t="str">
        <f>IF(Sistema!BX257="","",Sistema!BX257)</f>
        <v/>
      </c>
      <c r="BY257" t="str">
        <f>IF(Sistema!BY257="","",Sistema!BY257)</f>
        <v/>
      </c>
      <c r="BZ257" t="str">
        <f>IF(Sistema!BZ257="","",Sistema!BZ257)</f>
        <v/>
      </c>
      <c r="CA257" t="str">
        <f>IF(Sistema!CA257="","",Sistema!CA257)</f>
        <v/>
      </c>
      <c r="CB257" t="str">
        <f>IF(Sistema!CB257="","",Sistema!CB257)</f>
        <v/>
      </c>
      <c r="CC257" t="str">
        <f>IF(Sistema!CC257="","",Sistema!CC257)</f>
        <v/>
      </c>
      <c r="CD257" t="str">
        <f>IF(Sistema!CD257="","",Sistema!CD257)</f>
        <v/>
      </c>
    </row>
    <row r="258" spans="1:82" x14ac:dyDescent="0.25">
      <c r="A258" t="str">
        <f>IF(Sistema!A258="","",Sistema!A258)</f>
        <v/>
      </c>
      <c r="B258" t="str">
        <f>IF(Sistema!B258="","",Sistema!B258)</f>
        <v/>
      </c>
      <c r="C258" t="str">
        <f>IF(Sistema!C258="","",Sistema!C258)</f>
        <v/>
      </c>
      <c r="D258" t="str">
        <f>IF(Sistema!D258="","",Sistema!D258)</f>
        <v/>
      </c>
      <c r="E258" t="str">
        <f>IF(Sistema!E258="","",Sistema!E258)</f>
        <v/>
      </c>
      <c r="F258">
        <f>IF(P258&gt;0,1,IF(Sistema!F258=0,-1,1))</f>
        <v>-1</v>
      </c>
      <c r="G258">
        <f>Sistema!G258</f>
        <v>0</v>
      </c>
      <c r="H258" t="str">
        <f>IF(OR(R258="notify",R258=1),"visible",IF(OR(Sistema!F258=-1,Sistema!F258=0,ISNUMBER(SEARCH("PCK",E258))),"hidden",IF(P258&gt;0,"visible","hidden")))</f>
        <v>hidden</v>
      </c>
      <c r="I258" t="str">
        <f>IF(B258="simple",IF(P258&gt;0,"",IF(R258="notify",Info!C$2,"")),IF(B258="variable",IF(P258&gt;0,"",IF(R258="notify",Info!C$4,"")),""))</f>
        <v/>
      </c>
      <c r="J258" t="str">
        <f>IF(Sistema!J258="","",Sistema!J258)</f>
        <v/>
      </c>
      <c r="M258" t="str">
        <f>IF(Sistema!M258="","",Sistema!M258)</f>
        <v/>
      </c>
      <c r="N258" s="6" t="s">
        <v>1557</v>
      </c>
      <c r="O258" s="6">
        <v>1</v>
      </c>
      <c r="P258">
        <f>Sistema!P258</f>
        <v>0</v>
      </c>
      <c r="Q258">
        <f>Sistema!Q258</f>
        <v>0</v>
      </c>
      <c r="R258">
        <f>IF(Sistema!R258=1,"notify",Sistema!R258)</f>
        <v>0</v>
      </c>
      <c r="T258" t="str">
        <f>IF(Sistema!T258="","",Sistema!T258)</f>
        <v/>
      </c>
      <c r="U258" t="str">
        <f>IF(Sistema!U258="","",Sistema!U258)</f>
        <v/>
      </c>
      <c r="V258" t="str">
        <f>IF(Sistema!V258="","",Sistema!V258)</f>
        <v/>
      </c>
      <c r="W258" t="str">
        <f>IF(Sistema!W258="","",Sistema!W258)</f>
        <v/>
      </c>
      <c r="X258" s="6">
        <v>1</v>
      </c>
      <c r="Z258" t="str">
        <f>IF(Sistema!Z258="","",Sistema!Z258)</f>
        <v/>
      </c>
      <c r="AA258" t="str">
        <f>IF(Sistema!AA258="","",Sistema!AA258)</f>
        <v/>
      </c>
      <c r="AB258" t="str">
        <f>IF(Sistema!AB258="","",IF(OR(ISNUMBER(SEARCH("MKP",E258)),ISNUMBER(SEARCH("MKP",C258))),"Marketplace &gt; "&amp;Sistema!AB258,Sistema!AB258))</f>
        <v/>
      </c>
      <c r="AC258" t="str">
        <f>IF(Sistema!AC258="","",Sistema!AC258)</f>
        <v/>
      </c>
      <c r="AE258" t="str">
        <f>IF(Sistema!AE258="","",Sistema!AE258)</f>
        <v/>
      </c>
      <c r="AH258" t="str">
        <f>IF(Sistema!AH258="","",Sistema!AH258)</f>
        <v/>
      </c>
      <c r="AQ258" t="str">
        <f>IF(Sistema!AQ258="","",Sistema!AQ258)</f>
        <v/>
      </c>
      <c r="AR258" t="str">
        <f>IF(Sistema!AR258="","",Sistema!AR258)</f>
        <v/>
      </c>
      <c r="AS258" t="str">
        <f>IF(Sistema!AS258="","",Sistema!AS258)</f>
        <v/>
      </c>
      <c r="AT258" t="str">
        <f>IF(Sistema!AT258="","",Sistema!AT258)</f>
        <v/>
      </c>
      <c r="AU258" t="str">
        <f>IF(Sistema!AU258="","",Sistema!AU258)</f>
        <v/>
      </c>
      <c r="AV258" t="str">
        <f>IF(Sistema!AV258="","",Sistema!AV258)</f>
        <v/>
      </c>
      <c r="AW258" t="str">
        <f>IF(Sistema!AW258="","",Sistema!AW258)</f>
        <v/>
      </c>
      <c r="AX258" t="str">
        <f>IF(Sistema!AX258="","",Sistema!AX258)</f>
        <v/>
      </c>
      <c r="AY258" t="str">
        <f>IF(Sistema!AY258="","",Sistema!AY258)</f>
        <v/>
      </c>
      <c r="AZ258" t="str">
        <f>IF(Sistema!AZ258="","",Sistema!AZ258)</f>
        <v/>
      </c>
      <c r="BA258" t="str">
        <f>IF(Sistema!BA258="","",Sistema!BA258)</f>
        <v/>
      </c>
      <c r="BB258" t="str">
        <f>IF(Sistema!BB258="","",Sistema!BB258)</f>
        <v/>
      </c>
      <c r="BC258" t="str">
        <f>IF(Sistema!BC258="","",Sistema!BC258)</f>
        <v/>
      </c>
      <c r="BD258" t="str">
        <f>IF(Sistema!BD258="","",Sistema!BD258)</f>
        <v/>
      </c>
      <c r="BE258" t="str">
        <f>IF(Sistema!BE258="","",Sistema!BE258)</f>
        <v/>
      </c>
      <c r="BF258" t="str">
        <f>IF(Sistema!BF258="","",Sistema!BF258)</f>
        <v/>
      </c>
      <c r="BG258" t="str">
        <f>IF(Sistema!BG258="","",Sistema!BG258)</f>
        <v/>
      </c>
      <c r="BH258" t="str">
        <f>IF(Sistema!BH258="","",Sistema!BH258)</f>
        <v/>
      </c>
      <c r="BI258" t="str">
        <f>IF(Sistema!BI258="","",Sistema!BI258)</f>
        <v/>
      </c>
      <c r="BJ258" t="str">
        <f>IF(Sistema!BJ258="","",Sistema!BJ258)</f>
        <v/>
      </c>
      <c r="BK258" t="str">
        <f>IF(Sistema!BK258="","",Sistema!BK258)</f>
        <v/>
      </c>
      <c r="BL258" t="str">
        <f>IF(Sistema!BL258="","",Sistema!BL258)</f>
        <v/>
      </c>
      <c r="BM258" t="str">
        <f>IF(Sistema!BM258="","",Sistema!BM258)</f>
        <v/>
      </c>
      <c r="BN258" t="str">
        <f>IF(Sistema!BN258="","",Sistema!BN258)</f>
        <v/>
      </c>
      <c r="BO258" t="str">
        <f>IF(Sistema!BO258="","",Sistema!BO258)</f>
        <v/>
      </c>
      <c r="BP258" t="str">
        <f>IF(Sistema!BP258="","",Sistema!BP258)</f>
        <v/>
      </c>
      <c r="BQ258" t="str">
        <f>IF(Sistema!BQ258="","",Sistema!BQ258)</f>
        <v/>
      </c>
      <c r="BR258" t="str">
        <f>IF(Sistema!BR258="","",Sistema!BR258)</f>
        <v/>
      </c>
      <c r="BS258" t="str">
        <f>IF(Sistema!BS258="","",Sistema!BS258)</f>
        <v/>
      </c>
      <c r="BT258" t="str">
        <f>IF(Sistema!BT258="","",Sistema!BT258)</f>
        <v/>
      </c>
      <c r="BU258" t="str">
        <f>IF(Sistema!BU258="","",Sistema!BU258)</f>
        <v/>
      </c>
      <c r="BV258" t="str">
        <f>IF(Sistema!BV258="","",Sistema!BV258)</f>
        <v/>
      </c>
      <c r="BW258" t="str">
        <f>IF(Sistema!BW258="","",Sistema!BW258)</f>
        <v/>
      </c>
      <c r="BX258" t="str">
        <f>IF(Sistema!BX258="","",Sistema!BX258)</f>
        <v/>
      </c>
      <c r="BY258" t="str">
        <f>IF(Sistema!BY258="","",Sistema!BY258)</f>
        <v/>
      </c>
      <c r="BZ258" t="str">
        <f>IF(Sistema!BZ258="","",Sistema!BZ258)</f>
        <v/>
      </c>
      <c r="CA258" t="str">
        <f>IF(Sistema!CA258="","",Sistema!CA258)</f>
        <v/>
      </c>
      <c r="CB258" t="str">
        <f>IF(Sistema!CB258="","",Sistema!CB258)</f>
        <v/>
      </c>
      <c r="CC258" t="str">
        <f>IF(Sistema!CC258="","",Sistema!CC258)</f>
        <v/>
      </c>
      <c r="CD258" t="str">
        <f>IF(Sistema!CD258="","",Sistema!CD258)</f>
        <v/>
      </c>
    </row>
    <row r="259" spans="1:82" x14ac:dyDescent="0.25">
      <c r="A259" t="str">
        <f>IF(Sistema!A259="","",Sistema!A259)</f>
        <v/>
      </c>
      <c r="B259" t="str">
        <f>IF(Sistema!B259="","",Sistema!B259)</f>
        <v/>
      </c>
      <c r="C259" t="str">
        <f>IF(Sistema!C259="","",Sistema!C259)</f>
        <v/>
      </c>
      <c r="D259" t="str">
        <f>IF(Sistema!D259="","",Sistema!D259)</f>
        <v/>
      </c>
      <c r="E259" t="str">
        <f>IF(Sistema!E259="","",Sistema!E259)</f>
        <v/>
      </c>
      <c r="F259">
        <f>IF(P259&gt;0,1,IF(Sistema!F259=0,-1,1))</f>
        <v>-1</v>
      </c>
      <c r="G259">
        <f>Sistema!G259</f>
        <v>0</v>
      </c>
      <c r="H259" t="str">
        <f>IF(OR(R259="notify",R259=1),"visible",IF(OR(Sistema!F259=-1,Sistema!F259=0,ISNUMBER(SEARCH("PCK",E259))),"hidden",IF(P259&gt;0,"visible","hidden")))</f>
        <v>hidden</v>
      </c>
      <c r="I259" t="str">
        <f>IF(B259="simple",IF(P259&gt;0,"",IF(R259="notify",Info!C$2,"")),IF(B259="variable",IF(P259&gt;0,"",IF(R259="notify",Info!C$4,"")),""))</f>
        <v/>
      </c>
      <c r="J259" t="str">
        <f>IF(Sistema!J259="","",Sistema!J259)</f>
        <v/>
      </c>
      <c r="M259" t="str">
        <f>IF(Sistema!M259="","",Sistema!M259)</f>
        <v/>
      </c>
      <c r="N259" s="6" t="s">
        <v>1557</v>
      </c>
      <c r="O259" s="6">
        <v>1</v>
      </c>
      <c r="P259">
        <f>Sistema!P259</f>
        <v>0</v>
      </c>
      <c r="Q259">
        <f>Sistema!Q259</f>
        <v>0</v>
      </c>
      <c r="R259">
        <f>IF(Sistema!R259=1,"notify",Sistema!R259)</f>
        <v>0</v>
      </c>
      <c r="T259" t="str">
        <f>IF(Sistema!T259="","",Sistema!T259)</f>
        <v/>
      </c>
      <c r="U259" t="str">
        <f>IF(Sistema!U259="","",Sistema!U259)</f>
        <v/>
      </c>
      <c r="V259" t="str">
        <f>IF(Sistema!V259="","",Sistema!V259)</f>
        <v/>
      </c>
      <c r="W259" t="str">
        <f>IF(Sistema!W259="","",Sistema!W259)</f>
        <v/>
      </c>
      <c r="X259" s="6">
        <v>1</v>
      </c>
      <c r="Z259" t="str">
        <f>IF(Sistema!Z259="","",Sistema!Z259)</f>
        <v/>
      </c>
      <c r="AA259" t="str">
        <f>IF(Sistema!AA259="","",Sistema!AA259)</f>
        <v/>
      </c>
      <c r="AB259" t="str">
        <f>IF(Sistema!AB259="","",IF(OR(ISNUMBER(SEARCH("MKP",E259)),ISNUMBER(SEARCH("MKP",C259))),"Marketplace &gt; "&amp;Sistema!AB259,Sistema!AB259))</f>
        <v/>
      </c>
      <c r="AC259" t="str">
        <f>IF(Sistema!AC259="","",Sistema!AC259)</f>
        <v/>
      </c>
      <c r="AE259" t="str">
        <f>IF(Sistema!AE259="","",Sistema!AE259)</f>
        <v/>
      </c>
      <c r="AH259" t="str">
        <f>IF(Sistema!AH259="","",Sistema!AH259)</f>
        <v/>
      </c>
      <c r="AQ259" t="str">
        <f>IF(Sistema!AQ259="","",Sistema!AQ259)</f>
        <v/>
      </c>
      <c r="AR259" t="str">
        <f>IF(Sistema!AR259="","",Sistema!AR259)</f>
        <v/>
      </c>
      <c r="AS259" t="str">
        <f>IF(Sistema!AS259="","",Sistema!AS259)</f>
        <v/>
      </c>
      <c r="AT259" t="str">
        <f>IF(Sistema!AT259="","",Sistema!AT259)</f>
        <v/>
      </c>
      <c r="AU259" t="str">
        <f>IF(Sistema!AU259="","",Sistema!AU259)</f>
        <v/>
      </c>
      <c r="AV259" t="str">
        <f>IF(Sistema!AV259="","",Sistema!AV259)</f>
        <v/>
      </c>
      <c r="AW259" t="str">
        <f>IF(Sistema!AW259="","",Sistema!AW259)</f>
        <v/>
      </c>
      <c r="AX259" t="str">
        <f>IF(Sistema!AX259="","",Sistema!AX259)</f>
        <v/>
      </c>
      <c r="AY259" t="str">
        <f>IF(Sistema!AY259="","",Sistema!AY259)</f>
        <v/>
      </c>
      <c r="AZ259" t="str">
        <f>IF(Sistema!AZ259="","",Sistema!AZ259)</f>
        <v/>
      </c>
      <c r="BA259" t="str">
        <f>IF(Sistema!BA259="","",Sistema!BA259)</f>
        <v/>
      </c>
      <c r="BB259" t="str">
        <f>IF(Sistema!BB259="","",Sistema!BB259)</f>
        <v/>
      </c>
      <c r="BC259" t="str">
        <f>IF(Sistema!BC259="","",Sistema!BC259)</f>
        <v/>
      </c>
      <c r="BD259" t="str">
        <f>IF(Sistema!BD259="","",Sistema!BD259)</f>
        <v/>
      </c>
      <c r="BE259" t="str">
        <f>IF(Sistema!BE259="","",Sistema!BE259)</f>
        <v/>
      </c>
      <c r="BF259" t="str">
        <f>IF(Sistema!BF259="","",Sistema!BF259)</f>
        <v/>
      </c>
      <c r="BG259" t="str">
        <f>IF(Sistema!BG259="","",Sistema!BG259)</f>
        <v/>
      </c>
      <c r="BH259" t="str">
        <f>IF(Sistema!BH259="","",Sistema!BH259)</f>
        <v/>
      </c>
      <c r="BI259" t="str">
        <f>IF(Sistema!BI259="","",Sistema!BI259)</f>
        <v/>
      </c>
      <c r="BJ259" t="str">
        <f>IF(Sistema!BJ259="","",Sistema!BJ259)</f>
        <v/>
      </c>
      <c r="BK259" t="str">
        <f>IF(Sistema!BK259="","",Sistema!BK259)</f>
        <v/>
      </c>
      <c r="BL259" t="str">
        <f>IF(Sistema!BL259="","",Sistema!BL259)</f>
        <v/>
      </c>
      <c r="BM259" t="str">
        <f>IF(Sistema!BM259="","",Sistema!BM259)</f>
        <v/>
      </c>
      <c r="BN259" t="str">
        <f>IF(Sistema!BN259="","",Sistema!BN259)</f>
        <v/>
      </c>
      <c r="BO259" t="str">
        <f>IF(Sistema!BO259="","",Sistema!BO259)</f>
        <v/>
      </c>
      <c r="BP259" t="str">
        <f>IF(Sistema!BP259="","",Sistema!BP259)</f>
        <v/>
      </c>
      <c r="BQ259" t="str">
        <f>IF(Sistema!BQ259="","",Sistema!BQ259)</f>
        <v/>
      </c>
      <c r="BR259" t="str">
        <f>IF(Sistema!BR259="","",Sistema!BR259)</f>
        <v/>
      </c>
      <c r="BS259" t="str">
        <f>IF(Sistema!BS259="","",Sistema!BS259)</f>
        <v/>
      </c>
      <c r="BT259" t="str">
        <f>IF(Sistema!BT259="","",Sistema!BT259)</f>
        <v/>
      </c>
      <c r="BU259" t="str">
        <f>IF(Sistema!BU259="","",Sistema!BU259)</f>
        <v/>
      </c>
      <c r="BV259" t="str">
        <f>IF(Sistema!BV259="","",Sistema!BV259)</f>
        <v/>
      </c>
      <c r="BW259" t="str">
        <f>IF(Sistema!BW259="","",Sistema!BW259)</f>
        <v/>
      </c>
      <c r="BX259" t="str">
        <f>IF(Sistema!BX259="","",Sistema!BX259)</f>
        <v/>
      </c>
      <c r="BY259" t="str">
        <f>IF(Sistema!BY259="","",Sistema!BY259)</f>
        <v/>
      </c>
      <c r="BZ259" t="str">
        <f>IF(Sistema!BZ259="","",Sistema!BZ259)</f>
        <v/>
      </c>
      <c r="CA259" t="str">
        <f>IF(Sistema!CA259="","",Sistema!CA259)</f>
        <v/>
      </c>
      <c r="CB259" t="str">
        <f>IF(Sistema!CB259="","",Sistema!CB259)</f>
        <v/>
      </c>
      <c r="CC259" t="str">
        <f>IF(Sistema!CC259="","",Sistema!CC259)</f>
        <v/>
      </c>
      <c r="CD259" t="str">
        <f>IF(Sistema!CD259="","",Sistema!CD259)</f>
        <v/>
      </c>
    </row>
    <row r="260" spans="1:82" x14ac:dyDescent="0.25">
      <c r="A260" t="str">
        <f>IF(Sistema!A260="","",Sistema!A260)</f>
        <v/>
      </c>
      <c r="B260" t="str">
        <f>IF(Sistema!B260="","",Sistema!B260)</f>
        <v/>
      </c>
      <c r="C260" t="str">
        <f>IF(Sistema!C260="","",Sistema!C260)</f>
        <v/>
      </c>
      <c r="D260" t="str">
        <f>IF(Sistema!D260="","",Sistema!D260)</f>
        <v/>
      </c>
      <c r="E260" t="str">
        <f>IF(Sistema!E260="","",Sistema!E260)</f>
        <v/>
      </c>
      <c r="F260">
        <f>IF(P260&gt;0,1,IF(Sistema!F260=0,-1,1))</f>
        <v>-1</v>
      </c>
      <c r="G260">
        <f>Sistema!G260</f>
        <v>0</v>
      </c>
      <c r="H260" t="str">
        <f>IF(OR(R260="notify",R260=1),"visible",IF(OR(Sistema!F260=-1,Sistema!F260=0,ISNUMBER(SEARCH("PCK",E260))),"hidden",IF(P260&gt;0,"visible","hidden")))</f>
        <v>hidden</v>
      </c>
      <c r="I260" t="str">
        <f>IF(B260="simple",IF(P260&gt;0,"",IF(R260="notify",Info!C$2,"")),IF(B260="variable",IF(P260&gt;0,"",IF(R260="notify",Info!C$4,"")),""))</f>
        <v/>
      </c>
      <c r="J260" t="str">
        <f>IF(Sistema!J260="","",Sistema!J260)</f>
        <v/>
      </c>
      <c r="M260" t="str">
        <f>IF(Sistema!M260="","",Sistema!M260)</f>
        <v/>
      </c>
      <c r="N260" s="6" t="s">
        <v>1557</v>
      </c>
      <c r="O260" s="6">
        <v>1</v>
      </c>
      <c r="P260">
        <f>Sistema!P260</f>
        <v>0</v>
      </c>
      <c r="Q260">
        <f>Sistema!Q260</f>
        <v>0</v>
      </c>
      <c r="R260">
        <f>IF(Sistema!R260=1,"notify",Sistema!R260)</f>
        <v>0</v>
      </c>
      <c r="T260" t="str">
        <f>IF(Sistema!T260="","",Sistema!T260)</f>
        <v/>
      </c>
      <c r="U260" t="str">
        <f>IF(Sistema!U260="","",Sistema!U260)</f>
        <v/>
      </c>
      <c r="V260" t="str">
        <f>IF(Sistema!V260="","",Sistema!V260)</f>
        <v/>
      </c>
      <c r="W260" t="str">
        <f>IF(Sistema!W260="","",Sistema!W260)</f>
        <v/>
      </c>
      <c r="X260" s="6">
        <v>1</v>
      </c>
      <c r="Z260" t="str">
        <f>IF(Sistema!Z260="","",Sistema!Z260)</f>
        <v/>
      </c>
      <c r="AA260" t="str">
        <f>IF(Sistema!AA260="","",Sistema!AA260)</f>
        <v/>
      </c>
      <c r="AB260" t="str">
        <f>IF(Sistema!AB260="","",IF(OR(ISNUMBER(SEARCH("MKP",E260)),ISNUMBER(SEARCH("MKP",C260))),"Marketplace &gt; "&amp;Sistema!AB260,Sistema!AB260))</f>
        <v/>
      </c>
      <c r="AC260" t="str">
        <f>IF(Sistema!AC260="","",Sistema!AC260)</f>
        <v/>
      </c>
      <c r="AE260" t="str">
        <f>IF(Sistema!AE260="","",Sistema!AE260)</f>
        <v/>
      </c>
      <c r="AH260" t="str">
        <f>IF(Sistema!AH260="","",Sistema!AH260)</f>
        <v/>
      </c>
      <c r="AQ260" t="str">
        <f>IF(Sistema!AQ260="","",Sistema!AQ260)</f>
        <v/>
      </c>
      <c r="AR260" t="str">
        <f>IF(Sistema!AR260="","",Sistema!AR260)</f>
        <v/>
      </c>
      <c r="AS260" t="str">
        <f>IF(Sistema!AS260="","",Sistema!AS260)</f>
        <v/>
      </c>
      <c r="AT260" t="str">
        <f>IF(Sistema!AT260="","",Sistema!AT260)</f>
        <v/>
      </c>
      <c r="AU260" t="str">
        <f>IF(Sistema!AU260="","",Sistema!AU260)</f>
        <v/>
      </c>
      <c r="AV260" t="str">
        <f>IF(Sistema!AV260="","",Sistema!AV260)</f>
        <v/>
      </c>
      <c r="AW260" t="str">
        <f>IF(Sistema!AW260="","",Sistema!AW260)</f>
        <v/>
      </c>
      <c r="AX260" t="str">
        <f>IF(Sistema!AX260="","",Sistema!AX260)</f>
        <v/>
      </c>
      <c r="AY260" t="str">
        <f>IF(Sistema!AY260="","",Sistema!AY260)</f>
        <v/>
      </c>
      <c r="AZ260" t="str">
        <f>IF(Sistema!AZ260="","",Sistema!AZ260)</f>
        <v/>
      </c>
      <c r="BA260" t="str">
        <f>IF(Sistema!BA260="","",Sistema!BA260)</f>
        <v/>
      </c>
      <c r="BB260" t="str">
        <f>IF(Sistema!BB260="","",Sistema!BB260)</f>
        <v/>
      </c>
      <c r="BC260" t="str">
        <f>IF(Sistema!BC260="","",Sistema!BC260)</f>
        <v/>
      </c>
      <c r="BD260" t="str">
        <f>IF(Sistema!BD260="","",Sistema!BD260)</f>
        <v/>
      </c>
      <c r="BE260" t="str">
        <f>IF(Sistema!BE260="","",Sistema!BE260)</f>
        <v/>
      </c>
      <c r="BF260" t="str">
        <f>IF(Sistema!BF260="","",Sistema!BF260)</f>
        <v/>
      </c>
      <c r="BG260" t="str">
        <f>IF(Sistema!BG260="","",Sistema!BG260)</f>
        <v/>
      </c>
      <c r="BH260" t="str">
        <f>IF(Sistema!BH260="","",Sistema!BH260)</f>
        <v/>
      </c>
      <c r="BI260" t="str">
        <f>IF(Sistema!BI260="","",Sistema!BI260)</f>
        <v/>
      </c>
      <c r="BJ260" t="str">
        <f>IF(Sistema!BJ260="","",Sistema!BJ260)</f>
        <v/>
      </c>
      <c r="BK260" t="str">
        <f>IF(Sistema!BK260="","",Sistema!BK260)</f>
        <v/>
      </c>
      <c r="BL260" t="str">
        <f>IF(Sistema!BL260="","",Sistema!BL260)</f>
        <v/>
      </c>
      <c r="BM260" t="str">
        <f>IF(Sistema!BM260="","",Sistema!BM260)</f>
        <v/>
      </c>
      <c r="BN260" t="str">
        <f>IF(Sistema!BN260="","",Sistema!BN260)</f>
        <v/>
      </c>
      <c r="BO260" t="str">
        <f>IF(Sistema!BO260="","",Sistema!BO260)</f>
        <v/>
      </c>
      <c r="BP260" t="str">
        <f>IF(Sistema!BP260="","",Sistema!BP260)</f>
        <v/>
      </c>
      <c r="BQ260" t="str">
        <f>IF(Sistema!BQ260="","",Sistema!BQ260)</f>
        <v/>
      </c>
      <c r="BR260" t="str">
        <f>IF(Sistema!BR260="","",Sistema!BR260)</f>
        <v/>
      </c>
      <c r="BS260" t="str">
        <f>IF(Sistema!BS260="","",Sistema!BS260)</f>
        <v/>
      </c>
      <c r="BT260" t="str">
        <f>IF(Sistema!BT260="","",Sistema!BT260)</f>
        <v/>
      </c>
      <c r="BU260" t="str">
        <f>IF(Sistema!BU260="","",Sistema!BU260)</f>
        <v/>
      </c>
      <c r="BV260" t="str">
        <f>IF(Sistema!BV260="","",Sistema!BV260)</f>
        <v/>
      </c>
      <c r="BW260" t="str">
        <f>IF(Sistema!BW260="","",Sistema!BW260)</f>
        <v/>
      </c>
      <c r="BX260" t="str">
        <f>IF(Sistema!BX260="","",Sistema!BX260)</f>
        <v/>
      </c>
      <c r="BY260" t="str">
        <f>IF(Sistema!BY260="","",Sistema!BY260)</f>
        <v/>
      </c>
      <c r="BZ260" t="str">
        <f>IF(Sistema!BZ260="","",Sistema!BZ260)</f>
        <v/>
      </c>
      <c r="CA260" t="str">
        <f>IF(Sistema!CA260="","",Sistema!CA260)</f>
        <v/>
      </c>
      <c r="CB260" t="str">
        <f>IF(Sistema!CB260="","",Sistema!CB260)</f>
        <v/>
      </c>
      <c r="CC260" t="str">
        <f>IF(Sistema!CC260="","",Sistema!CC260)</f>
        <v/>
      </c>
      <c r="CD260" t="str">
        <f>IF(Sistema!CD260="","",Sistema!CD260)</f>
        <v/>
      </c>
    </row>
    <row r="261" spans="1:82" x14ac:dyDescent="0.25">
      <c r="A261" t="str">
        <f>IF(Sistema!A261="","",Sistema!A261)</f>
        <v/>
      </c>
      <c r="B261" t="str">
        <f>IF(Sistema!B261="","",Sistema!B261)</f>
        <v/>
      </c>
      <c r="C261" t="str">
        <f>IF(Sistema!C261="","",Sistema!C261)</f>
        <v/>
      </c>
      <c r="D261" t="str">
        <f>IF(Sistema!D261="","",Sistema!D261)</f>
        <v/>
      </c>
      <c r="E261" t="str">
        <f>IF(Sistema!E261="","",Sistema!E261)</f>
        <v/>
      </c>
      <c r="F261">
        <f>IF(P261&gt;0,1,IF(Sistema!F261=0,-1,1))</f>
        <v>-1</v>
      </c>
      <c r="G261">
        <f>Sistema!G261</f>
        <v>0</v>
      </c>
      <c r="H261" t="str">
        <f>IF(OR(R261="notify",R261=1),"visible",IF(OR(Sistema!F261=-1,Sistema!F261=0,ISNUMBER(SEARCH("PCK",E261))),"hidden",IF(P261&gt;0,"visible","hidden")))</f>
        <v>hidden</v>
      </c>
      <c r="I261" t="str">
        <f>IF(B261="simple",IF(P261&gt;0,"",IF(R261="notify",Info!C$2,"")),IF(B261="variable",IF(P261&gt;0,"",IF(R261="notify",Info!C$4,"")),""))</f>
        <v/>
      </c>
      <c r="J261" t="str">
        <f>IF(Sistema!J261="","",Sistema!J261)</f>
        <v/>
      </c>
      <c r="M261" t="str">
        <f>IF(Sistema!M261="","",Sistema!M261)</f>
        <v/>
      </c>
      <c r="N261" s="6" t="s">
        <v>1557</v>
      </c>
      <c r="O261" s="6">
        <v>1</v>
      </c>
      <c r="P261">
        <f>Sistema!P261</f>
        <v>0</v>
      </c>
      <c r="Q261">
        <f>Sistema!Q261</f>
        <v>0</v>
      </c>
      <c r="R261">
        <f>IF(Sistema!R261=1,"notify",Sistema!R261)</f>
        <v>0</v>
      </c>
      <c r="T261" t="str">
        <f>IF(Sistema!T261="","",Sistema!T261)</f>
        <v/>
      </c>
      <c r="U261" t="str">
        <f>IF(Sistema!U261="","",Sistema!U261)</f>
        <v/>
      </c>
      <c r="V261" t="str">
        <f>IF(Sistema!V261="","",Sistema!V261)</f>
        <v/>
      </c>
      <c r="W261" t="str">
        <f>IF(Sistema!W261="","",Sistema!W261)</f>
        <v/>
      </c>
      <c r="X261" s="6">
        <v>1</v>
      </c>
      <c r="Z261" t="str">
        <f>IF(Sistema!Z261="","",Sistema!Z261)</f>
        <v/>
      </c>
      <c r="AA261" t="str">
        <f>IF(Sistema!AA261="","",Sistema!AA261)</f>
        <v/>
      </c>
      <c r="AB261" t="str">
        <f>IF(Sistema!AB261="","",IF(OR(ISNUMBER(SEARCH("MKP",E261)),ISNUMBER(SEARCH("MKP",C261))),"Marketplace &gt; "&amp;Sistema!AB261,Sistema!AB261))</f>
        <v/>
      </c>
      <c r="AC261" t="str">
        <f>IF(Sistema!AC261="","",Sistema!AC261)</f>
        <v/>
      </c>
      <c r="AE261" t="str">
        <f>IF(Sistema!AE261="","",Sistema!AE261)</f>
        <v/>
      </c>
      <c r="AH261" t="str">
        <f>IF(Sistema!AH261="","",Sistema!AH261)</f>
        <v/>
      </c>
      <c r="AQ261" t="str">
        <f>IF(Sistema!AQ261="","",Sistema!AQ261)</f>
        <v/>
      </c>
      <c r="AR261" t="str">
        <f>IF(Sistema!AR261="","",Sistema!AR261)</f>
        <v/>
      </c>
      <c r="AS261" t="str">
        <f>IF(Sistema!AS261="","",Sistema!AS261)</f>
        <v/>
      </c>
      <c r="AT261" t="str">
        <f>IF(Sistema!AT261="","",Sistema!AT261)</f>
        <v/>
      </c>
      <c r="AU261" t="str">
        <f>IF(Sistema!AU261="","",Sistema!AU261)</f>
        <v/>
      </c>
      <c r="AV261" t="str">
        <f>IF(Sistema!AV261="","",Sistema!AV261)</f>
        <v/>
      </c>
      <c r="AW261" t="str">
        <f>IF(Sistema!AW261="","",Sistema!AW261)</f>
        <v/>
      </c>
      <c r="AX261" t="str">
        <f>IF(Sistema!AX261="","",Sistema!AX261)</f>
        <v/>
      </c>
      <c r="AY261" t="str">
        <f>IF(Sistema!AY261="","",Sistema!AY261)</f>
        <v/>
      </c>
      <c r="AZ261" t="str">
        <f>IF(Sistema!AZ261="","",Sistema!AZ261)</f>
        <v/>
      </c>
      <c r="BA261" t="str">
        <f>IF(Sistema!BA261="","",Sistema!BA261)</f>
        <v/>
      </c>
      <c r="BB261" t="str">
        <f>IF(Sistema!BB261="","",Sistema!BB261)</f>
        <v/>
      </c>
      <c r="BC261" t="str">
        <f>IF(Sistema!BC261="","",Sistema!BC261)</f>
        <v/>
      </c>
      <c r="BD261" t="str">
        <f>IF(Sistema!BD261="","",Sistema!BD261)</f>
        <v/>
      </c>
      <c r="BE261" t="str">
        <f>IF(Sistema!BE261="","",Sistema!BE261)</f>
        <v/>
      </c>
      <c r="BF261" t="str">
        <f>IF(Sistema!BF261="","",Sistema!BF261)</f>
        <v/>
      </c>
      <c r="BG261" t="str">
        <f>IF(Sistema!BG261="","",Sistema!BG261)</f>
        <v/>
      </c>
      <c r="BH261" t="str">
        <f>IF(Sistema!BH261="","",Sistema!BH261)</f>
        <v/>
      </c>
      <c r="BI261" t="str">
        <f>IF(Sistema!BI261="","",Sistema!BI261)</f>
        <v/>
      </c>
      <c r="BJ261" t="str">
        <f>IF(Sistema!BJ261="","",Sistema!BJ261)</f>
        <v/>
      </c>
      <c r="BK261" t="str">
        <f>IF(Sistema!BK261="","",Sistema!BK261)</f>
        <v/>
      </c>
      <c r="BL261" t="str">
        <f>IF(Sistema!BL261="","",Sistema!BL261)</f>
        <v/>
      </c>
      <c r="BM261" t="str">
        <f>IF(Sistema!BM261="","",Sistema!BM261)</f>
        <v/>
      </c>
      <c r="BN261" t="str">
        <f>IF(Sistema!BN261="","",Sistema!BN261)</f>
        <v/>
      </c>
      <c r="BO261" t="str">
        <f>IF(Sistema!BO261="","",Sistema!BO261)</f>
        <v/>
      </c>
      <c r="BP261" t="str">
        <f>IF(Sistema!BP261="","",Sistema!BP261)</f>
        <v/>
      </c>
      <c r="BQ261" t="str">
        <f>IF(Sistema!BQ261="","",Sistema!BQ261)</f>
        <v/>
      </c>
      <c r="BR261" t="str">
        <f>IF(Sistema!BR261="","",Sistema!BR261)</f>
        <v/>
      </c>
      <c r="BS261" t="str">
        <f>IF(Sistema!BS261="","",Sistema!BS261)</f>
        <v/>
      </c>
      <c r="BT261" t="str">
        <f>IF(Sistema!BT261="","",Sistema!BT261)</f>
        <v/>
      </c>
      <c r="BU261" t="str">
        <f>IF(Sistema!BU261="","",Sistema!BU261)</f>
        <v/>
      </c>
      <c r="BV261" t="str">
        <f>IF(Sistema!BV261="","",Sistema!BV261)</f>
        <v/>
      </c>
      <c r="BW261" t="str">
        <f>IF(Sistema!BW261="","",Sistema!BW261)</f>
        <v/>
      </c>
      <c r="BX261" t="str">
        <f>IF(Sistema!BX261="","",Sistema!BX261)</f>
        <v/>
      </c>
      <c r="BY261" t="str">
        <f>IF(Sistema!BY261="","",Sistema!BY261)</f>
        <v/>
      </c>
      <c r="BZ261" t="str">
        <f>IF(Sistema!BZ261="","",Sistema!BZ261)</f>
        <v/>
      </c>
      <c r="CA261" t="str">
        <f>IF(Sistema!CA261="","",Sistema!CA261)</f>
        <v/>
      </c>
      <c r="CB261" t="str">
        <f>IF(Sistema!CB261="","",Sistema!CB261)</f>
        <v/>
      </c>
      <c r="CC261" t="str">
        <f>IF(Sistema!CC261="","",Sistema!CC261)</f>
        <v/>
      </c>
      <c r="CD261" t="str">
        <f>IF(Sistema!CD261="","",Sistema!CD261)</f>
        <v/>
      </c>
    </row>
    <row r="262" spans="1:82" x14ac:dyDescent="0.25">
      <c r="A262" t="str">
        <f>IF(Sistema!A262="","",Sistema!A262)</f>
        <v/>
      </c>
      <c r="B262" t="str">
        <f>IF(Sistema!B262="","",Sistema!B262)</f>
        <v/>
      </c>
      <c r="C262" t="str">
        <f>IF(Sistema!C262="","",Sistema!C262)</f>
        <v/>
      </c>
      <c r="D262" t="str">
        <f>IF(Sistema!D262="","",Sistema!D262)</f>
        <v/>
      </c>
      <c r="E262" t="str">
        <f>IF(Sistema!E262="","",Sistema!E262)</f>
        <v/>
      </c>
      <c r="F262">
        <f>IF(P262&gt;0,1,IF(Sistema!F262=0,-1,1))</f>
        <v>-1</v>
      </c>
      <c r="G262">
        <f>Sistema!G262</f>
        <v>0</v>
      </c>
      <c r="H262" t="str">
        <f>IF(OR(R262="notify",R262=1),"visible",IF(OR(Sistema!F262=-1,Sistema!F262=0,ISNUMBER(SEARCH("PCK",E262))),"hidden",IF(P262&gt;0,"visible","hidden")))</f>
        <v>hidden</v>
      </c>
      <c r="I262" t="str">
        <f>IF(B262="simple",IF(P262&gt;0,"",IF(R262="notify",Info!C$2,"")),IF(B262="variable",IF(P262&gt;0,"",IF(R262="notify",Info!C$4,"")),""))</f>
        <v/>
      </c>
      <c r="J262" t="str">
        <f>IF(Sistema!J262="","",Sistema!J262)</f>
        <v/>
      </c>
      <c r="M262" t="str">
        <f>IF(Sistema!M262="","",Sistema!M262)</f>
        <v/>
      </c>
      <c r="N262" s="6" t="s">
        <v>1557</v>
      </c>
      <c r="O262" s="6">
        <v>1</v>
      </c>
      <c r="P262">
        <f>Sistema!P262</f>
        <v>0</v>
      </c>
      <c r="Q262">
        <f>Sistema!Q262</f>
        <v>0</v>
      </c>
      <c r="R262">
        <f>IF(Sistema!R262=1,"notify",Sistema!R262)</f>
        <v>0</v>
      </c>
      <c r="T262" t="str">
        <f>IF(Sistema!T262="","",Sistema!T262)</f>
        <v/>
      </c>
      <c r="U262" t="str">
        <f>IF(Sistema!U262="","",Sistema!U262)</f>
        <v/>
      </c>
      <c r="V262" t="str">
        <f>IF(Sistema!V262="","",Sistema!V262)</f>
        <v/>
      </c>
      <c r="W262" t="str">
        <f>IF(Sistema!W262="","",Sistema!W262)</f>
        <v/>
      </c>
      <c r="X262" s="6">
        <v>1</v>
      </c>
      <c r="Z262" t="str">
        <f>IF(Sistema!Z262="","",Sistema!Z262)</f>
        <v/>
      </c>
      <c r="AA262" t="str">
        <f>IF(Sistema!AA262="","",Sistema!AA262)</f>
        <v/>
      </c>
      <c r="AB262" t="str">
        <f>IF(Sistema!AB262="","",IF(OR(ISNUMBER(SEARCH("MKP",E262)),ISNUMBER(SEARCH("MKP",C262))),"Marketplace &gt; "&amp;Sistema!AB262,Sistema!AB262))</f>
        <v/>
      </c>
      <c r="AC262" t="str">
        <f>IF(Sistema!AC262="","",Sistema!AC262)</f>
        <v/>
      </c>
      <c r="AE262" t="str">
        <f>IF(Sistema!AE262="","",Sistema!AE262)</f>
        <v/>
      </c>
      <c r="AH262" t="str">
        <f>IF(Sistema!AH262="","",Sistema!AH262)</f>
        <v/>
      </c>
      <c r="AQ262" t="str">
        <f>IF(Sistema!AQ262="","",Sistema!AQ262)</f>
        <v/>
      </c>
      <c r="AR262" t="str">
        <f>IF(Sistema!AR262="","",Sistema!AR262)</f>
        <v/>
      </c>
      <c r="AS262" t="str">
        <f>IF(Sistema!AS262="","",Sistema!AS262)</f>
        <v/>
      </c>
      <c r="AT262" t="str">
        <f>IF(Sistema!AT262="","",Sistema!AT262)</f>
        <v/>
      </c>
      <c r="AU262" t="str">
        <f>IF(Sistema!AU262="","",Sistema!AU262)</f>
        <v/>
      </c>
      <c r="AV262" t="str">
        <f>IF(Sistema!AV262="","",Sistema!AV262)</f>
        <v/>
      </c>
      <c r="AW262" t="str">
        <f>IF(Sistema!AW262="","",Sistema!AW262)</f>
        <v/>
      </c>
      <c r="AX262" t="str">
        <f>IF(Sistema!AX262="","",Sistema!AX262)</f>
        <v/>
      </c>
      <c r="AY262" t="str">
        <f>IF(Sistema!AY262="","",Sistema!AY262)</f>
        <v/>
      </c>
      <c r="AZ262" t="str">
        <f>IF(Sistema!AZ262="","",Sistema!AZ262)</f>
        <v/>
      </c>
      <c r="BA262" t="str">
        <f>IF(Sistema!BA262="","",Sistema!BA262)</f>
        <v/>
      </c>
      <c r="BB262" t="str">
        <f>IF(Sistema!BB262="","",Sistema!BB262)</f>
        <v/>
      </c>
      <c r="BC262" t="str">
        <f>IF(Sistema!BC262="","",Sistema!BC262)</f>
        <v/>
      </c>
      <c r="BD262" t="str">
        <f>IF(Sistema!BD262="","",Sistema!BD262)</f>
        <v/>
      </c>
      <c r="BE262" t="str">
        <f>IF(Sistema!BE262="","",Sistema!BE262)</f>
        <v/>
      </c>
      <c r="BF262" t="str">
        <f>IF(Sistema!BF262="","",Sistema!BF262)</f>
        <v/>
      </c>
      <c r="BG262" t="str">
        <f>IF(Sistema!BG262="","",Sistema!BG262)</f>
        <v/>
      </c>
      <c r="BH262" t="str">
        <f>IF(Sistema!BH262="","",Sistema!BH262)</f>
        <v/>
      </c>
      <c r="BI262" t="str">
        <f>IF(Sistema!BI262="","",Sistema!BI262)</f>
        <v/>
      </c>
      <c r="BJ262" t="str">
        <f>IF(Sistema!BJ262="","",Sistema!BJ262)</f>
        <v/>
      </c>
      <c r="BK262" t="str">
        <f>IF(Sistema!BK262="","",Sistema!BK262)</f>
        <v/>
      </c>
      <c r="BL262" t="str">
        <f>IF(Sistema!BL262="","",Sistema!BL262)</f>
        <v/>
      </c>
      <c r="BM262" t="str">
        <f>IF(Sistema!BM262="","",Sistema!BM262)</f>
        <v/>
      </c>
      <c r="BN262" t="str">
        <f>IF(Sistema!BN262="","",Sistema!BN262)</f>
        <v/>
      </c>
      <c r="BO262" t="str">
        <f>IF(Sistema!BO262="","",Sistema!BO262)</f>
        <v/>
      </c>
      <c r="BP262" t="str">
        <f>IF(Sistema!BP262="","",Sistema!BP262)</f>
        <v/>
      </c>
      <c r="BQ262" t="str">
        <f>IF(Sistema!BQ262="","",Sistema!BQ262)</f>
        <v/>
      </c>
      <c r="BR262" t="str">
        <f>IF(Sistema!BR262="","",Sistema!BR262)</f>
        <v/>
      </c>
      <c r="BS262" t="str">
        <f>IF(Sistema!BS262="","",Sistema!BS262)</f>
        <v/>
      </c>
      <c r="BT262" t="str">
        <f>IF(Sistema!BT262="","",Sistema!BT262)</f>
        <v/>
      </c>
      <c r="BU262" t="str">
        <f>IF(Sistema!BU262="","",Sistema!BU262)</f>
        <v/>
      </c>
      <c r="BV262" t="str">
        <f>IF(Sistema!BV262="","",Sistema!BV262)</f>
        <v/>
      </c>
      <c r="BW262" t="str">
        <f>IF(Sistema!BW262="","",Sistema!BW262)</f>
        <v/>
      </c>
      <c r="BX262" t="str">
        <f>IF(Sistema!BX262="","",Sistema!BX262)</f>
        <v/>
      </c>
      <c r="BY262" t="str">
        <f>IF(Sistema!BY262="","",Sistema!BY262)</f>
        <v/>
      </c>
      <c r="BZ262" t="str">
        <f>IF(Sistema!BZ262="","",Sistema!BZ262)</f>
        <v/>
      </c>
      <c r="CA262" t="str">
        <f>IF(Sistema!CA262="","",Sistema!CA262)</f>
        <v/>
      </c>
      <c r="CB262" t="str">
        <f>IF(Sistema!CB262="","",Sistema!CB262)</f>
        <v/>
      </c>
      <c r="CC262" t="str">
        <f>IF(Sistema!CC262="","",Sistema!CC262)</f>
        <v/>
      </c>
      <c r="CD262" t="str">
        <f>IF(Sistema!CD262="","",Sistema!CD262)</f>
        <v/>
      </c>
    </row>
    <row r="263" spans="1:82" x14ac:dyDescent="0.25">
      <c r="A263" t="str">
        <f>IF(Sistema!A263="","",Sistema!A263)</f>
        <v/>
      </c>
      <c r="B263" t="str">
        <f>IF(Sistema!B263="","",Sistema!B263)</f>
        <v/>
      </c>
      <c r="C263" t="str">
        <f>IF(Sistema!C263="","",Sistema!C263)</f>
        <v/>
      </c>
      <c r="D263" t="str">
        <f>IF(Sistema!D263="","",Sistema!D263)</f>
        <v/>
      </c>
      <c r="E263" t="str">
        <f>IF(Sistema!E263="","",Sistema!E263)</f>
        <v/>
      </c>
      <c r="F263">
        <f>IF(P263&gt;0,1,IF(Sistema!F263=0,-1,1))</f>
        <v>-1</v>
      </c>
      <c r="G263">
        <f>Sistema!G263</f>
        <v>0</v>
      </c>
      <c r="H263" t="str">
        <f>IF(OR(R263="notify",R263=1),"visible",IF(OR(Sistema!F263=-1,Sistema!F263=0,ISNUMBER(SEARCH("PCK",E263))),"hidden",IF(P263&gt;0,"visible","hidden")))</f>
        <v>hidden</v>
      </c>
      <c r="I263" t="str">
        <f>IF(B263="simple",IF(P263&gt;0,"",IF(R263="notify",Info!C$2,"")),IF(B263="variable",IF(P263&gt;0,"",IF(R263="notify",Info!C$4,"")),""))</f>
        <v/>
      </c>
      <c r="J263" t="str">
        <f>IF(Sistema!J263="","",Sistema!J263)</f>
        <v/>
      </c>
      <c r="M263" t="str">
        <f>IF(Sistema!M263="","",Sistema!M263)</f>
        <v/>
      </c>
      <c r="N263" s="6" t="s">
        <v>1557</v>
      </c>
      <c r="O263" s="6">
        <v>1</v>
      </c>
      <c r="P263">
        <f>Sistema!P263</f>
        <v>0</v>
      </c>
      <c r="Q263">
        <f>Sistema!Q263</f>
        <v>0</v>
      </c>
      <c r="R263">
        <f>IF(Sistema!R263=1,"notify",Sistema!R263)</f>
        <v>0</v>
      </c>
      <c r="T263" t="str">
        <f>IF(Sistema!T263="","",Sistema!T263)</f>
        <v/>
      </c>
      <c r="U263" t="str">
        <f>IF(Sistema!U263="","",Sistema!U263)</f>
        <v/>
      </c>
      <c r="V263" t="str">
        <f>IF(Sistema!V263="","",Sistema!V263)</f>
        <v/>
      </c>
      <c r="W263" t="str">
        <f>IF(Sistema!W263="","",Sistema!W263)</f>
        <v/>
      </c>
      <c r="X263" s="6">
        <v>1</v>
      </c>
      <c r="Z263" t="str">
        <f>IF(Sistema!Z263="","",Sistema!Z263)</f>
        <v/>
      </c>
      <c r="AA263" t="str">
        <f>IF(Sistema!AA263="","",Sistema!AA263)</f>
        <v/>
      </c>
      <c r="AB263" t="str">
        <f>IF(Sistema!AB263="","",IF(OR(ISNUMBER(SEARCH("MKP",E263)),ISNUMBER(SEARCH("MKP",C263))),"Marketplace &gt; "&amp;Sistema!AB263,Sistema!AB263))</f>
        <v/>
      </c>
      <c r="AC263" t="str">
        <f>IF(Sistema!AC263="","",Sistema!AC263)</f>
        <v/>
      </c>
      <c r="AE263" t="str">
        <f>IF(Sistema!AE263="","",Sistema!AE263)</f>
        <v/>
      </c>
      <c r="AH263" t="str">
        <f>IF(Sistema!AH263="","",Sistema!AH263)</f>
        <v/>
      </c>
      <c r="AQ263" t="str">
        <f>IF(Sistema!AQ263="","",Sistema!AQ263)</f>
        <v/>
      </c>
      <c r="AR263" t="str">
        <f>IF(Sistema!AR263="","",Sistema!AR263)</f>
        <v/>
      </c>
      <c r="AS263" t="str">
        <f>IF(Sistema!AS263="","",Sistema!AS263)</f>
        <v/>
      </c>
      <c r="AT263" t="str">
        <f>IF(Sistema!AT263="","",Sistema!AT263)</f>
        <v/>
      </c>
      <c r="AU263" t="str">
        <f>IF(Sistema!AU263="","",Sistema!AU263)</f>
        <v/>
      </c>
      <c r="AV263" t="str">
        <f>IF(Sistema!AV263="","",Sistema!AV263)</f>
        <v/>
      </c>
      <c r="AW263" t="str">
        <f>IF(Sistema!AW263="","",Sistema!AW263)</f>
        <v/>
      </c>
      <c r="AX263" t="str">
        <f>IF(Sistema!AX263="","",Sistema!AX263)</f>
        <v/>
      </c>
      <c r="AY263" t="str">
        <f>IF(Sistema!AY263="","",Sistema!AY263)</f>
        <v/>
      </c>
      <c r="AZ263" t="str">
        <f>IF(Sistema!AZ263="","",Sistema!AZ263)</f>
        <v/>
      </c>
      <c r="BA263" t="str">
        <f>IF(Sistema!BA263="","",Sistema!BA263)</f>
        <v/>
      </c>
      <c r="BB263" t="str">
        <f>IF(Sistema!BB263="","",Sistema!BB263)</f>
        <v/>
      </c>
      <c r="BC263" t="str">
        <f>IF(Sistema!BC263="","",Sistema!BC263)</f>
        <v/>
      </c>
      <c r="BD263" t="str">
        <f>IF(Sistema!BD263="","",Sistema!BD263)</f>
        <v/>
      </c>
      <c r="BE263" t="str">
        <f>IF(Sistema!BE263="","",Sistema!BE263)</f>
        <v/>
      </c>
      <c r="BF263" t="str">
        <f>IF(Sistema!BF263="","",Sistema!BF263)</f>
        <v/>
      </c>
      <c r="BG263" t="str">
        <f>IF(Sistema!BG263="","",Sistema!BG263)</f>
        <v/>
      </c>
      <c r="BH263" t="str">
        <f>IF(Sistema!BH263="","",Sistema!BH263)</f>
        <v/>
      </c>
      <c r="BI263" t="str">
        <f>IF(Sistema!BI263="","",Sistema!BI263)</f>
        <v/>
      </c>
      <c r="BJ263" t="str">
        <f>IF(Sistema!BJ263="","",Sistema!BJ263)</f>
        <v/>
      </c>
      <c r="BK263" t="str">
        <f>IF(Sistema!BK263="","",Sistema!BK263)</f>
        <v/>
      </c>
      <c r="BL263" t="str">
        <f>IF(Sistema!BL263="","",Sistema!BL263)</f>
        <v/>
      </c>
      <c r="BM263" t="str">
        <f>IF(Sistema!BM263="","",Sistema!BM263)</f>
        <v/>
      </c>
      <c r="BN263" t="str">
        <f>IF(Sistema!BN263="","",Sistema!BN263)</f>
        <v/>
      </c>
      <c r="BO263" t="str">
        <f>IF(Sistema!BO263="","",Sistema!BO263)</f>
        <v/>
      </c>
      <c r="BP263" t="str">
        <f>IF(Sistema!BP263="","",Sistema!BP263)</f>
        <v/>
      </c>
      <c r="BQ263" t="str">
        <f>IF(Sistema!BQ263="","",Sistema!BQ263)</f>
        <v/>
      </c>
      <c r="BR263" t="str">
        <f>IF(Sistema!BR263="","",Sistema!BR263)</f>
        <v/>
      </c>
      <c r="BS263" t="str">
        <f>IF(Sistema!BS263="","",Sistema!BS263)</f>
        <v/>
      </c>
      <c r="BT263" t="str">
        <f>IF(Sistema!BT263="","",Sistema!BT263)</f>
        <v/>
      </c>
      <c r="BU263" t="str">
        <f>IF(Sistema!BU263="","",Sistema!BU263)</f>
        <v/>
      </c>
      <c r="BV263" t="str">
        <f>IF(Sistema!BV263="","",Sistema!BV263)</f>
        <v/>
      </c>
      <c r="BW263" t="str">
        <f>IF(Sistema!BW263="","",Sistema!BW263)</f>
        <v/>
      </c>
      <c r="BX263" t="str">
        <f>IF(Sistema!BX263="","",Sistema!BX263)</f>
        <v/>
      </c>
      <c r="BY263" t="str">
        <f>IF(Sistema!BY263="","",Sistema!BY263)</f>
        <v/>
      </c>
      <c r="BZ263" t="str">
        <f>IF(Sistema!BZ263="","",Sistema!BZ263)</f>
        <v/>
      </c>
      <c r="CA263" t="str">
        <f>IF(Sistema!CA263="","",Sistema!CA263)</f>
        <v/>
      </c>
      <c r="CB263" t="str">
        <f>IF(Sistema!CB263="","",Sistema!CB263)</f>
        <v/>
      </c>
      <c r="CC263" t="str">
        <f>IF(Sistema!CC263="","",Sistema!CC263)</f>
        <v/>
      </c>
      <c r="CD263" t="str">
        <f>IF(Sistema!CD263="","",Sistema!CD263)</f>
        <v/>
      </c>
    </row>
    <row r="264" spans="1:82" x14ac:dyDescent="0.25">
      <c r="A264" t="str">
        <f>IF(Sistema!A264="","",Sistema!A264)</f>
        <v/>
      </c>
      <c r="B264" t="str">
        <f>IF(Sistema!B264="","",Sistema!B264)</f>
        <v/>
      </c>
      <c r="C264" t="str">
        <f>IF(Sistema!C264="","",Sistema!C264)</f>
        <v/>
      </c>
      <c r="D264" t="str">
        <f>IF(Sistema!D264="","",Sistema!D264)</f>
        <v/>
      </c>
      <c r="E264" t="str">
        <f>IF(Sistema!E264="","",Sistema!E264)</f>
        <v/>
      </c>
      <c r="F264">
        <f>IF(P264&gt;0,1,IF(Sistema!F264=0,-1,1))</f>
        <v>-1</v>
      </c>
      <c r="G264">
        <f>Sistema!G264</f>
        <v>0</v>
      </c>
      <c r="H264" t="str">
        <f>IF(OR(R264="notify",R264=1),"visible",IF(OR(Sistema!F264=-1,Sistema!F264=0,ISNUMBER(SEARCH("PCK",E264))),"hidden",IF(P264&gt;0,"visible","hidden")))</f>
        <v>hidden</v>
      </c>
      <c r="I264" t="str">
        <f>IF(B264="simple",IF(P264&gt;0,"",IF(R264="notify",Info!C$2,"")),IF(B264="variable",IF(P264&gt;0,"",IF(R264="notify",Info!C$4,"")),""))</f>
        <v/>
      </c>
      <c r="J264" t="str">
        <f>IF(Sistema!J264="","",Sistema!J264)</f>
        <v/>
      </c>
      <c r="M264" t="str">
        <f>IF(Sistema!M264="","",Sistema!M264)</f>
        <v/>
      </c>
      <c r="N264" s="6" t="s">
        <v>1557</v>
      </c>
      <c r="O264" s="6">
        <v>1</v>
      </c>
      <c r="P264">
        <f>Sistema!P264</f>
        <v>0</v>
      </c>
      <c r="Q264">
        <f>Sistema!Q264</f>
        <v>0</v>
      </c>
      <c r="R264">
        <f>IF(Sistema!R264=1,"notify",Sistema!R264)</f>
        <v>0</v>
      </c>
      <c r="T264" t="str">
        <f>IF(Sistema!T264="","",Sistema!T264)</f>
        <v/>
      </c>
      <c r="U264" t="str">
        <f>IF(Sistema!U264="","",Sistema!U264)</f>
        <v/>
      </c>
      <c r="V264" t="str">
        <f>IF(Sistema!V264="","",Sistema!V264)</f>
        <v/>
      </c>
      <c r="W264" t="str">
        <f>IF(Sistema!W264="","",Sistema!W264)</f>
        <v/>
      </c>
      <c r="X264" s="6">
        <v>1</v>
      </c>
      <c r="Z264" t="str">
        <f>IF(Sistema!Z264="","",Sistema!Z264)</f>
        <v/>
      </c>
      <c r="AA264" t="str">
        <f>IF(Sistema!AA264="","",Sistema!AA264)</f>
        <v/>
      </c>
      <c r="AB264" t="str">
        <f>IF(Sistema!AB264="","",IF(OR(ISNUMBER(SEARCH("MKP",E264)),ISNUMBER(SEARCH("MKP",C264))),"Marketplace &gt; "&amp;Sistema!AB264,Sistema!AB264))</f>
        <v/>
      </c>
      <c r="AC264" t="str">
        <f>IF(Sistema!AC264="","",Sistema!AC264)</f>
        <v/>
      </c>
      <c r="AE264" t="str">
        <f>IF(Sistema!AE264="","",Sistema!AE264)</f>
        <v/>
      </c>
      <c r="AH264" t="str">
        <f>IF(Sistema!AH264="","",Sistema!AH264)</f>
        <v/>
      </c>
      <c r="AQ264" t="str">
        <f>IF(Sistema!AQ264="","",Sistema!AQ264)</f>
        <v/>
      </c>
      <c r="AR264" t="str">
        <f>IF(Sistema!AR264="","",Sistema!AR264)</f>
        <v/>
      </c>
      <c r="AS264" t="str">
        <f>IF(Sistema!AS264="","",Sistema!AS264)</f>
        <v/>
      </c>
      <c r="AT264" t="str">
        <f>IF(Sistema!AT264="","",Sistema!AT264)</f>
        <v/>
      </c>
      <c r="AU264" t="str">
        <f>IF(Sistema!AU264="","",Sistema!AU264)</f>
        <v/>
      </c>
      <c r="AV264" t="str">
        <f>IF(Sistema!AV264="","",Sistema!AV264)</f>
        <v/>
      </c>
      <c r="AW264" t="str">
        <f>IF(Sistema!AW264="","",Sistema!AW264)</f>
        <v/>
      </c>
      <c r="AX264" t="str">
        <f>IF(Sistema!AX264="","",Sistema!AX264)</f>
        <v/>
      </c>
      <c r="AY264" t="str">
        <f>IF(Sistema!AY264="","",Sistema!AY264)</f>
        <v/>
      </c>
      <c r="AZ264" t="str">
        <f>IF(Sistema!AZ264="","",Sistema!AZ264)</f>
        <v/>
      </c>
      <c r="BA264" t="str">
        <f>IF(Sistema!BA264="","",Sistema!BA264)</f>
        <v/>
      </c>
      <c r="BB264" t="str">
        <f>IF(Sistema!BB264="","",Sistema!BB264)</f>
        <v/>
      </c>
      <c r="BC264" t="str">
        <f>IF(Sistema!BC264="","",Sistema!BC264)</f>
        <v/>
      </c>
      <c r="BD264" t="str">
        <f>IF(Sistema!BD264="","",Sistema!BD264)</f>
        <v/>
      </c>
      <c r="BE264" t="str">
        <f>IF(Sistema!BE264="","",Sistema!BE264)</f>
        <v/>
      </c>
      <c r="BF264" t="str">
        <f>IF(Sistema!BF264="","",Sistema!BF264)</f>
        <v/>
      </c>
      <c r="BG264" t="str">
        <f>IF(Sistema!BG264="","",Sistema!BG264)</f>
        <v/>
      </c>
      <c r="BH264" t="str">
        <f>IF(Sistema!BH264="","",Sistema!BH264)</f>
        <v/>
      </c>
      <c r="BI264" t="str">
        <f>IF(Sistema!BI264="","",Sistema!BI264)</f>
        <v/>
      </c>
      <c r="BJ264" t="str">
        <f>IF(Sistema!BJ264="","",Sistema!BJ264)</f>
        <v/>
      </c>
      <c r="BK264" t="str">
        <f>IF(Sistema!BK264="","",Sistema!BK264)</f>
        <v/>
      </c>
      <c r="BL264" t="str">
        <f>IF(Sistema!BL264="","",Sistema!BL264)</f>
        <v/>
      </c>
      <c r="BM264" t="str">
        <f>IF(Sistema!BM264="","",Sistema!BM264)</f>
        <v/>
      </c>
      <c r="BN264" t="str">
        <f>IF(Sistema!BN264="","",Sistema!BN264)</f>
        <v/>
      </c>
      <c r="BO264" t="str">
        <f>IF(Sistema!BO264="","",Sistema!BO264)</f>
        <v/>
      </c>
      <c r="BP264" t="str">
        <f>IF(Sistema!BP264="","",Sistema!BP264)</f>
        <v/>
      </c>
      <c r="BQ264" t="str">
        <f>IF(Sistema!BQ264="","",Sistema!BQ264)</f>
        <v/>
      </c>
      <c r="BR264" t="str">
        <f>IF(Sistema!BR264="","",Sistema!BR264)</f>
        <v/>
      </c>
      <c r="BS264" t="str">
        <f>IF(Sistema!BS264="","",Sistema!BS264)</f>
        <v/>
      </c>
      <c r="BT264" t="str">
        <f>IF(Sistema!BT264="","",Sistema!BT264)</f>
        <v/>
      </c>
      <c r="BU264" t="str">
        <f>IF(Sistema!BU264="","",Sistema!BU264)</f>
        <v/>
      </c>
      <c r="BV264" t="str">
        <f>IF(Sistema!BV264="","",Sistema!BV264)</f>
        <v/>
      </c>
      <c r="BW264" t="str">
        <f>IF(Sistema!BW264="","",Sistema!BW264)</f>
        <v/>
      </c>
      <c r="BX264" t="str">
        <f>IF(Sistema!BX264="","",Sistema!BX264)</f>
        <v/>
      </c>
      <c r="BY264" t="str">
        <f>IF(Sistema!BY264="","",Sistema!BY264)</f>
        <v/>
      </c>
      <c r="BZ264" t="str">
        <f>IF(Sistema!BZ264="","",Sistema!BZ264)</f>
        <v/>
      </c>
      <c r="CA264" t="str">
        <f>IF(Sistema!CA264="","",Sistema!CA264)</f>
        <v/>
      </c>
      <c r="CB264" t="str">
        <f>IF(Sistema!CB264="","",Sistema!CB264)</f>
        <v/>
      </c>
      <c r="CC264" t="str">
        <f>IF(Sistema!CC264="","",Sistema!CC264)</f>
        <v/>
      </c>
      <c r="CD264" t="str">
        <f>IF(Sistema!CD264="","",Sistema!CD264)</f>
        <v/>
      </c>
    </row>
    <row r="265" spans="1:82" x14ac:dyDescent="0.25">
      <c r="A265" t="str">
        <f>IF(Sistema!A265="","",Sistema!A265)</f>
        <v/>
      </c>
      <c r="B265" t="str">
        <f>IF(Sistema!B265="","",Sistema!B265)</f>
        <v/>
      </c>
      <c r="C265" t="str">
        <f>IF(Sistema!C265="","",Sistema!C265)</f>
        <v/>
      </c>
      <c r="D265" t="str">
        <f>IF(Sistema!D265="","",Sistema!D265)</f>
        <v/>
      </c>
      <c r="E265" t="str">
        <f>IF(Sistema!E265="","",Sistema!E265)</f>
        <v/>
      </c>
      <c r="F265">
        <f>IF(P265&gt;0,1,IF(Sistema!F265=0,-1,1))</f>
        <v>-1</v>
      </c>
      <c r="G265">
        <f>Sistema!G265</f>
        <v>0</v>
      </c>
      <c r="H265" t="str">
        <f>IF(OR(R265="notify",R265=1),"visible",IF(OR(Sistema!F265=-1,Sistema!F265=0,ISNUMBER(SEARCH("PCK",E265))),"hidden",IF(P265&gt;0,"visible","hidden")))</f>
        <v>hidden</v>
      </c>
      <c r="I265" t="str">
        <f>IF(B265="simple",IF(P265&gt;0,"",IF(R265="notify",Info!C$2,"")),IF(B265="variable",IF(P265&gt;0,"",IF(R265="notify",Info!C$4,"")),""))</f>
        <v/>
      </c>
      <c r="J265" t="str">
        <f>IF(Sistema!J265="","",Sistema!J265)</f>
        <v/>
      </c>
      <c r="M265" t="str">
        <f>IF(Sistema!M265="","",Sistema!M265)</f>
        <v/>
      </c>
      <c r="N265" s="6" t="s">
        <v>1557</v>
      </c>
      <c r="O265" s="6">
        <v>1</v>
      </c>
      <c r="P265">
        <f>Sistema!P265</f>
        <v>0</v>
      </c>
      <c r="Q265">
        <f>Sistema!Q265</f>
        <v>0</v>
      </c>
      <c r="R265">
        <f>IF(Sistema!R265=1,"notify",Sistema!R265)</f>
        <v>0</v>
      </c>
      <c r="T265" t="str">
        <f>IF(Sistema!T265="","",Sistema!T265)</f>
        <v/>
      </c>
      <c r="U265" t="str">
        <f>IF(Sistema!U265="","",Sistema!U265)</f>
        <v/>
      </c>
      <c r="V265" t="str">
        <f>IF(Sistema!V265="","",Sistema!V265)</f>
        <v/>
      </c>
      <c r="W265" t="str">
        <f>IF(Sistema!W265="","",Sistema!W265)</f>
        <v/>
      </c>
      <c r="X265" s="6">
        <v>1</v>
      </c>
      <c r="Z265" t="str">
        <f>IF(Sistema!Z265="","",Sistema!Z265)</f>
        <v/>
      </c>
      <c r="AA265" t="str">
        <f>IF(Sistema!AA265="","",Sistema!AA265)</f>
        <v/>
      </c>
      <c r="AB265" t="str">
        <f>IF(Sistema!AB265="","",IF(OR(ISNUMBER(SEARCH("MKP",E265)),ISNUMBER(SEARCH("MKP",C265))),"Marketplace &gt; "&amp;Sistema!AB265,Sistema!AB265))</f>
        <v/>
      </c>
      <c r="AC265" t="str">
        <f>IF(Sistema!AC265="","",Sistema!AC265)</f>
        <v/>
      </c>
      <c r="AE265" t="str">
        <f>IF(Sistema!AE265="","",Sistema!AE265)</f>
        <v/>
      </c>
      <c r="AH265" t="str">
        <f>IF(Sistema!AH265="","",Sistema!AH265)</f>
        <v/>
      </c>
      <c r="AQ265" t="str">
        <f>IF(Sistema!AQ265="","",Sistema!AQ265)</f>
        <v/>
      </c>
      <c r="AR265" t="str">
        <f>IF(Sistema!AR265="","",Sistema!AR265)</f>
        <v/>
      </c>
      <c r="AS265" t="str">
        <f>IF(Sistema!AS265="","",Sistema!AS265)</f>
        <v/>
      </c>
      <c r="AT265" t="str">
        <f>IF(Sistema!AT265="","",Sistema!AT265)</f>
        <v/>
      </c>
      <c r="AU265" t="str">
        <f>IF(Sistema!AU265="","",Sistema!AU265)</f>
        <v/>
      </c>
      <c r="AV265" t="str">
        <f>IF(Sistema!AV265="","",Sistema!AV265)</f>
        <v/>
      </c>
      <c r="AW265" t="str">
        <f>IF(Sistema!AW265="","",Sistema!AW265)</f>
        <v/>
      </c>
      <c r="AX265" t="str">
        <f>IF(Sistema!AX265="","",Sistema!AX265)</f>
        <v/>
      </c>
      <c r="AY265" t="str">
        <f>IF(Sistema!AY265="","",Sistema!AY265)</f>
        <v/>
      </c>
      <c r="AZ265" t="str">
        <f>IF(Sistema!AZ265="","",Sistema!AZ265)</f>
        <v/>
      </c>
      <c r="BA265" t="str">
        <f>IF(Sistema!BA265="","",Sistema!BA265)</f>
        <v/>
      </c>
      <c r="BB265" t="str">
        <f>IF(Sistema!BB265="","",Sistema!BB265)</f>
        <v/>
      </c>
      <c r="BC265" t="str">
        <f>IF(Sistema!BC265="","",Sistema!BC265)</f>
        <v/>
      </c>
      <c r="BD265" t="str">
        <f>IF(Sistema!BD265="","",Sistema!BD265)</f>
        <v/>
      </c>
      <c r="BE265" t="str">
        <f>IF(Sistema!BE265="","",Sistema!BE265)</f>
        <v/>
      </c>
      <c r="BF265" t="str">
        <f>IF(Sistema!BF265="","",Sistema!BF265)</f>
        <v/>
      </c>
      <c r="BG265" t="str">
        <f>IF(Sistema!BG265="","",Sistema!BG265)</f>
        <v/>
      </c>
      <c r="BH265" t="str">
        <f>IF(Sistema!BH265="","",Sistema!BH265)</f>
        <v/>
      </c>
      <c r="BI265" t="str">
        <f>IF(Sistema!BI265="","",Sistema!BI265)</f>
        <v/>
      </c>
      <c r="BJ265" t="str">
        <f>IF(Sistema!BJ265="","",Sistema!BJ265)</f>
        <v/>
      </c>
      <c r="BK265" t="str">
        <f>IF(Sistema!BK265="","",Sistema!BK265)</f>
        <v/>
      </c>
      <c r="BL265" t="str">
        <f>IF(Sistema!BL265="","",Sistema!BL265)</f>
        <v/>
      </c>
      <c r="BM265" t="str">
        <f>IF(Sistema!BM265="","",Sistema!BM265)</f>
        <v/>
      </c>
      <c r="BN265" t="str">
        <f>IF(Sistema!BN265="","",Sistema!BN265)</f>
        <v/>
      </c>
      <c r="BO265" t="str">
        <f>IF(Sistema!BO265="","",Sistema!BO265)</f>
        <v/>
      </c>
      <c r="BP265" t="str">
        <f>IF(Sistema!BP265="","",Sistema!BP265)</f>
        <v/>
      </c>
      <c r="BQ265" t="str">
        <f>IF(Sistema!BQ265="","",Sistema!BQ265)</f>
        <v/>
      </c>
      <c r="BR265" t="str">
        <f>IF(Sistema!BR265="","",Sistema!BR265)</f>
        <v/>
      </c>
      <c r="BS265" t="str">
        <f>IF(Sistema!BS265="","",Sistema!BS265)</f>
        <v/>
      </c>
      <c r="BT265" t="str">
        <f>IF(Sistema!BT265="","",Sistema!BT265)</f>
        <v/>
      </c>
      <c r="BU265" t="str">
        <f>IF(Sistema!BU265="","",Sistema!BU265)</f>
        <v/>
      </c>
      <c r="BV265" t="str">
        <f>IF(Sistema!BV265="","",Sistema!BV265)</f>
        <v/>
      </c>
      <c r="BW265" t="str">
        <f>IF(Sistema!BW265="","",Sistema!BW265)</f>
        <v/>
      </c>
      <c r="BX265" t="str">
        <f>IF(Sistema!BX265="","",Sistema!BX265)</f>
        <v/>
      </c>
      <c r="BY265" t="str">
        <f>IF(Sistema!BY265="","",Sistema!BY265)</f>
        <v/>
      </c>
      <c r="BZ265" t="str">
        <f>IF(Sistema!BZ265="","",Sistema!BZ265)</f>
        <v/>
      </c>
      <c r="CA265" t="str">
        <f>IF(Sistema!CA265="","",Sistema!CA265)</f>
        <v/>
      </c>
      <c r="CB265" t="str">
        <f>IF(Sistema!CB265="","",Sistema!CB265)</f>
        <v/>
      </c>
      <c r="CC265" t="str">
        <f>IF(Sistema!CC265="","",Sistema!CC265)</f>
        <v/>
      </c>
      <c r="CD265" t="str">
        <f>IF(Sistema!CD265="","",Sistema!CD265)</f>
        <v/>
      </c>
    </row>
    <row r="266" spans="1:82" x14ac:dyDescent="0.25">
      <c r="A266" t="str">
        <f>IF(Sistema!A266="","",Sistema!A266)</f>
        <v/>
      </c>
      <c r="B266" t="str">
        <f>IF(Sistema!B266="","",Sistema!B266)</f>
        <v/>
      </c>
      <c r="C266" t="str">
        <f>IF(Sistema!C266="","",Sistema!C266)</f>
        <v/>
      </c>
      <c r="D266" t="str">
        <f>IF(Sistema!D266="","",Sistema!D266)</f>
        <v/>
      </c>
      <c r="E266" t="str">
        <f>IF(Sistema!E266="","",Sistema!E266)</f>
        <v/>
      </c>
      <c r="F266">
        <f>IF(P266&gt;0,1,IF(Sistema!F266=0,-1,1))</f>
        <v>-1</v>
      </c>
      <c r="G266">
        <f>Sistema!G266</f>
        <v>0</v>
      </c>
      <c r="H266" t="str">
        <f>IF(OR(R266="notify",R266=1),"visible",IF(OR(Sistema!F266=-1,Sistema!F266=0,ISNUMBER(SEARCH("PCK",E266))),"hidden",IF(P266&gt;0,"visible","hidden")))</f>
        <v>hidden</v>
      </c>
      <c r="I266" t="str">
        <f>IF(B266="simple",IF(P266&gt;0,"",IF(R266="notify",Info!C$2,"")),IF(B266="variable",IF(P266&gt;0,"",IF(R266="notify",Info!C$4,"")),""))</f>
        <v/>
      </c>
      <c r="J266" t="str">
        <f>IF(Sistema!J266="","",Sistema!J266)</f>
        <v/>
      </c>
      <c r="M266" t="str">
        <f>IF(Sistema!M266="","",Sistema!M266)</f>
        <v/>
      </c>
      <c r="N266" s="6" t="s">
        <v>1557</v>
      </c>
      <c r="O266" s="6">
        <v>1</v>
      </c>
      <c r="P266">
        <f>Sistema!P266</f>
        <v>0</v>
      </c>
      <c r="Q266">
        <f>Sistema!Q266</f>
        <v>0</v>
      </c>
      <c r="R266">
        <f>IF(Sistema!R266=1,"notify",Sistema!R266)</f>
        <v>0</v>
      </c>
      <c r="T266" t="str">
        <f>IF(Sistema!T266="","",Sistema!T266)</f>
        <v/>
      </c>
      <c r="U266" t="str">
        <f>IF(Sistema!U266="","",Sistema!U266)</f>
        <v/>
      </c>
      <c r="V266" t="str">
        <f>IF(Sistema!V266="","",Sistema!V266)</f>
        <v/>
      </c>
      <c r="W266" t="str">
        <f>IF(Sistema!W266="","",Sistema!W266)</f>
        <v/>
      </c>
      <c r="X266" s="6">
        <v>1</v>
      </c>
      <c r="Z266" t="str">
        <f>IF(Sistema!Z266="","",Sistema!Z266)</f>
        <v/>
      </c>
      <c r="AA266" t="str">
        <f>IF(Sistema!AA266="","",Sistema!AA266)</f>
        <v/>
      </c>
      <c r="AB266" t="str">
        <f>IF(Sistema!AB266="","",IF(OR(ISNUMBER(SEARCH("MKP",E266)),ISNUMBER(SEARCH("MKP",C266))),"Marketplace &gt; "&amp;Sistema!AB266,Sistema!AB266))</f>
        <v/>
      </c>
      <c r="AC266" t="str">
        <f>IF(Sistema!AC266="","",Sistema!AC266)</f>
        <v/>
      </c>
      <c r="AE266" t="str">
        <f>IF(Sistema!AE266="","",Sistema!AE266)</f>
        <v/>
      </c>
      <c r="AH266" t="str">
        <f>IF(Sistema!AH266="","",Sistema!AH266)</f>
        <v/>
      </c>
      <c r="AQ266" t="str">
        <f>IF(Sistema!AQ266="","",Sistema!AQ266)</f>
        <v/>
      </c>
      <c r="AR266" t="str">
        <f>IF(Sistema!AR266="","",Sistema!AR266)</f>
        <v/>
      </c>
      <c r="AS266" t="str">
        <f>IF(Sistema!AS266="","",Sistema!AS266)</f>
        <v/>
      </c>
      <c r="AT266" t="str">
        <f>IF(Sistema!AT266="","",Sistema!AT266)</f>
        <v/>
      </c>
      <c r="AU266" t="str">
        <f>IF(Sistema!AU266="","",Sistema!AU266)</f>
        <v/>
      </c>
      <c r="AV266" t="str">
        <f>IF(Sistema!AV266="","",Sistema!AV266)</f>
        <v/>
      </c>
      <c r="AW266" t="str">
        <f>IF(Sistema!AW266="","",Sistema!AW266)</f>
        <v/>
      </c>
      <c r="AX266" t="str">
        <f>IF(Sistema!AX266="","",Sistema!AX266)</f>
        <v/>
      </c>
      <c r="AY266" t="str">
        <f>IF(Sistema!AY266="","",Sistema!AY266)</f>
        <v/>
      </c>
      <c r="AZ266" t="str">
        <f>IF(Sistema!AZ266="","",Sistema!AZ266)</f>
        <v/>
      </c>
      <c r="BA266" t="str">
        <f>IF(Sistema!BA266="","",Sistema!BA266)</f>
        <v/>
      </c>
      <c r="BB266" t="str">
        <f>IF(Sistema!BB266="","",Sistema!BB266)</f>
        <v/>
      </c>
      <c r="BC266" t="str">
        <f>IF(Sistema!BC266="","",Sistema!BC266)</f>
        <v/>
      </c>
      <c r="BD266" t="str">
        <f>IF(Sistema!BD266="","",Sistema!BD266)</f>
        <v/>
      </c>
      <c r="BE266" t="str">
        <f>IF(Sistema!BE266="","",Sistema!BE266)</f>
        <v/>
      </c>
      <c r="BF266" t="str">
        <f>IF(Sistema!BF266="","",Sistema!BF266)</f>
        <v/>
      </c>
      <c r="BG266" t="str">
        <f>IF(Sistema!BG266="","",Sistema!BG266)</f>
        <v/>
      </c>
      <c r="BH266" t="str">
        <f>IF(Sistema!BH266="","",Sistema!BH266)</f>
        <v/>
      </c>
      <c r="BI266" t="str">
        <f>IF(Sistema!BI266="","",Sistema!BI266)</f>
        <v/>
      </c>
      <c r="BJ266" t="str">
        <f>IF(Sistema!BJ266="","",Sistema!BJ266)</f>
        <v/>
      </c>
      <c r="BK266" t="str">
        <f>IF(Sistema!BK266="","",Sistema!BK266)</f>
        <v/>
      </c>
      <c r="BL266" t="str">
        <f>IF(Sistema!BL266="","",Sistema!BL266)</f>
        <v/>
      </c>
      <c r="BM266" t="str">
        <f>IF(Sistema!BM266="","",Sistema!BM266)</f>
        <v/>
      </c>
      <c r="BN266" t="str">
        <f>IF(Sistema!BN266="","",Sistema!BN266)</f>
        <v/>
      </c>
      <c r="BO266" t="str">
        <f>IF(Sistema!BO266="","",Sistema!BO266)</f>
        <v/>
      </c>
      <c r="BP266" t="str">
        <f>IF(Sistema!BP266="","",Sistema!BP266)</f>
        <v/>
      </c>
      <c r="BQ266" t="str">
        <f>IF(Sistema!BQ266="","",Sistema!BQ266)</f>
        <v/>
      </c>
      <c r="BR266" t="str">
        <f>IF(Sistema!BR266="","",Sistema!BR266)</f>
        <v/>
      </c>
      <c r="BS266" t="str">
        <f>IF(Sistema!BS266="","",Sistema!BS266)</f>
        <v/>
      </c>
      <c r="BT266" t="str">
        <f>IF(Sistema!BT266="","",Sistema!BT266)</f>
        <v/>
      </c>
      <c r="BU266" t="str">
        <f>IF(Sistema!BU266="","",Sistema!BU266)</f>
        <v/>
      </c>
      <c r="BV266" t="str">
        <f>IF(Sistema!BV266="","",Sistema!BV266)</f>
        <v/>
      </c>
      <c r="BW266" t="str">
        <f>IF(Sistema!BW266="","",Sistema!BW266)</f>
        <v/>
      </c>
      <c r="BX266" t="str">
        <f>IF(Sistema!BX266="","",Sistema!BX266)</f>
        <v/>
      </c>
      <c r="BY266" t="str">
        <f>IF(Sistema!BY266="","",Sistema!BY266)</f>
        <v/>
      </c>
      <c r="BZ266" t="str">
        <f>IF(Sistema!BZ266="","",Sistema!BZ266)</f>
        <v/>
      </c>
      <c r="CA266" t="str">
        <f>IF(Sistema!CA266="","",Sistema!CA266)</f>
        <v/>
      </c>
      <c r="CB266" t="str">
        <f>IF(Sistema!CB266="","",Sistema!CB266)</f>
        <v/>
      </c>
      <c r="CC266" t="str">
        <f>IF(Sistema!CC266="","",Sistema!CC266)</f>
        <v/>
      </c>
      <c r="CD266" t="str">
        <f>IF(Sistema!CD266="","",Sistema!CD266)</f>
        <v/>
      </c>
    </row>
    <row r="267" spans="1:82" x14ac:dyDescent="0.25">
      <c r="A267" t="str">
        <f>IF(Sistema!A267="","",Sistema!A267)</f>
        <v/>
      </c>
      <c r="B267" t="str">
        <f>IF(Sistema!B267="","",Sistema!B267)</f>
        <v/>
      </c>
      <c r="C267" t="str">
        <f>IF(Sistema!C267="","",Sistema!C267)</f>
        <v/>
      </c>
      <c r="D267" t="str">
        <f>IF(Sistema!D267="","",Sistema!D267)</f>
        <v/>
      </c>
      <c r="E267" t="str">
        <f>IF(Sistema!E267="","",Sistema!E267)</f>
        <v/>
      </c>
      <c r="F267">
        <f>IF(P267&gt;0,1,IF(Sistema!F267=0,-1,1))</f>
        <v>-1</v>
      </c>
      <c r="G267">
        <f>Sistema!G267</f>
        <v>0</v>
      </c>
      <c r="H267" t="str">
        <f>IF(OR(R267="notify",R267=1),"visible",IF(OR(Sistema!F267=-1,Sistema!F267=0,ISNUMBER(SEARCH("PCK",E267))),"hidden",IF(P267&gt;0,"visible","hidden")))</f>
        <v>hidden</v>
      </c>
      <c r="I267" t="str">
        <f>IF(B267="simple",IF(P267&gt;0,"",IF(R267="notify",Info!C$2,"")),IF(B267="variable",IF(P267&gt;0,"",IF(R267="notify",Info!C$4,"")),""))</f>
        <v/>
      </c>
      <c r="J267" t="str">
        <f>IF(Sistema!J267="","",Sistema!J267)</f>
        <v/>
      </c>
      <c r="M267" t="str">
        <f>IF(Sistema!M267="","",Sistema!M267)</f>
        <v/>
      </c>
      <c r="N267" s="6" t="s">
        <v>1557</v>
      </c>
      <c r="O267" s="6">
        <v>1</v>
      </c>
      <c r="P267">
        <f>Sistema!P267</f>
        <v>0</v>
      </c>
      <c r="Q267">
        <f>Sistema!Q267</f>
        <v>0</v>
      </c>
      <c r="R267">
        <f>IF(Sistema!R267=1,"notify",Sistema!R267)</f>
        <v>0</v>
      </c>
      <c r="T267" t="str">
        <f>IF(Sistema!T267="","",Sistema!T267)</f>
        <v/>
      </c>
      <c r="U267" t="str">
        <f>IF(Sistema!U267="","",Sistema!U267)</f>
        <v/>
      </c>
      <c r="V267" t="str">
        <f>IF(Sistema!V267="","",Sistema!V267)</f>
        <v/>
      </c>
      <c r="W267" t="str">
        <f>IF(Sistema!W267="","",Sistema!W267)</f>
        <v/>
      </c>
      <c r="X267" s="6">
        <v>1</v>
      </c>
      <c r="Z267" t="str">
        <f>IF(Sistema!Z267="","",Sistema!Z267)</f>
        <v/>
      </c>
      <c r="AA267" t="str">
        <f>IF(Sistema!AA267="","",Sistema!AA267)</f>
        <v/>
      </c>
      <c r="AB267" t="str">
        <f>IF(Sistema!AB267="","",IF(OR(ISNUMBER(SEARCH("MKP",E267)),ISNUMBER(SEARCH("MKP",C267))),"Marketplace &gt; "&amp;Sistema!AB267,Sistema!AB267))</f>
        <v/>
      </c>
      <c r="AC267" t="str">
        <f>IF(Sistema!AC267="","",Sistema!AC267)</f>
        <v/>
      </c>
      <c r="AE267" t="str">
        <f>IF(Sistema!AE267="","",Sistema!AE267)</f>
        <v/>
      </c>
      <c r="AH267" t="str">
        <f>IF(Sistema!AH267="","",Sistema!AH267)</f>
        <v/>
      </c>
      <c r="AQ267" t="str">
        <f>IF(Sistema!AQ267="","",Sistema!AQ267)</f>
        <v/>
      </c>
      <c r="AR267" t="str">
        <f>IF(Sistema!AR267="","",Sistema!AR267)</f>
        <v/>
      </c>
      <c r="AS267" t="str">
        <f>IF(Sistema!AS267="","",Sistema!AS267)</f>
        <v/>
      </c>
      <c r="AT267" t="str">
        <f>IF(Sistema!AT267="","",Sistema!AT267)</f>
        <v/>
      </c>
      <c r="AU267" t="str">
        <f>IF(Sistema!AU267="","",Sistema!AU267)</f>
        <v/>
      </c>
      <c r="AV267" t="str">
        <f>IF(Sistema!AV267="","",Sistema!AV267)</f>
        <v/>
      </c>
      <c r="AW267" t="str">
        <f>IF(Sistema!AW267="","",Sistema!AW267)</f>
        <v/>
      </c>
      <c r="AX267" t="str">
        <f>IF(Sistema!AX267="","",Sistema!AX267)</f>
        <v/>
      </c>
      <c r="AY267" t="str">
        <f>IF(Sistema!AY267="","",Sistema!AY267)</f>
        <v/>
      </c>
      <c r="AZ267" t="str">
        <f>IF(Sistema!AZ267="","",Sistema!AZ267)</f>
        <v/>
      </c>
      <c r="BA267" t="str">
        <f>IF(Sistema!BA267="","",Sistema!BA267)</f>
        <v/>
      </c>
      <c r="BB267" t="str">
        <f>IF(Sistema!BB267="","",Sistema!BB267)</f>
        <v/>
      </c>
      <c r="BC267" t="str">
        <f>IF(Sistema!BC267="","",Sistema!BC267)</f>
        <v/>
      </c>
      <c r="BD267" t="str">
        <f>IF(Sistema!BD267="","",Sistema!BD267)</f>
        <v/>
      </c>
      <c r="BE267" t="str">
        <f>IF(Sistema!BE267="","",Sistema!BE267)</f>
        <v/>
      </c>
      <c r="BF267" t="str">
        <f>IF(Sistema!BF267="","",Sistema!BF267)</f>
        <v/>
      </c>
      <c r="BG267" t="str">
        <f>IF(Sistema!BG267="","",Sistema!BG267)</f>
        <v/>
      </c>
      <c r="BH267" t="str">
        <f>IF(Sistema!BH267="","",Sistema!BH267)</f>
        <v/>
      </c>
      <c r="BI267" t="str">
        <f>IF(Sistema!BI267="","",Sistema!BI267)</f>
        <v/>
      </c>
      <c r="BJ267" t="str">
        <f>IF(Sistema!BJ267="","",Sistema!BJ267)</f>
        <v/>
      </c>
      <c r="BK267" t="str">
        <f>IF(Sistema!BK267="","",Sistema!BK267)</f>
        <v/>
      </c>
      <c r="BL267" t="str">
        <f>IF(Sistema!BL267="","",Sistema!BL267)</f>
        <v/>
      </c>
      <c r="BM267" t="str">
        <f>IF(Sistema!BM267="","",Sistema!BM267)</f>
        <v/>
      </c>
      <c r="BN267" t="str">
        <f>IF(Sistema!BN267="","",Sistema!BN267)</f>
        <v/>
      </c>
      <c r="BO267" t="str">
        <f>IF(Sistema!BO267="","",Sistema!BO267)</f>
        <v/>
      </c>
      <c r="BP267" t="str">
        <f>IF(Sistema!BP267="","",Sistema!BP267)</f>
        <v/>
      </c>
      <c r="BQ267" t="str">
        <f>IF(Sistema!BQ267="","",Sistema!BQ267)</f>
        <v/>
      </c>
      <c r="BR267" t="str">
        <f>IF(Sistema!BR267="","",Sistema!BR267)</f>
        <v/>
      </c>
      <c r="BS267" t="str">
        <f>IF(Sistema!BS267="","",Sistema!BS267)</f>
        <v/>
      </c>
      <c r="BT267" t="str">
        <f>IF(Sistema!BT267="","",Sistema!BT267)</f>
        <v/>
      </c>
      <c r="BU267" t="str">
        <f>IF(Sistema!BU267="","",Sistema!BU267)</f>
        <v/>
      </c>
      <c r="BV267" t="str">
        <f>IF(Sistema!BV267="","",Sistema!BV267)</f>
        <v/>
      </c>
      <c r="BW267" t="str">
        <f>IF(Sistema!BW267="","",Sistema!BW267)</f>
        <v/>
      </c>
      <c r="BX267" t="str">
        <f>IF(Sistema!BX267="","",Sistema!BX267)</f>
        <v/>
      </c>
      <c r="BY267" t="str">
        <f>IF(Sistema!BY267="","",Sistema!BY267)</f>
        <v/>
      </c>
      <c r="BZ267" t="str">
        <f>IF(Sistema!BZ267="","",Sistema!BZ267)</f>
        <v/>
      </c>
      <c r="CA267" t="str">
        <f>IF(Sistema!CA267="","",Sistema!CA267)</f>
        <v/>
      </c>
      <c r="CB267" t="str">
        <f>IF(Sistema!CB267="","",Sistema!CB267)</f>
        <v/>
      </c>
      <c r="CC267" t="str">
        <f>IF(Sistema!CC267="","",Sistema!CC267)</f>
        <v/>
      </c>
      <c r="CD267" t="str">
        <f>IF(Sistema!CD267="","",Sistema!CD267)</f>
        <v/>
      </c>
    </row>
    <row r="268" spans="1:82" x14ac:dyDescent="0.25">
      <c r="A268" t="str">
        <f>IF(Sistema!A268="","",Sistema!A268)</f>
        <v/>
      </c>
      <c r="B268" t="str">
        <f>IF(Sistema!B268="","",Sistema!B268)</f>
        <v/>
      </c>
      <c r="C268" t="str">
        <f>IF(Sistema!C268="","",Sistema!C268)</f>
        <v/>
      </c>
      <c r="D268" t="str">
        <f>IF(Sistema!D268="","",Sistema!D268)</f>
        <v/>
      </c>
      <c r="E268" t="str">
        <f>IF(Sistema!E268="","",Sistema!E268)</f>
        <v/>
      </c>
      <c r="F268">
        <f>IF(P268&gt;0,1,IF(Sistema!F268=0,-1,1))</f>
        <v>-1</v>
      </c>
      <c r="G268">
        <f>Sistema!G268</f>
        <v>0</v>
      </c>
      <c r="H268" t="str">
        <f>IF(OR(R268="notify",R268=1),"visible",IF(OR(Sistema!F268=-1,Sistema!F268=0,ISNUMBER(SEARCH("PCK",E268))),"hidden",IF(P268&gt;0,"visible","hidden")))</f>
        <v>hidden</v>
      </c>
      <c r="I268" t="str">
        <f>IF(B268="simple",IF(P268&gt;0,"",IF(R268="notify",Info!C$2,"")),IF(B268="variable",IF(P268&gt;0,"",IF(R268="notify",Info!C$4,"")),""))</f>
        <v/>
      </c>
      <c r="J268" t="str">
        <f>IF(Sistema!J268="","",Sistema!J268)</f>
        <v/>
      </c>
      <c r="M268" t="str">
        <f>IF(Sistema!M268="","",Sistema!M268)</f>
        <v/>
      </c>
      <c r="N268" s="6" t="s">
        <v>1557</v>
      </c>
      <c r="O268" s="6">
        <v>1</v>
      </c>
      <c r="P268">
        <f>Sistema!P268</f>
        <v>0</v>
      </c>
      <c r="Q268">
        <f>Sistema!Q268</f>
        <v>0</v>
      </c>
      <c r="R268">
        <f>IF(Sistema!R268=1,"notify",Sistema!R268)</f>
        <v>0</v>
      </c>
      <c r="T268" t="str">
        <f>IF(Sistema!T268="","",Sistema!T268)</f>
        <v/>
      </c>
      <c r="U268" t="str">
        <f>IF(Sistema!U268="","",Sistema!U268)</f>
        <v/>
      </c>
      <c r="V268" t="str">
        <f>IF(Sistema!V268="","",Sistema!V268)</f>
        <v/>
      </c>
      <c r="W268" t="str">
        <f>IF(Sistema!W268="","",Sistema!W268)</f>
        <v/>
      </c>
      <c r="X268" s="6">
        <v>1</v>
      </c>
      <c r="Z268" t="str">
        <f>IF(Sistema!Z268="","",Sistema!Z268)</f>
        <v/>
      </c>
      <c r="AA268" t="str">
        <f>IF(Sistema!AA268="","",Sistema!AA268)</f>
        <v/>
      </c>
      <c r="AB268" t="str">
        <f>IF(Sistema!AB268="","",IF(OR(ISNUMBER(SEARCH("MKP",E268)),ISNUMBER(SEARCH("MKP",C268))),"Marketplace &gt; "&amp;Sistema!AB268,Sistema!AB268))</f>
        <v/>
      </c>
      <c r="AC268" t="str">
        <f>IF(Sistema!AC268="","",Sistema!AC268)</f>
        <v/>
      </c>
      <c r="AE268" t="str">
        <f>IF(Sistema!AE268="","",Sistema!AE268)</f>
        <v/>
      </c>
      <c r="AH268" t="str">
        <f>IF(Sistema!AH268="","",Sistema!AH268)</f>
        <v/>
      </c>
      <c r="AQ268" t="str">
        <f>IF(Sistema!AQ268="","",Sistema!AQ268)</f>
        <v/>
      </c>
      <c r="AR268" t="str">
        <f>IF(Sistema!AR268="","",Sistema!AR268)</f>
        <v/>
      </c>
      <c r="AS268" t="str">
        <f>IF(Sistema!AS268="","",Sistema!AS268)</f>
        <v/>
      </c>
      <c r="AT268" t="str">
        <f>IF(Sistema!AT268="","",Sistema!AT268)</f>
        <v/>
      </c>
      <c r="AU268" t="str">
        <f>IF(Sistema!AU268="","",Sistema!AU268)</f>
        <v/>
      </c>
      <c r="AV268" t="str">
        <f>IF(Sistema!AV268="","",Sistema!AV268)</f>
        <v/>
      </c>
      <c r="AW268" t="str">
        <f>IF(Sistema!AW268="","",Sistema!AW268)</f>
        <v/>
      </c>
      <c r="AX268" t="str">
        <f>IF(Sistema!AX268="","",Sistema!AX268)</f>
        <v/>
      </c>
      <c r="AY268" t="str">
        <f>IF(Sistema!AY268="","",Sistema!AY268)</f>
        <v/>
      </c>
      <c r="AZ268" t="str">
        <f>IF(Sistema!AZ268="","",Sistema!AZ268)</f>
        <v/>
      </c>
      <c r="BA268" t="str">
        <f>IF(Sistema!BA268="","",Sistema!BA268)</f>
        <v/>
      </c>
      <c r="BB268" t="str">
        <f>IF(Sistema!BB268="","",Sistema!BB268)</f>
        <v/>
      </c>
      <c r="BC268" t="str">
        <f>IF(Sistema!BC268="","",Sistema!BC268)</f>
        <v/>
      </c>
      <c r="BD268" t="str">
        <f>IF(Sistema!BD268="","",Sistema!BD268)</f>
        <v/>
      </c>
      <c r="BE268" t="str">
        <f>IF(Sistema!BE268="","",Sistema!BE268)</f>
        <v/>
      </c>
      <c r="BF268" t="str">
        <f>IF(Sistema!BF268="","",Sistema!BF268)</f>
        <v/>
      </c>
      <c r="BG268" t="str">
        <f>IF(Sistema!BG268="","",Sistema!BG268)</f>
        <v/>
      </c>
      <c r="BH268" t="str">
        <f>IF(Sistema!BH268="","",Sistema!BH268)</f>
        <v/>
      </c>
      <c r="BI268" t="str">
        <f>IF(Sistema!BI268="","",Sistema!BI268)</f>
        <v/>
      </c>
      <c r="BJ268" t="str">
        <f>IF(Sistema!BJ268="","",Sistema!BJ268)</f>
        <v/>
      </c>
      <c r="BK268" t="str">
        <f>IF(Sistema!BK268="","",Sistema!BK268)</f>
        <v/>
      </c>
      <c r="BL268" t="str">
        <f>IF(Sistema!BL268="","",Sistema!BL268)</f>
        <v/>
      </c>
      <c r="BM268" t="str">
        <f>IF(Sistema!BM268="","",Sistema!BM268)</f>
        <v/>
      </c>
      <c r="BN268" t="str">
        <f>IF(Sistema!BN268="","",Sistema!BN268)</f>
        <v/>
      </c>
      <c r="BO268" t="str">
        <f>IF(Sistema!BO268="","",Sistema!BO268)</f>
        <v/>
      </c>
      <c r="BP268" t="str">
        <f>IF(Sistema!BP268="","",Sistema!BP268)</f>
        <v/>
      </c>
      <c r="BQ268" t="str">
        <f>IF(Sistema!BQ268="","",Sistema!BQ268)</f>
        <v/>
      </c>
      <c r="BR268" t="str">
        <f>IF(Sistema!BR268="","",Sistema!BR268)</f>
        <v/>
      </c>
      <c r="BS268" t="str">
        <f>IF(Sistema!BS268="","",Sistema!BS268)</f>
        <v/>
      </c>
      <c r="BT268" t="str">
        <f>IF(Sistema!BT268="","",Sistema!BT268)</f>
        <v/>
      </c>
      <c r="BU268" t="str">
        <f>IF(Sistema!BU268="","",Sistema!BU268)</f>
        <v/>
      </c>
      <c r="BV268" t="str">
        <f>IF(Sistema!BV268="","",Sistema!BV268)</f>
        <v/>
      </c>
      <c r="BW268" t="str">
        <f>IF(Sistema!BW268="","",Sistema!BW268)</f>
        <v/>
      </c>
      <c r="BX268" t="str">
        <f>IF(Sistema!BX268="","",Sistema!BX268)</f>
        <v/>
      </c>
      <c r="BY268" t="str">
        <f>IF(Sistema!BY268="","",Sistema!BY268)</f>
        <v/>
      </c>
      <c r="BZ268" t="str">
        <f>IF(Sistema!BZ268="","",Sistema!BZ268)</f>
        <v/>
      </c>
      <c r="CA268" t="str">
        <f>IF(Sistema!CA268="","",Sistema!CA268)</f>
        <v/>
      </c>
      <c r="CB268" t="str">
        <f>IF(Sistema!CB268="","",Sistema!CB268)</f>
        <v/>
      </c>
      <c r="CC268" t="str">
        <f>IF(Sistema!CC268="","",Sistema!CC268)</f>
        <v/>
      </c>
      <c r="CD268" t="str">
        <f>IF(Sistema!CD268="","",Sistema!CD268)</f>
        <v/>
      </c>
    </row>
    <row r="269" spans="1:82" x14ac:dyDescent="0.25">
      <c r="A269" t="str">
        <f>IF(Sistema!A269="","",Sistema!A269)</f>
        <v/>
      </c>
      <c r="B269" t="str">
        <f>IF(Sistema!B269="","",Sistema!B269)</f>
        <v/>
      </c>
      <c r="C269" t="str">
        <f>IF(Sistema!C269="","",Sistema!C269)</f>
        <v/>
      </c>
      <c r="D269" t="str">
        <f>IF(Sistema!D269="","",Sistema!D269)</f>
        <v/>
      </c>
      <c r="E269" t="str">
        <f>IF(Sistema!E269="","",Sistema!E269)</f>
        <v/>
      </c>
      <c r="F269">
        <f>IF(P269&gt;0,1,IF(Sistema!F269=0,-1,1))</f>
        <v>-1</v>
      </c>
      <c r="G269">
        <f>Sistema!G269</f>
        <v>0</v>
      </c>
      <c r="H269" t="str">
        <f>IF(OR(R269="notify",R269=1),"visible",IF(OR(Sistema!F269=-1,Sistema!F269=0,ISNUMBER(SEARCH("PCK",E269))),"hidden",IF(P269&gt;0,"visible","hidden")))</f>
        <v>hidden</v>
      </c>
      <c r="I269" t="str">
        <f>IF(B269="simple",IF(P269&gt;0,"",IF(R269="notify",Info!C$2,"")),IF(B269="variable",IF(P269&gt;0,"",IF(R269="notify",Info!C$4,"")),""))</f>
        <v/>
      </c>
      <c r="J269" t="str">
        <f>IF(Sistema!J269="","",Sistema!J269)</f>
        <v/>
      </c>
      <c r="M269" t="str">
        <f>IF(Sistema!M269="","",Sistema!M269)</f>
        <v/>
      </c>
      <c r="N269" s="6" t="s">
        <v>1557</v>
      </c>
      <c r="O269" s="6">
        <v>1</v>
      </c>
      <c r="P269">
        <f>Sistema!P269</f>
        <v>0</v>
      </c>
      <c r="Q269">
        <f>Sistema!Q269</f>
        <v>0</v>
      </c>
      <c r="R269">
        <f>IF(Sistema!R269=1,"notify",Sistema!R269)</f>
        <v>0</v>
      </c>
      <c r="T269" t="str">
        <f>IF(Sistema!T269="","",Sistema!T269)</f>
        <v/>
      </c>
      <c r="U269" t="str">
        <f>IF(Sistema!U269="","",Sistema!U269)</f>
        <v/>
      </c>
      <c r="V269" t="str">
        <f>IF(Sistema!V269="","",Sistema!V269)</f>
        <v/>
      </c>
      <c r="W269" t="str">
        <f>IF(Sistema!W269="","",Sistema!W269)</f>
        <v/>
      </c>
      <c r="X269" s="6">
        <v>1</v>
      </c>
      <c r="Z269" t="str">
        <f>IF(Sistema!Z269="","",Sistema!Z269)</f>
        <v/>
      </c>
      <c r="AA269" t="str">
        <f>IF(Sistema!AA269="","",Sistema!AA269)</f>
        <v/>
      </c>
      <c r="AB269" t="str">
        <f>IF(Sistema!AB269="","",IF(OR(ISNUMBER(SEARCH("MKP",E269)),ISNUMBER(SEARCH("MKP",C269))),"Marketplace &gt; "&amp;Sistema!AB269,Sistema!AB269))</f>
        <v/>
      </c>
      <c r="AC269" t="str">
        <f>IF(Sistema!AC269="","",Sistema!AC269)</f>
        <v/>
      </c>
      <c r="AE269" t="str">
        <f>IF(Sistema!AE269="","",Sistema!AE269)</f>
        <v/>
      </c>
      <c r="AH269" t="str">
        <f>IF(Sistema!AH269="","",Sistema!AH269)</f>
        <v/>
      </c>
      <c r="AQ269" t="str">
        <f>IF(Sistema!AQ269="","",Sistema!AQ269)</f>
        <v/>
      </c>
      <c r="AR269" t="str">
        <f>IF(Sistema!AR269="","",Sistema!AR269)</f>
        <v/>
      </c>
      <c r="AS269" t="str">
        <f>IF(Sistema!AS269="","",Sistema!AS269)</f>
        <v/>
      </c>
      <c r="AT269" t="str">
        <f>IF(Sistema!AT269="","",Sistema!AT269)</f>
        <v/>
      </c>
      <c r="AU269" t="str">
        <f>IF(Sistema!AU269="","",Sistema!AU269)</f>
        <v/>
      </c>
      <c r="AV269" t="str">
        <f>IF(Sistema!AV269="","",Sistema!AV269)</f>
        <v/>
      </c>
      <c r="AW269" t="str">
        <f>IF(Sistema!AW269="","",Sistema!AW269)</f>
        <v/>
      </c>
      <c r="AX269" t="str">
        <f>IF(Sistema!AX269="","",Sistema!AX269)</f>
        <v/>
      </c>
      <c r="AY269" t="str">
        <f>IF(Sistema!AY269="","",Sistema!AY269)</f>
        <v/>
      </c>
      <c r="AZ269" t="str">
        <f>IF(Sistema!AZ269="","",Sistema!AZ269)</f>
        <v/>
      </c>
      <c r="BA269" t="str">
        <f>IF(Sistema!BA269="","",Sistema!BA269)</f>
        <v/>
      </c>
      <c r="BB269" t="str">
        <f>IF(Sistema!BB269="","",Sistema!BB269)</f>
        <v/>
      </c>
      <c r="BC269" t="str">
        <f>IF(Sistema!BC269="","",Sistema!BC269)</f>
        <v/>
      </c>
      <c r="BD269" t="str">
        <f>IF(Sistema!BD269="","",Sistema!BD269)</f>
        <v/>
      </c>
      <c r="BE269" t="str">
        <f>IF(Sistema!BE269="","",Sistema!BE269)</f>
        <v/>
      </c>
      <c r="BF269" t="str">
        <f>IF(Sistema!BF269="","",Sistema!BF269)</f>
        <v/>
      </c>
      <c r="BG269" t="str">
        <f>IF(Sistema!BG269="","",Sistema!BG269)</f>
        <v/>
      </c>
      <c r="BH269" t="str">
        <f>IF(Sistema!BH269="","",Sistema!BH269)</f>
        <v/>
      </c>
      <c r="BI269" t="str">
        <f>IF(Sistema!BI269="","",Sistema!BI269)</f>
        <v/>
      </c>
      <c r="BJ269" t="str">
        <f>IF(Sistema!BJ269="","",Sistema!BJ269)</f>
        <v/>
      </c>
      <c r="BK269" t="str">
        <f>IF(Sistema!BK269="","",Sistema!BK269)</f>
        <v/>
      </c>
      <c r="BL269" t="str">
        <f>IF(Sistema!BL269="","",Sistema!BL269)</f>
        <v/>
      </c>
      <c r="BM269" t="str">
        <f>IF(Sistema!BM269="","",Sistema!BM269)</f>
        <v/>
      </c>
      <c r="BN269" t="str">
        <f>IF(Sistema!BN269="","",Sistema!BN269)</f>
        <v/>
      </c>
      <c r="BO269" t="str">
        <f>IF(Sistema!BO269="","",Sistema!BO269)</f>
        <v/>
      </c>
      <c r="BP269" t="str">
        <f>IF(Sistema!BP269="","",Sistema!BP269)</f>
        <v/>
      </c>
      <c r="BQ269" t="str">
        <f>IF(Sistema!BQ269="","",Sistema!BQ269)</f>
        <v/>
      </c>
      <c r="BR269" t="str">
        <f>IF(Sistema!BR269="","",Sistema!BR269)</f>
        <v/>
      </c>
      <c r="BS269" t="str">
        <f>IF(Sistema!BS269="","",Sistema!BS269)</f>
        <v/>
      </c>
      <c r="BT269" t="str">
        <f>IF(Sistema!BT269="","",Sistema!BT269)</f>
        <v/>
      </c>
      <c r="BU269" t="str">
        <f>IF(Sistema!BU269="","",Sistema!BU269)</f>
        <v/>
      </c>
      <c r="BV269" t="str">
        <f>IF(Sistema!BV269="","",Sistema!BV269)</f>
        <v/>
      </c>
      <c r="BW269" t="str">
        <f>IF(Sistema!BW269="","",Sistema!BW269)</f>
        <v/>
      </c>
      <c r="BX269" t="str">
        <f>IF(Sistema!BX269="","",Sistema!BX269)</f>
        <v/>
      </c>
      <c r="BY269" t="str">
        <f>IF(Sistema!BY269="","",Sistema!BY269)</f>
        <v/>
      </c>
      <c r="BZ269" t="str">
        <f>IF(Sistema!BZ269="","",Sistema!BZ269)</f>
        <v/>
      </c>
      <c r="CA269" t="str">
        <f>IF(Sistema!CA269="","",Sistema!CA269)</f>
        <v/>
      </c>
      <c r="CB269" t="str">
        <f>IF(Sistema!CB269="","",Sistema!CB269)</f>
        <v/>
      </c>
      <c r="CC269" t="str">
        <f>IF(Sistema!CC269="","",Sistema!CC269)</f>
        <v/>
      </c>
      <c r="CD269" t="str">
        <f>IF(Sistema!CD269="","",Sistema!CD269)</f>
        <v/>
      </c>
    </row>
    <row r="270" spans="1:82" x14ac:dyDescent="0.25">
      <c r="A270" t="str">
        <f>IF(Sistema!A270="","",Sistema!A270)</f>
        <v/>
      </c>
      <c r="B270" t="str">
        <f>IF(Sistema!B270="","",Sistema!B270)</f>
        <v/>
      </c>
      <c r="C270" t="str">
        <f>IF(Sistema!C270="","",Sistema!C270)</f>
        <v/>
      </c>
      <c r="D270" t="str">
        <f>IF(Sistema!D270="","",Sistema!D270)</f>
        <v/>
      </c>
      <c r="E270" t="str">
        <f>IF(Sistema!E270="","",Sistema!E270)</f>
        <v/>
      </c>
      <c r="F270">
        <f>IF(P270&gt;0,1,IF(Sistema!F270=0,-1,1))</f>
        <v>-1</v>
      </c>
      <c r="G270">
        <f>Sistema!G270</f>
        <v>0</v>
      </c>
      <c r="H270" t="str">
        <f>IF(OR(R270="notify",R270=1),"visible",IF(OR(Sistema!F270=-1,Sistema!F270=0,ISNUMBER(SEARCH("PCK",E270))),"hidden",IF(P270&gt;0,"visible","hidden")))</f>
        <v>hidden</v>
      </c>
      <c r="I270" t="str">
        <f>IF(B270="simple",IF(P270&gt;0,"",IF(R270="notify",Info!C$2,"")),IF(B270="variable",IF(P270&gt;0,"",IF(R270="notify",Info!C$4,"")),""))</f>
        <v/>
      </c>
      <c r="J270" t="str">
        <f>IF(Sistema!J270="","",Sistema!J270)</f>
        <v/>
      </c>
      <c r="M270" t="str">
        <f>IF(Sistema!M270="","",Sistema!M270)</f>
        <v/>
      </c>
      <c r="N270" s="6" t="s">
        <v>1557</v>
      </c>
      <c r="O270" s="6">
        <v>1</v>
      </c>
      <c r="P270">
        <f>Sistema!P270</f>
        <v>0</v>
      </c>
      <c r="Q270">
        <f>Sistema!Q270</f>
        <v>0</v>
      </c>
      <c r="R270">
        <f>IF(Sistema!R270=1,"notify",Sistema!R270)</f>
        <v>0</v>
      </c>
      <c r="T270" t="str">
        <f>IF(Sistema!T270="","",Sistema!T270)</f>
        <v/>
      </c>
      <c r="U270" t="str">
        <f>IF(Sistema!U270="","",Sistema!U270)</f>
        <v/>
      </c>
      <c r="V270" t="str">
        <f>IF(Sistema!V270="","",Sistema!V270)</f>
        <v/>
      </c>
      <c r="W270" t="str">
        <f>IF(Sistema!W270="","",Sistema!W270)</f>
        <v/>
      </c>
      <c r="X270" s="6">
        <v>1</v>
      </c>
      <c r="Z270" t="str">
        <f>IF(Sistema!Z270="","",Sistema!Z270)</f>
        <v/>
      </c>
      <c r="AA270" t="str">
        <f>IF(Sistema!AA270="","",Sistema!AA270)</f>
        <v/>
      </c>
      <c r="AB270" t="str">
        <f>IF(Sistema!AB270="","",IF(OR(ISNUMBER(SEARCH("MKP",E270)),ISNUMBER(SEARCH("MKP",C270))),"Marketplace &gt; "&amp;Sistema!AB270,Sistema!AB270))</f>
        <v/>
      </c>
      <c r="AC270" t="str">
        <f>IF(Sistema!AC270="","",Sistema!AC270)</f>
        <v/>
      </c>
      <c r="AE270" t="str">
        <f>IF(Sistema!AE270="","",Sistema!AE270)</f>
        <v/>
      </c>
      <c r="AH270" t="str">
        <f>IF(Sistema!AH270="","",Sistema!AH270)</f>
        <v/>
      </c>
      <c r="AQ270" t="str">
        <f>IF(Sistema!AQ270="","",Sistema!AQ270)</f>
        <v/>
      </c>
      <c r="AR270" t="str">
        <f>IF(Sistema!AR270="","",Sistema!AR270)</f>
        <v/>
      </c>
      <c r="AS270" t="str">
        <f>IF(Sistema!AS270="","",Sistema!AS270)</f>
        <v/>
      </c>
      <c r="AT270" t="str">
        <f>IF(Sistema!AT270="","",Sistema!AT270)</f>
        <v/>
      </c>
      <c r="AU270" t="str">
        <f>IF(Sistema!AU270="","",Sistema!AU270)</f>
        <v/>
      </c>
      <c r="AV270" t="str">
        <f>IF(Sistema!AV270="","",Sistema!AV270)</f>
        <v/>
      </c>
      <c r="AW270" t="str">
        <f>IF(Sistema!AW270="","",Sistema!AW270)</f>
        <v/>
      </c>
      <c r="AX270" t="str">
        <f>IF(Sistema!AX270="","",Sistema!AX270)</f>
        <v/>
      </c>
      <c r="AY270" t="str">
        <f>IF(Sistema!AY270="","",Sistema!AY270)</f>
        <v/>
      </c>
      <c r="AZ270" t="str">
        <f>IF(Sistema!AZ270="","",Sistema!AZ270)</f>
        <v/>
      </c>
      <c r="BA270" t="str">
        <f>IF(Sistema!BA270="","",Sistema!BA270)</f>
        <v/>
      </c>
      <c r="BB270" t="str">
        <f>IF(Sistema!BB270="","",Sistema!BB270)</f>
        <v/>
      </c>
      <c r="BC270" t="str">
        <f>IF(Sistema!BC270="","",Sistema!BC270)</f>
        <v/>
      </c>
      <c r="BD270" t="str">
        <f>IF(Sistema!BD270="","",Sistema!BD270)</f>
        <v/>
      </c>
      <c r="BE270" t="str">
        <f>IF(Sistema!BE270="","",Sistema!BE270)</f>
        <v/>
      </c>
      <c r="BF270" t="str">
        <f>IF(Sistema!BF270="","",Sistema!BF270)</f>
        <v/>
      </c>
      <c r="BG270" t="str">
        <f>IF(Sistema!BG270="","",Sistema!BG270)</f>
        <v/>
      </c>
      <c r="BH270" t="str">
        <f>IF(Sistema!BH270="","",Sistema!BH270)</f>
        <v/>
      </c>
      <c r="BI270" t="str">
        <f>IF(Sistema!BI270="","",Sistema!BI270)</f>
        <v/>
      </c>
      <c r="BJ270" t="str">
        <f>IF(Sistema!BJ270="","",Sistema!BJ270)</f>
        <v/>
      </c>
      <c r="BK270" t="str">
        <f>IF(Sistema!BK270="","",Sistema!BK270)</f>
        <v/>
      </c>
      <c r="BL270" t="str">
        <f>IF(Sistema!BL270="","",Sistema!BL270)</f>
        <v/>
      </c>
      <c r="BM270" t="str">
        <f>IF(Sistema!BM270="","",Sistema!BM270)</f>
        <v/>
      </c>
      <c r="BN270" t="str">
        <f>IF(Sistema!BN270="","",Sistema!BN270)</f>
        <v/>
      </c>
      <c r="BO270" t="str">
        <f>IF(Sistema!BO270="","",Sistema!BO270)</f>
        <v/>
      </c>
      <c r="BP270" t="str">
        <f>IF(Sistema!BP270="","",Sistema!BP270)</f>
        <v/>
      </c>
      <c r="BQ270" t="str">
        <f>IF(Sistema!BQ270="","",Sistema!BQ270)</f>
        <v/>
      </c>
      <c r="BR270" t="str">
        <f>IF(Sistema!BR270="","",Sistema!BR270)</f>
        <v/>
      </c>
      <c r="BS270" t="str">
        <f>IF(Sistema!BS270="","",Sistema!BS270)</f>
        <v/>
      </c>
      <c r="BT270" t="str">
        <f>IF(Sistema!BT270="","",Sistema!BT270)</f>
        <v/>
      </c>
      <c r="BU270" t="str">
        <f>IF(Sistema!BU270="","",Sistema!BU270)</f>
        <v/>
      </c>
      <c r="BV270" t="str">
        <f>IF(Sistema!BV270="","",Sistema!BV270)</f>
        <v/>
      </c>
      <c r="BW270" t="str">
        <f>IF(Sistema!BW270="","",Sistema!BW270)</f>
        <v/>
      </c>
      <c r="BX270" t="str">
        <f>IF(Sistema!BX270="","",Sistema!BX270)</f>
        <v/>
      </c>
      <c r="BY270" t="str">
        <f>IF(Sistema!BY270="","",Sistema!BY270)</f>
        <v/>
      </c>
      <c r="BZ270" t="str">
        <f>IF(Sistema!BZ270="","",Sistema!BZ270)</f>
        <v/>
      </c>
      <c r="CA270" t="str">
        <f>IF(Sistema!CA270="","",Sistema!CA270)</f>
        <v/>
      </c>
      <c r="CB270" t="str">
        <f>IF(Sistema!CB270="","",Sistema!CB270)</f>
        <v/>
      </c>
      <c r="CC270" t="str">
        <f>IF(Sistema!CC270="","",Sistema!CC270)</f>
        <v/>
      </c>
      <c r="CD270" t="str">
        <f>IF(Sistema!CD270="","",Sistema!CD270)</f>
        <v/>
      </c>
    </row>
    <row r="271" spans="1:82" x14ac:dyDescent="0.25">
      <c r="A271" t="str">
        <f>IF(Sistema!A271="","",Sistema!A271)</f>
        <v/>
      </c>
      <c r="B271" t="str">
        <f>IF(Sistema!B271="","",Sistema!B271)</f>
        <v/>
      </c>
      <c r="C271" t="str">
        <f>IF(Sistema!C271="","",Sistema!C271)</f>
        <v/>
      </c>
      <c r="D271" t="str">
        <f>IF(Sistema!D271="","",Sistema!D271)</f>
        <v/>
      </c>
      <c r="E271" t="str">
        <f>IF(Sistema!E271="","",Sistema!E271)</f>
        <v/>
      </c>
      <c r="F271">
        <f>IF(P271&gt;0,1,IF(Sistema!F271=0,-1,1))</f>
        <v>-1</v>
      </c>
      <c r="G271">
        <f>Sistema!G271</f>
        <v>0</v>
      </c>
      <c r="H271" t="str">
        <f>IF(OR(R271="notify",R271=1),"visible",IF(OR(Sistema!F271=-1,Sistema!F271=0,ISNUMBER(SEARCH("PCK",E271))),"hidden",IF(P271&gt;0,"visible","hidden")))</f>
        <v>hidden</v>
      </c>
      <c r="I271" t="str">
        <f>IF(B271="simple",IF(P271&gt;0,"",IF(R271="notify",Info!C$2,"")),IF(B271="variable",IF(P271&gt;0,"",IF(R271="notify",Info!C$4,"")),""))</f>
        <v/>
      </c>
      <c r="J271" t="str">
        <f>IF(Sistema!J271="","",Sistema!J271)</f>
        <v/>
      </c>
      <c r="M271" t="str">
        <f>IF(Sistema!M271="","",Sistema!M271)</f>
        <v/>
      </c>
      <c r="N271" s="6" t="s">
        <v>1557</v>
      </c>
      <c r="O271" s="6">
        <v>1</v>
      </c>
      <c r="P271">
        <f>Sistema!P271</f>
        <v>0</v>
      </c>
      <c r="Q271">
        <f>Sistema!Q271</f>
        <v>0</v>
      </c>
      <c r="R271">
        <f>IF(Sistema!R271=1,"notify",Sistema!R271)</f>
        <v>0</v>
      </c>
      <c r="T271" t="str">
        <f>IF(Sistema!T271="","",Sistema!T271)</f>
        <v/>
      </c>
      <c r="U271" t="str">
        <f>IF(Sistema!U271="","",Sistema!U271)</f>
        <v/>
      </c>
      <c r="V271" t="str">
        <f>IF(Sistema!V271="","",Sistema!V271)</f>
        <v/>
      </c>
      <c r="W271" t="str">
        <f>IF(Sistema!W271="","",Sistema!W271)</f>
        <v/>
      </c>
      <c r="X271" s="6">
        <v>1</v>
      </c>
      <c r="Z271" t="str">
        <f>IF(Sistema!Z271="","",Sistema!Z271)</f>
        <v/>
      </c>
      <c r="AA271" t="str">
        <f>IF(Sistema!AA271="","",Sistema!AA271)</f>
        <v/>
      </c>
      <c r="AB271" t="str">
        <f>IF(Sistema!AB271="","",IF(OR(ISNUMBER(SEARCH("MKP",E271)),ISNUMBER(SEARCH("MKP",C271))),"Marketplace &gt; "&amp;Sistema!AB271,Sistema!AB271))</f>
        <v/>
      </c>
      <c r="AC271" t="str">
        <f>IF(Sistema!AC271="","",Sistema!AC271)</f>
        <v/>
      </c>
      <c r="AE271" t="str">
        <f>IF(Sistema!AE271="","",Sistema!AE271)</f>
        <v/>
      </c>
      <c r="AH271" t="str">
        <f>IF(Sistema!AH271="","",Sistema!AH271)</f>
        <v/>
      </c>
      <c r="AQ271" t="str">
        <f>IF(Sistema!AQ271="","",Sistema!AQ271)</f>
        <v/>
      </c>
      <c r="AR271" t="str">
        <f>IF(Sistema!AR271="","",Sistema!AR271)</f>
        <v/>
      </c>
      <c r="AS271" t="str">
        <f>IF(Sistema!AS271="","",Sistema!AS271)</f>
        <v/>
      </c>
      <c r="AT271" t="str">
        <f>IF(Sistema!AT271="","",Sistema!AT271)</f>
        <v/>
      </c>
      <c r="AU271" t="str">
        <f>IF(Sistema!AU271="","",Sistema!AU271)</f>
        <v/>
      </c>
      <c r="AV271" t="str">
        <f>IF(Sistema!AV271="","",Sistema!AV271)</f>
        <v/>
      </c>
      <c r="AW271" t="str">
        <f>IF(Sistema!AW271="","",Sistema!AW271)</f>
        <v/>
      </c>
      <c r="AX271" t="str">
        <f>IF(Sistema!AX271="","",Sistema!AX271)</f>
        <v/>
      </c>
      <c r="AY271" t="str">
        <f>IF(Sistema!AY271="","",Sistema!AY271)</f>
        <v/>
      </c>
      <c r="AZ271" t="str">
        <f>IF(Sistema!AZ271="","",Sistema!AZ271)</f>
        <v/>
      </c>
      <c r="BA271" t="str">
        <f>IF(Sistema!BA271="","",Sistema!BA271)</f>
        <v/>
      </c>
      <c r="BB271" t="str">
        <f>IF(Sistema!BB271="","",Sistema!BB271)</f>
        <v/>
      </c>
      <c r="BC271" t="str">
        <f>IF(Sistema!BC271="","",Sistema!BC271)</f>
        <v/>
      </c>
      <c r="BD271" t="str">
        <f>IF(Sistema!BD271="","",Sistema!BD271)</f>
        <v/>
      </c>
      <c r="BE271" t="str">
        <f>IF(Sistema!BE271="","",Sistema!BE271)</f>
        <v/>
      </c>
      <c r="BF271" t="str">
        <f>IF(Sistema!BF271="","",Sistema!BF271)</f>
        <v/>
      </c>
      <c r="BG271" t="str">
        <f>IF(Sistema!BG271="","",Sistema!BG271)</f>
        <v/>
      </c>
      <c r="BH271" t="str">
        <f>IF(Sistema!BH271="","",Sistema!BH271)</f>
        <v/>
      </c>
      <c r="BI271" t="str">
        <f>IF(Sistema!BI271="","",Sistema!BI271)</f>
        <v/>
      </c>
      <c r="BJ271" t="str">
        <f>IF(Sistema!BJ271="","",Sistema!BJ271)</f>
        <v/>
      </c>
      <c r="BK271" t="str">
        <f>IF(Sistema!BK271="","",Sistema!BK271)</f>
        <v/>
      </c>
      <c r="BL271" t="str">
        <f>IF(Sistema!BL271="","",Sistema!BL271)</f>
        <v/>
      </c>
      <c r="BM271" t="str">
        <f>IF(Sistema!BM271="","",Sistema!BM271)</f>
        <v/>
      </c>
      <c r="BN271" t="str">
        <f>IF(Sistema!BN271="","",Sistema!BN271)</f>
        <v/>
      </c>
      <c r="BO271" t="str">
        <f>IF(Sistema!BO271="","",Sistema!BO271)</f>
        <v/>
      </c>
      <c r="BP271" t="str">
        <f>IF(Sistema!BP271="","",Sistema!BP271)</f>
        <v/>
      </c>
      <c r="BQ271" t="str">
        <f>IF(Sistema!BQ271="","",Sistema!BQ271)</f>
        <v/>
      </c>
      <c r="BR271" t="str">
        <f>IF(Sistema!BR271="","",Sistema!BR271)</f>
        <v/>
      </c>
      <c r="BS271" t="str">
        <f>IF(Sistema!BS271="","",Sistema!BS271)</f>
        <v/>
      </c>
      <c r="BT271" t="str">
        <f>IF(Sistema!BT271="","",Sistema!BT271)</f>
        <v/>
      </c>
      <c r="BU271" t="str">
        <f>IF(Sistema!BU271="","",Sistema!BU271)</f>
        <v/>
      </c>
      <c r="BV271" t="str">
        <f>IF(Sistema!BV271="","",Sistema!BV271)</f>
        <v/>
      </c>
      <c r="BW271" t="str">
        <f>IF(Sistema!BW271="","",Sistema!BW271)</f>
        <v/>
      </c>
      <c r="BX271" t="str">
        <f>IF(Sistema!BX271="","",Sistema!BX271)</f>
        <v/>
      </c>
      <c r="BY271" t="str">
        <f>IF(Sistema!BY271="","",Sistema!BY271)</f>
        <v/>
      </c>
      <c r="BZ271" t="str">
        <f>IF(Sistema!BZ271="","",Sistema!BZ271)</f>
        <v/>
      </c>
      <c r="CA271" t="str">
        <f>IF(Sistema!CA271="","",Sistema!CA271)</f>
        <v/>
      </c>
      <c r="CB271" t="str">
        <f>IF(Sistema!CB271="","",Sistema!CB271)</f>
        <v/>
      </c>
      <c r="CC271" t="str">
        <f>IF(Sistema!CC271="","",Sistema!CC271)</f>
        <v/>
      </c>
      <c r="CD271" t="str">
        <f>IF(Sistema!CD271="","",Sistema!CD271)</f>
        <v/>
      </c>
    </row>
    <row r="272" spans="1:82" x14ac:dyDescent="0.25">
      <c r="A272" t="str">
        <f>IF(Sistema!A272="","",Sistema!A272)</f>
        <v/>
      </c>
      <c r="B272" t="str">
        <f>IF(Sistema!B272="","",Sistema!B272)</f>
        <v/>
      </c>
      <c r="C272" t="str">
        <f>IF(Sistema!C272="","",Sistema!C272)</f>
        <v/>
      </c>
      <c r="D272" t="str">
        <f>IF(Sistema!D272="","",Sistema!D272)</f>
        <v/>
      </c>
      <c r="E272" t="str">
        <f>IF(Sistema!E272="","",Sistema!E272)</f>
        <v/>
      </c>
      <c r="F272">
        <f>IF(P272&gt;0,1,IF(Sistema!F272=0,-1,1))</f>
        <v>-1</v>
      </c>
      <c r="G272">
        <f>Sistema!G272</f>
        <v>0</v>
      </c>
      <c r="H272" t="str">
        <f>IF(OR(R272="notify",R272=1),"visible",IF(OR(Sistema!F272=-1,Sistema!F272=0,ISNUMBER(SEARCH("PCK",E272))),"hidden",IF(P272&gt;0,"visible","hidden")))</f>
        <v>hidden</v>
      </c>
      <c r="I272" t="str">
        <f>IF(B272="simple",IF(P272&gt;0,"",IF(R272="notify",Info!C$2,"")),IF(B272="variable",IF(P272&gt;0,"",IF(R272="notify",Info!C$4,"")),""))</f>
        <v/>
      </c>
      <c r="J272" t="str">
        <f>IF(Sistema!J272="","",Sistema!J272)</f>
        <v/>
      </c>
      <c r="M272" t="str">
        <f>IF(Sistema!M272="","",Sistema!M272)</f>
        <v/>
      </c>
      <c r="N272" s="6" t="s">
        <v>1557</v>
      </c>
      <c r="O272" s="6">
        <v>1</v>
      </c>
      <c r="P272">
        <f>Sistema!P272</f>
        <v>0</v>
      </c>
      <c r="Q272">
        <f>Sistema!Q272</f>
        <v>0</v>
      </c>
      <c r="R272">
        <f>IF(Sistema!R272=1,"notify",Sistema!R272)</f>
        <v>0</v>
      </c>
      <c r="T272" t="str">
        <f>IF(Sistema!T272="","",Sistema!T272)</f>
        <v/>
      </c>
      <c r="U272" t="str">
        <f>IF(Sistema!U272="","",Sistema!U272)</f>
        <v/>
      </c>
      <c r="V272" t="str">
        <f>IF(Sistema!V272="","",Sistema!V272)</f>
        <v/>
      </c>
      <c r="W272" t="str">
        <f>IF(Sistema!W272="","",Sistema!W272)</f>
        <v/>
      </c>
      <c r="X272" s="6">
        <v>1</v>
      </c>
      <c r="Z272" t="str">
        <f>IF(Sistema!Z272="","",Sistema!Z272)</f>
        <v/>
      </c>
      <c r="AA272" t="str">
        <f>IF(Sistema!AA272="","",Sistema!AA272)</f>
        <v/>
      </c>
      <c r="AB272" t="str">
        <f>IF(Sistema!AB272="","",IF(OR(ISNUMBER(SEARCH("MKP",E272)),ISNUMBER(SEARCH("MKP",C272))),"Marketplace &gt; "&amp;Sistema!AB272,Sistema!AB272))</f>
        <v/>
      </c>
      <c r="AC272" t="str">
        <f>IF(Sistema!AC272="","",Sistema!AC272)</f>
        <v/>
      </c>
      <c r="AE272" t="str">
        <f>IF(Sistema!AE272="","",Sistema!AE272)</f>
        <v/>
      </c>
      <c r="AH272" t="str">
        <f>IF(Sistema!AH272="","",Sistema!AH272)</f>
        <v/>
      </c>
      <c r="AQ272" t="str">
        <f>IF(Sistema!AQ272="","",Sistema!AQ272)</f>
        <v/>
      </c>
      <c r="AR272" t="str">
        <f>IF(Sistema!AR272="","",Sistema!AR272)</f>
        <v/>
      </c>
      <c r="AS272" t="str">
        <f>IF(Sistema!AS272="","",Sistema!AS272)</f>
        <v/>
      </c>
      <c r="AT272" t="str">
        <f>IF(Sistema!AT272="","",Sistema!AT272)</f>
        <v/>
      </c>
      <c r="AU272" t="str">
        <f>IF(Sistema!AU272="","",Sistema!AU272)</f>
        <v/>
      </c>
      <c r="AV272" t="str">
        <f>IF(Sistema!AV272="","",Sistema!AV272)</f>
        <v/>
      </c>
      <c r="AW272" t="str">
        <f>IF(Sistema!AW272="","",Sistema!AW272)</f>
        <v/>
      </c>
      <c r="AX272" t="str">
        <f>IF(Sistema!AX272="","",Sistema!AX272)</f>
        <v/>
      </c>
      <c r="AY272" t="str">
        <f>IF(Sistema!AY272="","",Sistema!AY272)</f>
        <v/>
      </c>
      <c r="AZ272" t="str">
        <f>IF(Sistema!AZ272="","",Sistema!AZ272)</f>
        <v/>
      </c>
      <c r="BA272" t="str">
        <f>IF(Sistema!BA272="","",Sistema!BA272)</f>
        <v/>
      </c>
      <c r="BB272" t="str">
        <f>IF(Sistema!BB272="","",Sistema!BB272)</f>
        <v/>
      </c>
      <c r="BC272" t="str">
        <f>IF(Sistema!BC272="","",Sistema!BC272)</f>
        <v/>
      </c>
      <c r="BD272" t="str">
        <f>IF(Sistema!BD272="","",Sistema!BD272)</f>
        <v/>
      </c>
      <c r="BE272" t="str">
        <f>IF(Sistema!BE272="","",Sistema!BE272)</f>
        <v/>
      </c>
      <c r="BF272" t="str">
        <f>IF(Sistema!BF272="","",Sistema!BF272)</f>
        <v/>
      </c>
      <c r="BG272" t="str">
        <f>IF(Sistema!BG272="","",Sistema!BG272)</f>
        <v/>
      </c>
      <c r="BH272" t="str">
        <f>IF(Sistema!BH272="","",Sistema!BH272)</f>
        <v/>
      </c>
      <c r="BI272" t="str">
        <f>IF(Sistema!BI272="","",Sistema!BI272)</f>
        <v/>
      </c>
      <c r="BJ272" t="str">
        <f>IF(Sistema!BJ272="","",Sistema!BJ272)</f>
        <v/>
      </c>
      <c r="BK272" t="str">
        <f>IF(Sistema!BK272="","",Sistema!BK272)</f>
        <v/>
      </c>
      <c r="BL272" t="str">
        <f>IF(Sistema!BL272="","",Sistema!BL272)</f>
        <v/>
      </c>
      <c r="BM272" t="str">
        <f>IF(Sistema!BM272="","",Sistema!BM272)</f>
        <v/>
      </c>
      <c r="BN272" t="str">
        <f>IF(Sistema!BN272="","",Sistema!BN272)</f>
        <v/>
      </c>
      <c r="BO272" t="str">
        <f>IF(Sistema!BO272="","",Sistema!BO272)</f>
        <v/>
      </c>
      <c r="BP272" t="str">
        <f>IF(Sistema!BP272="","",Sistema!BP272)</f>
        <v/>
      </c>
      <c r="BQ272" t="str">
        <f>IF(Sistema!BQ272="","",Sistema!BQ272)</f>
        <v/>
      </c>
      <c r="BR272" t="str">
        <f>IF(Sistema!BR272="","",Sistema!BR272)</f>
        <v/>
      </c>
      <c r="BS272" t="str">
        <f>IF(Sistema!BS272="","",Sistema!BS272)</f>
        <v/>
      </c>
      <c r="BT272" t="str">
        <f>IF(Sistema!BT272="","",Sistema!BT272)</f>
        <v/>
      </c>
      <c r="BU272" t="str">
        <f>IF(Sistema!BU272="","",Sistema!BU272)</f>
        <v/>
      </c>
      <c r="BV272" t="str">
        <f>IF(Sistema!BV272="","",Sistema!BV272)</f>
        <v/>
      </c>
      <c r="BW272" t="str">
        <f>IF(Sistema!BW272="","",Sistema!BW272)</f>
        <v/>
      </c>
      <c r="BX272" t="str">
        <f>IF(Sistema!BX272="","",Sistema!BX272)</f>
        <v/>
      </c>
      <c r="BY272" t="str">
        <f>IF(Sistema!BY272="","",Sistema!BY272)</f>
        <v/>
      </c>
      <c r="BZ272" t="str">
        <f>IF(Sistema!BZ272="","",Sistema!BZ272)</f>
        <v/>
      </c>
      <c r="CA272" t="str">
        <f>IF(Sistema!CA272="","",Sistema!CA272)</f>
        <v/>
      </c>
      <c r="CB272" t="str">
        <f>IF(Sistema!CB272="","",Sistema!CB272)</f>
        <v/>
      </c>
      <c r="CC272" t="str">
        <f>IF(Sistema!CC272="","",Sistema!CC272)</f>
        <v/>
      </c>
      <c r="CD272" t="str">
        <f>IF(Sistema!CD272="","",Sistema!CD272)</f>
        <v/>
      </c>
    </row>
    <row r="273" spans="1:82" x14ac:dyDescent="0.25">
      <c r="A273" t="str">
        <f>IF(Sistema!A273="","",Sistema!A273)</f>
        <v/>
      </c>
      <c r="B273" t="str">
        <f>IF(Sistema!B273="","",Sistema!B273)</f>
        <v/>
      </c>
      <c r="C273" t="str">
        <f>IF(Sistema!C273="","",Sistema!C273)</f>
        <v/>
      </c>
      <c r="D273" t="str">
        <f>IF(Sistema!D273="","",Sistema!D273)</f>
        <v/>
      </c>
      <c r="E273" t="str">
        <f>IF(Sistema!E273="","",Sistema!E273)</f>
        <v/>
      </c>
      <c r="F273">
        <f>IF(P273&gt;0,1,IF(Sistema!F273=0,-1,1))</f>
        <v>-1</v>
      </c>
      <c r="G273">
        <f>Sistema!G273</f>
        <v>0</v>
      </c>
      <c r="H273" t="str">
        <f>IF(OR(R273="notify",R273=1),"visible",IF(OR(Sistema!F273=-1,Sistema!F273=0,ISNUMBER(SEARCH("PCK",E273))),"hidden",IF(P273&gt;0,"visible","hidden")))</f>
        <v>hidden</v>
      </c>
      <c r="I273" t="str">
        <f>IF(B273="simple",IF(P273&gt;0,"",IF(R273="notify",Info!C$2,"")),IF(B273="variable",IF(P273&gt;0,"",IF(R273="notify",Info!C$4,"")),""))</f>
        <v/>
      </c>
      <c r="J273" t="str">
        <f>IF(Sistema!J273="","",Sistema!J273)</f>
        <v/>
      </c>
      <c r="M273" t="str">
        <f>IF(Sistema!M273="","",Sistema!M273)</f>
        <v/>
      </c>
      <c r="N273" s="6" t="s">
        <v>1557</v>
      </c>
      <c r="O273" s="6">
        <v>1</v>
      </c>
      <c r="P273">
        <f>Sistema!P273</f>
        <v>0</v>
      </c>
      <c r="Q273">
        <f>Sistema!Q273</f>
        <v>0</v>
      </c>
      <c r="R273">
        <f>IF(Sistema!R273=1,"notify",Sistema!R273)</f>
        <v>0</v>
      </c>
      <c r="T273" t="str">
        <f>IF(Sistema!T273="","",Sistema!T273)</f>
        <v/>
      </c>
      <c r="U273" t="str">
        <f>IF(Sistema!U273="","",Sistema!U273)</f>
        <v/>
      </c>
      <c r="V273" t="str">
        <f>IF(Sistema!V273="","",Sistema!V273)</f>
        <v/>
      </c>
      <c r="W273" t="str">
        <f>IF(Sistema!W273="","",Sistema!W273)</f>
        <v/>
      </c>
      <c r="X273" s="6">
        <v>1</v>
      </c>
      <c r="Z273" t="str">
        <f>IF(Sistema!Z273="","",Sistema!Z273)</f>
        <v/>
      </c>
      <c r="AA273" t="str">
        <f>IF(Sistema!AA273="","",Sistema!AA273)</f>
        <v/>
      </c>
      <c r="AB273" t="str">
        <f>IF(Sistema!AB273="","",IF(OR(ISNUMBER(SEARCH("MKP",E273)),ISNUMBER(SEARCH("MKP",C273))),"Marketplace &gt; "&amp;Sistema!AB273,Sistema!AB273))</f>
        <v/>
      </c>
      <c r="AC273" t="str">
        <f>IF(Sistema!AC273="","",Sistema!AC273)</f>
        <v/>
      </c>
      <c r="AE273" t="str">
        <f>IF(Sistema!AE273="","",Sistema!AE273)</f>
        <v/>
      </c>
      <c r="AH273" t="str">
        <f>IF(Sistema!AH273="","",Sistema!AH273)</f>
        <v/>
      </c>
      <c r="AQ273" t="str">
        <f>IF(Sistema!AQ273="","",Sistema!AQ273)</f>
        <v/>
      </c>
      <c r="AR273" t="str">
        <f>IF(Sistema!AR273="","",Sistema!AR273)</f>
        <v/>
      </c>
      <c r="AS273" t="str">
        <f>IF(Sistema!AS273="","",Sistema!AS273)</f>
        <v/>
      </c>
      <c r="AT273" t="str">
        <f>IF(Sistema!AT273="","",Sistema!AT273)</f>
        <v/>
      </c>
      <c r="AU273" t="str">
        <f>IF(Sistema!AU273="","",Sistema!AU273)</f>
        <v/>
      </c>
      <c r="AV273" t="str">
        <f>IF(Sistema!AV273="","",Sistema!AV273)</f>
        <v/>
      </c>
      <c r="AW273" t="str">
        <f>IF(Sistema!AW273="","",Sistema!AW273)</f>
        <v/>
      </c>
      <c r="AX273" t="str">
        <f>IF(Sistema!AX273="","",Sistema!AX273)</f>
        <v/>
      </c>
      <c r="AY273" t="str">
        <f>IF(Sistema!AY273="","",Sistema!AY273)</f>
        <v/>
      </c>
      <c r="AZ273" t="str">
        <f>IF(Sistema!AZ273="","",Sistema!AZ273)</f>
        <v/>
      </c>
      <c r="BA273" t="str">
        <f>IF(Sistema!BA273="","",Sistema!BA273)</f>
        <v/>
      </c>
      <c r="BB273" t="str">
        <f>IF(Sistema!BB273="","",Sistema!BB273)</f>
        <v/>
      </c>
      <c r="BC273" t="str">
        <f>IF(Sistema!BC273="","",Sistema!BC273)</f>
        <v/>
      </c>
      <c r="BD273" t="str">
        <f>IF(Sistema!BD273="","",Sistema!BD273)</f>
        <v/>
      </c>
      <c r="BE273" t="str">
        <f>IF(Sistema!BE273="","",Sistema!BE273)</f>
        <v/>
      </c>
      <c r="BF273" t="str">
        <f>IF(Sistema!BF273="","",Sistema!BF273)</f>
        <v/>
      </c>
      <c r="BG273" t="str">
        <f>IF(Sistema!BG273="","",Sistema!BG273)</f>
        <v/>
      </c>
      <c r="BH273" t="str">
        <f>IF(Sistema!BH273="","",Sistema!BH273)</f>
        <v/>
      </c>
      <c r="BI273" t="str">
        <f>IF(Sistema!BI273="","",Sistema!BI273)</f>
        <v/>
      </c>
      <c r="BJ273" t="str">
        <f>IF(Sistema!BJ273="","",Sistema!BJ273)</f>
        <v/>
      </c>
      <c r="BK273" t="str">
        <f>IF(Sistema!BK273="","",Sistema!BK273)</f>
        <v/>
      </c>
      <c r="BL273" t="str">
        <f>IF(Sistema!BL273="","",Sistema!BL273)</f>
        <v/>
      </c>
      <c r="BM273" t="str">
        <f>IF(Sistema!BM273="","",Sistema!BM273)</f>
        <v/>
      </c>
      <c r="BN273" t="str">
        <f>IF(Sistema!BN273="","",Sistema!BN273)</f>
        <v/>
      </c>
      <c r="BO273" t="str">
        <f>IF(Sistema!BO273="","",Sistema!BO273)</f>
        <v/>
      </c>
      <c r="BP273" t="str">
        <f>IF(Sistema!BP273="","",Sistema!BP273)</f>
        <v/>
      </c>
      <c r="BQ273" t="str">
        <f>IF(Sistema!BQ273="","",Sistema!BQ273)</f>
        <v/>
      </c>
      <c r="BR273" t="str">
        <f>IF(Sistema!BR273="","",Sistema!BR273)</f>
        <v/>
      </c>
      <c r="BS273" t="str">
        <f>IF(Sistema!BS273="","",Sistema!BS273)</f>
        <v/>
      </c>
      <c r="BT273" t="str">
        <f>IF(Sistema!BT273="","",Sistema!BT273)</f>
        <v/>
      </c>
      <c r="BU273" t="str">
        <f>IF(Sistema!BU273="","",Sistema!BU273)</f>
        <v/>
      </c>
      <c r="BV273" t="str">
        <f>IF(Sistema!BV273="","",Sistema!BV273)</f>
        <v/>
      </c>
      <c r="BW273" t="str">
        <f>IF(Sistema!BW273="","",Sistema!BW273)</f>
        <v/>
      </c>
      <c r="BX273" t="str">
        <f>IF(Sistema!BX273="","",Sistema!BX273)</f>
        <v/>
      </c>
      <c r="BY273" t="str">
        <f>IF(Sistema!BY273="","",Sistema!BY273)</f>
        <v/>
      </c>
      <c r="BZ273" t="str">
        <f>IF(Sistema!BZ273="","",Sistema!BZ273)</f>
        <v/>
      </c>
      <c r="CA273" t="str">
        <f>IF(Sistema!CA273="","",Sistema!CA273)</f>
        <v/>
      </c>
      <c r="CB273" t="str">
        <f>IF(Sistema!CB273="","",Sistema!CB273)</f>
        <v/>
      </c>
      <c r="CC273" t="str">
        <f>IF(Sistema!CC273="","",Sistema!CC273)</f>
        <v/>
      </c>
      <c r="CD273" t="str">
        <f>IF(Sistema!CD273="","",Sistema!CD273)</f>
        <v/>
      </c>
    </row>
    <row r="274" spans="1:82" x14ac:dyDescent="0.25">
      <c r="A274" t="str">
        <f>IF(Sistema!A274="","",Sistema!A274)</f>
        <v/>
      </c>
      <c r="B274" t="str">
        <f>IF(Sistema!B274="","",Sistema!B274)</f>
        <v/>
      </c>
      <c r="C274" t="str">
        <f>IF(Sistema!C274="","",Sistema!C274)</f>
        <v/>
      </c>
      <c r="D274" t="str">
        <f>IF(Sistema!D274="","",Sistema!D274)</f>
        <v/>
      </c>
      <c r="E274" t="str">
        <f>IF(Sistema!E274="","",Sistema!E274)</f>
        <v/>
      </c>
      <c r="F274">
        <f>IF(P274&gt;0,1,IF(Sistema!F274=0,-1,1))</f>
        <v>-1</v>
      </c>
      <c r="G274">
        <f>Sistema!G274</f>
        <v>0</v>
      </c>
      <c r="H274" t="str">
        <f>IF(OR(R274="notify",R274=1),"visible",IF(OR(Sistema!F274=-1,Sistema!F274=0,ISNUMBER(SEARCH("PCK",E274))),"hidden",IF(P274&gt;0,"visible","hidden")))</f>
        <v>hidden</v>
      </c>
      <c r="I274" t="str">
        <f>IF(B274="simple",IF(P274&gt;0,"",IF(R274="notify",Info!C$2,"")),IF(B274="variable",IF(P274&gt;0,"",IF(R274="notify",Info!C$4,"")),""))</f>
        <v/>
      </c>
      <c r="J274" t="str">
        <f>IF(Sistema!J274="","",Sistema!J274)</f>
        <v/>
      </c>
      <c r="M274" t="str">
        <f>IF(Sistema!M274="","",Sistema!M274)</f>
        <v/>
      </c>
      <c r="N274" s="6" t="s">
        <v>1557</v>
      </c>
      <c r="O274" s="6">
        <v>1</v>
      </c>
      <c r="P274">
        <f>Sistema!P274</f>
        <v>0</v>
      </c>
      <c r="Q274">
        <f>Sistema!Q274</f>
        <v>0</v>
      </c>
      <c r="R274">
        <f>IF(Sistema!R274=1,"notify",Sistema!R274)</f>
        <v>0</v>
      </c>
      <c r="T274" t="str">
        <f>IF(Sistema!T274="","",Sistema!T274)</f>
        <v/>
      </c>
      <c r="U274" t="str">
        <f>IF(Sistema!U274="","",Sistema!U274)</f>
        <v/>
      </c>
      <c r="V274" t="str">
        <f>IF(Sistema!V274="","",Sistema!V274)</f>
        <v/>
      </c>
      <c r="W274" t="str">
        <f>IF(Sistema!W274="","",Sistema!W274)</f>
        <v/>
      </c>
      <c r="X274" s="6">
        <v>1</v>
      </c>
      <c r="Z274" t="str">
        <f>IF(Sistema!Z274="","",Sistema!Z274)</f>
        <v/>
      </c>
      <c r="AA274" t="str">
        <f>IF(Sistema!AA274="","",Sistema!AA274)</f>
        <v/>
      </c>
      <c r="AB274" t="str">
        <f>IF(Sistema!AB274="","",IF(OR(ISNUMBER(SEARCH("MKP",E274)),ISNUMBER(SEARCH("MKP",C274))),"Marketplace &gt; "&amp;Sistema!AB274,Sistema!AB274))</f>
        <v/>
      </c>
      <c r="AC274" t="str">
        <f>IF(Sistema!AC274="","",Sistema!AC274)</f>
        <v/>
      </c>
      <c r="AE274" t="str">
        <f>IF(Sistema!AE274="","",Sistema!AE274)</f>
        <v/>
      </c>
      <c r="AH274" t="str">
        <f>IF(Sistema!AH274="","",Sistema!AH274)</f>
        <v/>
      </c>
      <c r="AQ274" t="str">
        <f>IF(Sistema!AQ274="","",Sistema!AQ274)</f>
        <v/>
      </c>
      <c r="AR274" t="str">
        <f>IF(Sistema!AR274="","",Sistema!AR274)</f>
        <v/>
      </c>
      <c r="AS274" t="str">
        <f>IF(Sistema!AS274="","",Sistema!AS274)</f>
        <v/>
      </c>
      <c r="AT274" t="str">
        <f>IF(Sistema!AT274="","",Sistema!AT274)</f>
        <v/>
      </c>
      <c r="AU274" t="str">
        <f>IF(Sistema!AU274="","",Sistema!AU274)</f>
        <v/>
      </c>
      <c r="AV274" t="str">
        <f>IF(Sistema!AV274="","",Sistema!AV274)</f>
        <v/>
      </c>
      <c r="AW274" t="str">
        <f>IF(Sistema!AW274="","",Sistema!AW274)</f>
        <v/>
      </c>
      <c r="AX274" t="str">
        <f>IF(Sistema!AX274="","",Sistema!AX274)</f>
        <v/>
      </c>
      <c r="AY274" t="str">
        <f>IF(Sistema!AY274="","",Sistema!AY274)</f>
        <v/>
      </c>
      <c r="AZ274" t="str">
        <f>IF(Sistema!AZ274="","",Sistema!AZ274)</f>
        <v/>
      </c>
      <c r="BA274" t="str">
        <f>IF(Sistema!BA274="","",Sistema!BA274)</f>
        <v/>
      </c>
      <c r="BB274" t="str">
        <f>IF(Sistema!BB274="","",Sistema!BB274)</f>
        <v/>
      </c>
      <c r="BC274" t="str">
        <f>IF(Sistema!BC274="","",Sistema!BC274)</f>
        <v/>
      </c>
      <c r="BD274" t="str">
        <f>IF(Sistema!BD274="","",Sistema!BD274)</f>
        <v/>
      </c>
      <c r="BE274" t="str">
        <f>IF(Sistema!BE274="","",Sistema!BE274)</f>
        <v/>
      </c>
      <c r="BF274" t="str">
        <f>IF(Sistema!BF274="","",Sistema!BF274)</f>
        <v/>
      </c>
      <c r="BG274" t="str">
        <f>IF(Sistema!BG274="","",Sistema!BG274)</f>
        <v/>
      </c>
      <c r="BH274" t="str">
        <f>IF(Sistema!BH274="","",Sistema!BH274)</f>
        <v/>
      </c>
      <c r="BI274" t="str">
        <f>IF(Sistema!BI274="","",Sistema!BI274)</f>
        <v/>
      </c>
      <c r="BJ274" t="str">
        <f>IF(Sistema!BJ274="","",Sistema!BJ274)</f>
        <v/>
      </c>
      <c r="BK274" t="str">
        <f>IF(Sistema!BK274="","",Sistema!BK274)</f>
        <v/>
      </c>
      <c r="BL274" t="str">
        <f>IF(Sistema!BL274="","",Sistema!BL274)</f>
        <v/>
      </c>
      <c r="BM274" t="str">
        <f>IF(Sistema!BM274="","",Sistema!BM274)</f>
        <v/>
      </c>
      <c r="BN274" t="str">
        <f>IF(Sistema!BN274="","",Sistema!BN274)</f>
        <v/>
      </c>
      <c r="BO274" t="str">
        <f>IF(Sistema!BO274="","",Sistema!BO274)</f>
        <v/>
      </c>
      <c r="BP274" t="str">
        <f>IF(Sistema!BP274="","",Sistema!BP274)</f>
        <v/>
      </c>
      <c r="BQ274" t="str">
        <f>IF(Sistema!BQ274="","",Sistema!BQ274)</f>
        <v/>
      </c>
      <c r="BR274" t="str">
        <f>IF(Sistema!BR274="","",Sistema!BR274)</f>
        <v/>
      </c>
      <c r="BS274" t="str">
        <f>IF(Sistema!BS274="","",Sistema!BS274)</f>
        <v/>
      </c>
      <c r="BT274" t="str">
        <f>IF(Sistema!BT274="","",Sistema!BT274)</f>
        <v/>
      </c>
      <c r="BU274" t="str">
        <f>IF(Sistema!BU274="","",Sistema!BU274)</f>
        <v/>
      </c>
      <c r="BV274" t="str">
        <f>IF(Sistema!BV274="","",Sistema!BV274)</f>
        <v/>
      </c>
      <c r="BW274" t="str">
        <f>IF(Sistema!BW274="","",Sistema!BW274)</f>
        <v/>
      </c>
      <c r="BX274" t="str">
        <f>IF(Sistema!BX274="","",Sistema!BX274)</f>
        <v/>
      </c>
      <c r="BY274" t="str">
        <f>IF(Sistema!BY274="","",Sistema!BY274)</f>
        <v/>
      </c>
      <c r="BZ274" t="str">
        <f>IF(Sistema!BZ274="","",Sistema!BZ274)</f>
        <v/>
      </c>
      <c r="CA274" t="str">
        <f>IF(Sistema!CA274="","",Sistema!CA274)</f>
        <v/>
      </c>
      <c r="CB274" t="str">
        <f>IF(Sistema!CB274="","",Sistema!CB274)</f>
        <v/>
      </c>
      <c r="CC274" t="str">
        <f>IF(Sistema!CC274="","",Sistema!CC274)</f>
        <v/>
      </c>
      <c r="CD274" t="str">
        <f>IF(Sistema!CD274="","",Sistema!CD274)</f>
        <v/>
      </c>
    </row>
    <row r="275" spans="1:82" x14ac:dyDescent="0.25">
      <c r="A275" t="str">
        <f>IF(Sistema!A275="","",Sistema!A275)</f>
        <v/>
      </c>
      <c r="B275" t="str">
        <f>IF(Sistema!B275="","",Sistema!B275)</f>
        <v/>
      </c>
      <c r="C275" t="str">
        <f>IF(Sistema!C275="","",Sistema!C275)</f>
        <v/>
      </c>
      <c r="D275" t="str">
        <f>IF(Sistema!D275="","",Sistema!D275)</f>
        <v/>
      </c>
      <c r="E275" t="str">
        <f>IF(Sistema!E275="","",Sistema!E275)</f>
        <v/>
      </c>
      <c r="F275">
        <f>IF(P275&gt;0,1,IF(Sistema!F275=0,-1,1))</f>
        <v>-1</v>
      </c>
      <c r="G275">
        <f>Sistema!G275</f>
        <v>0</v>
      </c>
      <c r="H275" t="str">
        <f>IF(OR(R275="notify",R275=1),"visible",IF(OR(Sistema!F275=-1,Sistema!F275=0,ISNUMBER(SEARCH("PCK",E275))),"hidden",IF(P275&gt;0,"visible","hidden")))</f>
        <v>hidden</v>
      </c>
      <c r="I275" t="str">
        <f>IF(B275="simple",IF(P275&gt;0,"",IF(R275="notify",Info!C$2,"")),IF(B275="variable",IF(P275&gt;0,"",IF(R275="notify",Info!C$4,"")),""))</f>
        <v/>
      </c>
      <c r="J275" t="str">
        <f>IF(Sistema!J275="","",Sistema!J275)</f>
        <v/>
      </c>
      <c r="M275" t="str">
        <f>IF(Sistema!M275="","",Sistema!M275)</f>
        <v/>
      </c>
      <c r="N275" s="6" t="s">
        <v>1557</v>
      </c>
      <c r="O275" s="6">
        <v>1</v>
      </c>
      <c r="P275">
        <f>Sistema!P275</f>
        <v>0</v>
      </c>
      <c r="Q275">
        <f>Sistema!Q275</f>
        <v>0</v>
      </c>
      <c r="R275">
        <f>IF(Sistema!R275=1,"notify",Sistema!R275)</f>
        <v>0</v>
      </c>
      <c r="T275" t="str">
        <f>IF(Sistema!T275="","",Sistema!T275)</f>
        <v/>
      </c>
      <c r="U275" t="str">
        <f>IF(Sistema!U275="","",Sistema!U275)</f>
        <v/>
      </c>
      <c r="V275" t="str">
        <f>IF(Sistema!V275="","",Sistema!V275)</f>
        <v/>
      </c>
      <c r="W275" t="str">
        <f>IF(Sistema!W275="","",Sistema!W275)</f>
        <v/>
      </c>
      <c r="X275" s="6">
        <v>1</v>
      </c>
      <c r="Z275" t="str">
        <f>IF(Sistema!Z275="","",Sistema!Z275)</f>
        <v/>
      </c>
      <c r="AA275" t="str">
        <f>IF(Sistema!AA275="","",Sistema!AA275)</f>
        <v/>
      </c>
      <c r="AB275" t="str">
        <f>IF(Sistema!AB275="","",IF(OR(ISNUMBER(SEARCH("MKP",E275)),ISNUMBER(SEARCH("MKP",C275))),"Marketplace &gt; "&amp;Sistema!AB275,Sistema!AB275))</f>
        <v/>
      </c>
      <c r="AC275" t="str">
        <f>IF(Sistema!AC275="","",Sistema!AC275)</f>
        <v/>
      </c>
      <c r="AE275" t="str">
        <f>IF(Sistema!AE275="","",Sistema!AE275)</f>
        <v/>
      </c>
      <c r="AH275" t="str">
        <f>IF(Sistema!AH275="","",Sistema!AH275)</f>
        <v/>
      </c>
      <c r="AQ275" t="str">
        <f>IF(Sistema!AQ275="","",Sistema!AQ275)</f>
        <v/>
      </c>
      <c r="AR275" t="str">
        <f>IF(Sistema!AR275="","",Sistema!AR275)</f>
        <v/>
      </c>
      <c r="AS275" t="str">
        <f>IF(Sistema!AS275="","",Sistema!AS275)</f>
        <v/>
      </c>
      <c r="AT275" t="str">
        <f>IF(Sistema!AT275="","",Sistema!AT275)</f>
        <v/>
      </c>
      <c r="AU275" t="str">
        <f>IF(Sistema!AU275="","",Sistema!AU275)</f>
        <v/>
      </c>
      <c r="AV275" t="str">
        <f>IF(Sistema!AV275="","",Sistema!AV275)</f>
        <v/>
      </c>
      <c r="AW275" t="str">
        <f>IF(Sistema!AW275="","",Sistema!AW275)</f>
        <v/>
      </c>
      <c r="AX275" t="str">
        <f>IF(Sistema!AX275="","",Sistema!AX275)</f>
        <v/>
      </c>
      <c r="AY275" t="str">
        <f>IF(Sistema!AY275="","",Sistema!AY275)</f>
        <v/>
      </c>
      <c r="AZ275" t="str">
        <f>IF(Sistema!AZ275="","",Sistema!AZ275)</f>
        <v/>
      </c>
      <c r="BA275" t="str">
        <f>IF(Sistema!BA275="","",Sistema!BA275)</f>
        <v/>
      </c>
      <c r="BB275" t="str">
        <f>IF(Sistema!BB275="","",Sistema!BB275)</f>
        <v/>
      </c>
      <c r="BC275" t="str">
        <f>IF(Sistema!BC275="","",Sistema!BC275)</f>
        <v/>
      </c>
      <c r="BD275" t="str">
        <f>IF(Sistema!BD275="","",Sistema!BD275)</f>
        <v/>
      </c>
      <c r="BE275" t="str">
        <f>IF(Sistema!BE275="","",Sistema!BE275)</f>
        <v/>
      </c>
      <c r="BF275" t="str">
        <f>IF(Sistema!BF275="","",Sistema!BF275)</f>
        <v/>
      </c>
      <c r="BG275" t="str">
        <f>IF(Sistema!BG275="","",Sistema!BG275)</f>
        <v/>
      </c>
      <c r="BH275" t="str">
        <f>IF(Sistema!BH275="","",Sistema!BH275)</f>
        <v/>
      </c>
      <c r="BI275" t="str">
        <f>IF(Sistema!BI275="","",Sistema!BI275)</f>
        <v/>
      </c>
      <c r="BJ275" t="str">
        <f>IF(Sistema!BJ275="","",Sistema!BJ275)</f>
        <v/>
      </c>
      <c r="BK275" t="str">
        <f>IF(Sistema!BK275="","",Sistema!BK275)</f>
        <v/>
      </c>
      <c r="BL275" t="str">
        <f>IF(Sistema!BL275="","",Sistema!BL275)</f>
        <v/>
      </c>
      <c r="BM275" t="str">
        <f>IF(Sistema!BM275="","",Sistema!BM275)</f>
        <v/>
      </c>
      <c r="BN275" t="str">
        <f>IF(Sistema!BN275="","",Sistema!BN275)</f>
        <v/>
      </c>
      <c r="BO275" t="str">
        <f>IF(Sistema!BO275="","",Sistema!BO275)</f>
        <v/>
      </c>
      <c r="BP275" t="str">
        <f>IF(Sistema!BP275="","",Sistema!BP275)</f>
        <v/>
      </c>
      <c r="BQ275" t="str">
        <f>IF(Sistema!BQ275="","",Sistema!BQ275)</f>
        <v/>
      </c>
      <c r="BR275" t="str">
        <f>IF(Sistema!BR275="","",Sistema!BR275)</f>
        <v/>
      </c>
      <c r="BS275" t="str">
        <f>IF(Sistema!BS275="","",Sistema!BS275)</f>
        <v/>
      </c>
      <c r="BT275" t="str">
        <f>IF(Sistema!BT275="","",Sistema!BT275)</f>
        <v/>
      </c>
      <c r="BU275" t="str">
        <f>IF(Sistema!BU275="","",Sistema!BU275)</f>
        <v/>
      </c>
      <c r="BV275" t="str">
        <f>IF(Sistema!BV275="","",Sistema!BV275)</f>
        <v/>
      </c>
      <c r="BW275" t="str">
        <f>IF(Sistema!BW275="","",Sistema!BW275)</f>
        <v/>
      </c>
      <c r="BX275" t="str">
        <f>IF(Sistema!BX275="","",Sistema!BX275)</f>
        <v/>
      </c>
      <c r="BY275" t="str">
        <f>IF(Sistema!BY275="","",Sistema!BY275)</f>
        <v/>
      </c>
      <c r="BZ275" t="str">
        <f>IF(Sistema!BZ275="","",Sistema!BZ275)</f>
        <v/>
      </c>
      <c r="CA275" t="str">
        <f>IF(Sistema!CA275="","",Sistema!CA275)</f>
        <v/>
      </c>
      <c r="CB275" t="str">
        <f>IF(Sistema!CB275="","",Sistema!CB275)</f>
        <v/>
      </c>
      <c r="CC275" t="str">
        <f>IF(Sistema!CC275="","",Sistema!CC275)</f>
        <v/>
      </c>
      <c r="CD275" t="str">
        <f>IF(Sistema!CD275="","",Sistema!CD275)</f>
        <v/>
      </c>
    </row>
    <row r="276" spans="1:82" x14ac:dyDescent="0.25">
      <c r="A276" t="str">
        <f>IF(Sistema!A276="","",Sistema!A276)</f>
        <v/>
      </c>
      <c r="B276" t="str">
        <f>IF(Sistema!B276="","",Sistema!B276)</f>
        <v/>
      </c>
      <c r="C276" t="str">
        <f>IF(Sistema!C276="","",Sistema!C276)</f>
        <v/>
      </c>
      <c r="D276" t="str">
        <f>IF(Sistema!D276="","",Sistema!D276)</f>
        <v/>
      </c>
      <c r="E276" t="str">
        <f>IF(Sistema!E276="","",Sistema!E276)</f>
        <v/>
      </c>
      <c r="F276">
        <f>IF(P276&gt;0,1,IF(Sistema!F276=0,-1,1))</f>
        <v>-1</v>
      </c>
      <c r="G276">
        <f>Sistema!G276</f>
        <v>0</v>
      </c>
      <c r="H276" t="str">
        <f>IF(OR(R276="notify",R276=1),"visible",IF(OR(Sistema!F276=-1,Sistema!F276=0,ISNUMBER(SEARCH("PCK",E276))),"hidden",IF(P276&gt;0,"visible","hidden")))</f>
        <v>hidden</v>
      </c>
      <c r="I276" t="str">
        <f>IF(B276="simple",IF(P276&gt;0,"",IF(R276="notify",Info!C$2,"")),IF(B276="variable",IF(P276&gt;0,"",IF(R276="notify",Info!C$4,"")),""))</f>
        <v/>
      </c>
      <c r="J276" t="str">
        <f>IF(Sistema!J276="","",Sistema!J276)</f>
        <v/>
      </c>
      <c r="M276" t="str">
        <f>IF(Sistema!M276="","",Sistema!M276)</f>
        <v/>
      </c>
      <c r="N276" s="6" t="s">
        <v>1557</v>
      </c>
      <c r="O276" s="6">
        <v>1</v>
      </c>
      <c r="P276">
        <f>Sistema!P276</f>
        <v>0</v>
      </c>
      <c r="Q276">
        <f>Sistema!Q276</f>
        <v>0</v>
      </c>
      <c r="R276">
        <f>IF(Sistema!R276=1,"notify",Sistema!R276)</f>
        <v>0</v>
      </c>
      <c r="T276" t="str">
        <f>IF(Sistema!T276="","",Sistema!T276)</f>
        <v/>
      </c>
      <c r="U276" t="str">
        <f>IF(Sistema!U276="","",Sistema!U276)</f>
        <v/>
      </c>
      <c r="V276" t="str">
        <f>IF(Sistema!V276="","",Sistema!V276)</f>
        <v/>
      </c>
      <c r="W276" t="str">
        <f>IF(Sistema!W276="","",Sistema!W276)</f>
        <v/>
      </c>
      <c r="X276" s="6">
        <v>1</v>
      </c>
      <c r="Z276" t="str">
        <f>IF(Sistema!Z276="","",Sistema!Z276)</f>
        <v/>
      </c>
      <c r="AA276" t="str">
        <f>IF(Sistema!AA276="","",Sistema!AA276)</f>
        <v/>
      </c>
      <c r="AB276" t="str">
        <f>IF(Sistema!AB276="","",IF(OR(ISNUMBER(SEARCH("MKP",E276)),ISNUMBER(SEARCH("MKP",C276))),"Marketplace &gt; "&amp;Sistema!AB276,Sistema!AB276))</f>
        <v/>
      </c>
      <c r="AC276" t="str">
        <f>IF(Sistema!AC276="","",Sistema!AC276)</f>
        <v/>
      </c>
      <c r="AE276" t="str">
        <f>IF(Sistema!AE276="","",Sistema!AE276)</f>
        <v/>
      </c>
      <c r="AH276" t="str">
        <f>IF(Sistema!AH276="","",Sistema!AH276)</f>
        <v/>
      </c>
      <c r="AQ276" t="str">
        <f>IF(Sistema!AQ276="","",Sistema!AQ276)</f>
        <v/>
      </c>
      <c r="AR276" t="str">
        <f>IF(Sistema!AR276="","",Sistema!AR276)</f>
        <v/>
      </c>
      <c r="AS276" t="str">
        <f>IF(Sistema!AS276="","",Sistema!AS276)</f>
        <v/>
      </c>
      <c r="AT276" t="str">
        <f>IF(Sistema!AT276="","",Sistema!AT276)</f>
        <v/>
      </c>
      <c r="AU276" t="str">
        <f>IF(Sistema!AU276="","",Sistema!AU276)</f>
        <v/>
      </c>
      <c r="AV276" t="str">
        <f>IF(Sistema!AV276="","",Sistema!AV276)</f>
        <v/>
      </c>
      <c r="AW276" t="str">
        <f>IF(Sistema!AW276="","",Sistema!AW276)</f>
        <v/>
      </c>
      <c r="AX276" t="str">
        <f>IF(Sistema!AX276="","",Sistema!AX276)</f>
        <v/>
      </c>
      <c r="AY276" t="str">
        <f>IF(Sistema!AY276="","",Sistema!AY276)</f>
        <v/>
      </c>
      <c r="AZ276" t="str">
        <f>IF(Sistema!AZ276="","",Sistema!AZ276)</f>
        <v/>
      </c>
      <c r="BA276" t="str">
        <f>IF(Sistema!BA276="","",Sistema!BA276)</f>
        <v/>
      </c>
      <c r="BB276" t="str">
        <f>IF(Sistema!BB276="","",Sistema!BB276)</f>
        <v/>
      </c>
      <c r="BC276" t="str">
        <f>IF(Sistema!BC276="","",Sistema!BC276)</f>
        <v/>
      </c>
      <c r="BD276" t="str">
        <f>IF(Sistema!BD276="","",Sistema!BD276)</f>
        <v/>
      </c>
      <c r="BE276" t="str">
        <f>IF(Sistema!BE276="","",Sistema!BE276)</f>
        <v/>
      </c>
      <c r="BF276" t="str">
        <f>IF(Sistema!BF276="","",Sistema!BF276)</f>
        <v/>
      </c>
      <c r="BG276" t="str">
        <f>IF(Sistema!BG276="","",Sistema!BG276)</f>
        <v/>
      </c>
      <c r="BH276" t="str">
        <f>IF(Sistema!BH276="","",Sistema!BH276)</f>
        <v/>
      </c>
      <c r="BI276" t="str">
        <f>IF(Sistema!BI276="","",Sistema!BI276)</f>
        <v/>
      </c>
      <c r="BJ276" t="str">
        <f>IF(Sistema!BJ276="","",Sistema!BJ276)</f>
        <v/>
      </c>
      <c r="BK276" t="str">
        <f>IF(Sistema!BK276="","",Sistema!BK276)</f>
        <v/>
      </c>
      <c r="BL276" t="str">
        <f>IF(Sistema!BL276="","",Sistema!BL276)</f>
        <v/>
      </c>
      <c r="BM276" t="str">
        <f>IF(Sistema!BM276="","",Sistema!BM276)</f>
        <v/>
      </c>
      <c r="BN276" t="str">
        <f>IF(Sistema!BN276="","",Sistema!BN276)</f>
        <v/>
      </c>
      <c r="BO276" t="str">
        <f>IF(Sistema!BO276="","",Sistema!BO276)</f>
        <v/>
      </c>
      <c r="BP276" t="str">
        <f>IF(Sistema!BP276="","",Sistema!BP276)</f>
        <v/>
      </c>
      <c r="BQ276" t="str">
        <f>IF(Sistema!BQ276="","",Sistema!BQ276)</f>
        <v/>
      </c>
      <c r="BR276" t="str">
        <f>IF(Sistema!BR276="","",Sistema!BR276)</f>
        <v/>
      </c>
      <c r="BS276" t="str">
        <f>IF(Sistema!BS276="","",Sistema!BS276)</f>
        <v/>
      </c>
      <c r="BT276" t="str">
        <f>IF(Sistema!BT276="","",Sistema!BT276)</f>
        <v/>
      </c>
      <c r="BU276" t="str">
        <f>IF(Sistema!BU276="","",Sistema!BU276)</f>
        <v/>
      </c>
      <c r="BV276" t="str">
        <f>IF(Sistema!BV276="","",Sistema!BV276)</f>
        <v/>
      </c>
      <c r="BW276" t="str">
        <f>IF(Sistema!BW276="","",Sistema!BW276)</f>
        <v/>
      </c>
      <c r="BX276" t="str">
        <f>IF(Sistema!BX276="","",Sistema!BX276)</f>
        <v/>
      </c>
      <c r="BY276" t="str">
        <f>IF(Sistema!BY276="","",Sistema!BY276)</f>
        <v/>
      </c>
      <c r="BZ276" t="str">
        <f>IF(Sistema!BZ276="","",Sistema!BZ276)</f>
        <v/>
      </c>
      <c r="CA276" t="str">
        <f>IF(Sistema!CA276="","",Sistema!CA276)</f>
        <v/>
      </c>
      <c r="CB276" t="str">
        <f>IF(Sistema!CB276="","",Sistema!CB276)</f>
        <v/>
      </c>
      <c r="CC276" t="str">
        <f>IF(Sistema!CC276="","",Sistema!CC276)</f>
        <v/>
      </c>
      <c r="CD276" t="str">
        <f>IF(Sistema!CD276="","",Sistema!CD276)</f>
        <v/>
      </c>
    </row>
    <row r="277" spans="1:82" x14ac:dyDescent="0.25">
      <c r="A277" t="str">
        <f>IF(Sistema!A277="","",Sistema!A277)</f>
        <v/>
      </c>
      <c r="B277" t="str">
        <f>IF(Sistema!B277="","",Sistema!B277)</f>
        <v/>
      </c>
      <c r="C277" t="str">
        <f>IF(Sistema!C277="","",Sistema!C277)</f>
        <v/>
      </c>
      <c r="D277" t="str">
        <f>IF(Sistema!D277="","",Sistema!D277)</f>
        <v/>
      </c>
      <c r="E277" t="str">
        <f>IF(Sistema!E277="","",Sistema!E277)</f>
        <v/>
      </c>
      <c r="F277">
        <f>IF(P277&gt;0,1,IF(Sistema!F277=0,-1,1))</f>
        <v>-1</v>
      </c>
      <c r="G277">
        <f>Sistema!G277</f>
        <v>0</v>
      </c>
      <c r="H277" t="str">
        <f>IF(OR(R277="notify",R277=1),"visible",IF(OR(Sistema!F277=-1,Sistema!F277=0,ISNUMBER(SEARCH("PCK",E277))),"hidden",IF(P277&gt;0,"visible","hidden")))</f>
        <v>hidden</v>
      </c>
      <c r="I277" t="str">
        <f>IF(B277="simple",IF(P277&gt;0,"",IF(R277="notify",Info!C$2,"")),IF(B277="variable",IF(P277&gt;0,"",IF(R277="notify",Info!C$4,"")),""))</f>
        <v/>
      </c>
      <c r="J277" t="str">
        <f>IF(Sistema!J277="","",Sistema!J277)</f>
        <v/>
      </c>
      <c r="M277" t="str">
        <f>IF(Sistema!M277="","",Sistema!M277)</f>
        <v/>
      </c>
      <c r="N277" s="6" t="s">
        <v>1557</v>
      </c>
      <c r="O277" s="6">
        <v>1</v>
      </c>
      <c r="P277">
        <f>Sistema!P277</f>
        <v>0</v>
      </c>
      <c r="Q277">
        <f>Sistema!Q277</f>
        <v>0</v>
      </c>
      <c r="R277">
        <f>IF(Sistema!R277=1,"notify",Sistema!R277)</f>
        <v>0</v>
      </c>
      <c r="T277" t="str">
        <f>IF(Sistema!T277="","",Sistema!T277)</f>
        <v/>
      </c>
      <c r="U277" t="str">
        <f>IF(Sistema!U277="","",Sistema!U277)</f>
        <v/>
      </c>
      <c r="V277" t="str">
        <f>IF(Sistema!V277="","",Sistema!V277)</f>
        <v/>
      </c>
      <c r="W277" t="str">
        <f>IF(Sistema!W277="","",Sistema!W277)</f>
        <v/>
      </c>
      <c r="X277" s="6">
        <v>1</v>
      </c>
      <c r="Z277" t="str">
        <f>IF(Sistema!Z277="","",Sistema!Z277)</f>
        <v/>
      </c>
      <c r="AA277" t="str">
        <f>IF(Sistema!AA277="","",Sistema!AA277)</f>
        <v/>
      </c>
      <c r="AB277" t="str">
        <f>IF(Sistema!AB277="","",IF(OR(ISNUMBER(SEARCH("MKP",E277)),ISNUMBER(SEARCH("MKP",C277))),"Marketplace &gt; "&amp;Sistema!AB277,Sistema!AB277))</f>
        <v/>
      </c>
      <c r="AC277" t="str">
        <f>IF(Sistema!AC277="","",Sistema!AC277)</f>
        <v/>
      </c>
      <c r="AE277" t="str">
        <f>IF(Sistema!AE277="","",Sistema!AE277)</f>
        <v/>
      </c>
      <c r="AH277" t="str">
        <f>IF(Sistema!AH277="","",Sistema!AH277)</f>
        <v/>
      </c>
      <c r="AQ277" t="str">
        <f>IF(Sistema!AQ277="","",Sistema!AQ277)</f>
        <v/>
      </c>
      <c r="AR277" t="str">
        <f>IF(Sistema!AR277="","",Sistema!AR277)</f>
        <v/>
      </c>
      <c r="AS277" t="str">
        <f>IF(Sistema!AS277="","",Sistema!AS277)</f>
        <v/>
      </c>
      <c r="AT277" t="str">
        <f>IF(Sistema!AT277="","",Sistema!AT277)</f>
        <v/>
      </c>
      <c r="AU277" t="str">
        <f>IF(Sistema!AU277="","",Sistema!AU277)</f>
        <v/>
      </c>
      <c r="AV277" t="str">
        <f>IF(Sistema!AV277="","",Sistema!AV277)</f>
        <v/>
      </c>
      <c r="AW277" t="str">
        <f>IF(Sistema!AW277="","",Sistema!AW277)</f>
        <v/>
      </c>
      <c r="AX277" t="str">
        <f>IF(Sistema!AX277="","",Sistema!AX277)</f>
        <v/>
      </c>
      <c r="AY277" t="str">
        <f>IF(Sistema!AY277="","",Sistema!AY277)</f>
        <v/>
      </c>
      <c r="AZ277" t="str">
        <f>IF(Sistema!AZ277="","",Sistema!AZ277)</f>
        <v/>
      </c>
      <c r="BA277" t="str">
        <f>IF(Sistema!BA277="","",Sistema!BA277)</f>
        <v/>
      </c>
      <c r="BB277" t="str">
        <f>IF(Sistema!BB277="","",Sistema!BB277)</f>
        <v/>
      </c>
      <c r="BC277" t="str">
        <f>IF(Sistema!BC277="","",Sistema!BC277)</f>
        <v/>
      </c>
      <c r="BD277" t="str">
        <f>IF(Sistema!BD277="","",Sistema!BD277)</f>
        <v/>
      </c>
      <c r="BE277" t="str">
        <f>IF(Sistema!BE277="","",Sistema!BE277)</f>
        <v/>
      </c>
      <c r="BF277" t="str">
        <f>IF(Sistema!BF277="","",Sistema!BF277)</f>
        <v/>
      </c>
      <c r="BG277" t="str">
        <f>IF(Sistema!BG277="","",Sistema!BG277)</f>
        <v/>
      </c>
      <c r="BH277" t="str">
        <f>IF(Sistema!BH277="","",Sistema!BH277)</f>
        <v/>
      </c>
      <c r="BI277" t="str">
        <f>IF(Sistema!BI277="","",Sistema!BI277)</f>
        <v/>
      </c>
      <c r="BJ277" t="str">
        <f>IF(Sistema!BJ277="","",Sistema!BJ277)</f>
        <v/>
      </c>
      <c r="BK277" t="str">
        <f>IF(Sistema!BK277="","",Sistema!BK277)</f>
        <v/>
      </c>
      <c r="BL277" t="str">
        <f>IF(Sistema!BL277="","",Sistema!BL277)</f>
        <v/>
      </c>
      <c r="BM277" t="str">
        <f>IF(Sistema!BM277="","",Sistema!BM277)</f>
        <v/>
      </c>
      <c r="BN277" t="str">
        <f>IF(Sistema!BN277="","",Sistema!BN277)</f>
        <v/>
      </c>
      <c r="BO277" t="str">
        <f>IF(Sistema!BO277="","",Sistema!BO277)</f>
        <v/>
      </c>
      <c r="BP277" t="str">
        <f>IF(Sistema!BP277="","",Sistema!BP277)</f>
        <v/>
      </c>
      <c r="BQ277" t="str">
        <f>IF(Sistema!BQ277="","",Sistema!BQ277)</f>
        <v/>
      </c>
      <c r="BR277" t="str">
        <f>IF(Sistema!BR277="","",Sistema!BR277)</f>
        <v/>
      </c>
      <c r="BS277" t="str">
        <f>IF(Sistema!BS277="","",Sistema!BS277)</f>
        <v/>
      </c>
      <c r="BT277" t="str">
        <f>IF(Sistema!BT277="","",Sistema!BT277)</f>
        <v/>
      </c>
      <c r="BU277" t="str">
        <f>IF(Sistema!BU277="","",Sistema!BU277)</f>
        <v/>
      </c>
      <c r="BV277" t="str">
        <f>IF(Sistema!BV277="","",Sistema!BV277)</f>
        <v/>
      </c>
      <c r="BW277" t="str">
        <f>IF(Sistema!BW277="","",Sistema!BW277)</f>
        <v/>
      </c>
      <c r="BX277" t="str">
        <f>IF(Sistema!BX277="","",Sistema!BX277)</f>
        <v/>
      </c>
      <c r="BY277" t="str">
        <f>IF(Sistema!BY277="","",Sistema!BY277)</f>
        <v/>
      </c>
      <c r="BZ277" t="str">
        <f>IF(Sistema!BZ277="","",Sistema!BZ277)</f>
        <v/>
      </c>
      <c r="CA277" t="str">
        <f>IF(Sistema!CA277="","",Sistema!CA277)</f>
        <v/>
      </c>
      <c r="CB277" t="str">
        <f>IF(Sistema!CB277="","",Sistema!CB277)</f>
        <v/>
      </c>
      <c r="CC277" t="str">
        <f>IF(Sistema!CC277="","",Sistema!CC277)</f>
        <v/>
      </c>
      <c r="CD277" t="str">
        <f>IF(Sistema!CD277="","",Sistema!CD277)</f>
        <v/>
      </c>
    </row>
    <row r="278" spans="1:82" x14ac:dyDescent="0.25">
      <c r="A278" t="str">
        <f>IF(Sistema!A278="","",Sistema!A278)</f>
        <v/>
      </c>
      <c r="B278" t="str">
        <f>IF(Sistema!B278="","",Sistema!B278)</f>
        <v/>
      </c>
      <c r="C278" t="str">
        <f>IF(Sistema!C278="","",Sistema!C278)</f>
        <v/>
      </c>
      <c r="D278" t="str">
        <f>IF(Sistema!D278="","",Sistema!D278)</f>
        <v/>
      </c>
      <c r="E278" t="str">
        <f>IF(Sistema!E278="","",Sistema!E278)</f>
        <v/>
      </c>
      <c r="F278">
        <f>IF(P278&gt;0,1,IF(Sistema!F278=0,-1,1))</f>
        <v>-1</v>
      </c>
      <c r="G278">
        <f>Sistema!G278</f>
        <v>0</v>
      </c>
      <c r="H278" t="str">
        <f>IF(OR(R278="notify",R278=1),"visible",IF(OR(Sistema!F278=-1,Sistema!F278=0,ISNUMBER(SEARCH("PCK",E278))),"hidden",IF(P278&gt;0,"visible","hidden")))</f>
        <v>hidden</v>
      </c>
      <c r="I278" t="str">
        <f>IF(B278="simple",IF(P278&gt;0,"",IF(R278="notify",Info!C$2,"")),IF(B278="variable",IF(P278&gt;0,"",IF(R278="notify",Info!C$4,"")),""))</f>
        <v/>
      </c>
      <c r="J278" t="str">
        <f>IF(Sistema!J278="","",Sistema!J278)</f>
        <v/>
      </c>
      <c r="M278" t="str">
        <f>IF(Sistema!M278="","",Sistema!M278)</f>
        <v/>
      </c>
      <c r="N278" s="6" t="s">
        <v>1557</v>
      </c>
      <c r="O278" s="6">
        <v>1</v>
      </c>
      <c r="P278">
        <f>Sistema!P278</f>
        <v>0</v>
      </c>
      <c r="Q278">
        <f>Sistema!Q278</f>
        <v>0</v>
      </c>
      <c r="R278">
        <f>IF(Sistema!R278=1,"notify",Sistema!R278)</f>
        <v>0</v>
      </c>
      <c r="T278" t="str">
        <f>IF(Sistema!T278="","",Sistema!T278)</f>
        <v/>
      </c>
      <c r="U278" t="str">
        <f>IF(Sistema!U278="","",Sistema!U278)</f>
        <v/>
      </c>
      <c r="V278" t="str">
        <f>IF(Sistema!V278="","",Sistema!V278)</f>
        <v/>
      </c>
      <c r="W278" t="str">
        <f>IF(Sistema!W278="","",Sistema!W278)</f>
        <v/>
      </c>
      <c r="X278" s="6">
        <v>1</v>
      </c>
      <c r="Z278" t="str">
        <f>IF(Sistema!Z278="","",Sistema!Z278)</f>
        <v/>
      </c>
      <c r="AA278" t="str">
        <f>IF(Sistema!AA278="","",Sistema!AA278)</f>
        <v/>
      </c>
      <c r="AB278" t="str">
        <f>IF(Sistema!AB278="","",IF(OR(ISNUMBER(SEARCH("MKP",E278)),ISNUMBER(SEARCH("MKP",C278))),"Marketplace &gt; "&amp;Sistema!AB278,Sistema!AB278))</f>
        <v/>
      </c>
      <c r="AC278" t="str">
        <f>IF(Sistema!AC278="","",Sistema!AC278)</f>
        <v/>
      </c>
      <c r="AE278" t="str">
        <f>IF(Sistema!AE278="","",Sistema!AE278)</f>
        <v/>
      </c>
      <c r="AH278" t="str">
        <f>IF(Sistema!AH278="","",Sistema!AH278)</f>
        <v/>
      </c>
      <c r="AQ278" t="str">
        <f>IF(Sistema!AQ278="","",Sistema!AQ278)</f>
        <v/>
      </c>
      <c r="AR278" t="str">
        <f>IF(Sistema!AR278="","",Sistema!AR278)</f>
        <v/>
      </c>
      <c r="AS278" t="str">
        <f>IF(Sistema!AS278="","",Sistema!AS278)</f>
        <v/>
      </c>
      <c r="AT278" t="str">
        <f>IF(Sistema!AT278="","",Sistema!AT278)</f>
        <v/>
      </c>
      <c r="AU278" t="str">
        <f>IF(Sistema!AU278="","",Sistema!AU278)</f>
        <v/>
      </c>
      <c r="AV278" t="str">
        <f>IF(Sistema!AV278="","",Sistema!AV278)</f>
        <v/>
      </c>
      <c r="AW278" t="str">
        <f>IF(Sistema!AW278="","",Sistema!AW278)</f>
        <v/>
      </c>
      <c r="AX278" t="str">
        <f>IF(Sistema!AX278="","",Sistema!AX278)</f>
        <v/>
      </c>
      <c r="AY278" t="str">
        <f>IF(Sistema!AY278="","",Sistema!AY278)</f>
        <v/>
      </c>
      <c r="AZ278" t="str">
        <f>IF(Sistema!AZ278="","",Sistema!AZ278)</f>
        <v/>
      </c>
      <c r="BA278" t="str">
        <f>IF(Sistema!BA278="","",Sistema!BA278)</f>
        <v/>
      </c>
      <c r="BB278" t="str">
        <f>IF(Sistema!BB278="","",Sistema!BB278)</f>
        <v/>
      </c>
      <c r="BC278" t="str">
        <f>IF(Sistema!BC278="","",Sistema!BC278)</f>
        <v/>
      </c>
      <c r="BD278" t="str">
        <f>IF(Sistema!BD278="","",Sistema!BD278)</f>
        <v/>
      </c>
      <c r="BE278" t="str">
        <f>IF(Sistema!BE278="","",Sistema!BE278)</f>
        <v/>
      </c>
      <c r="BF278" t="str">
        <f>IF(Sistema!BF278="","",Sistema!BF278)</f>
        <v/>
      </c>
      <c r="BG278" t="str">
        <f>IF(Sistema!BG278="","",Sistema!BG278)</f>
        <v/>
      </c>
      <c r="BH278" t="str">
        <f>IF(Sistema!BH278="","",Sistema!BH278)</f>
        <v/>
      </c>
      <c r="BI278" t="str">
        <f>IF(Sistema!BI278="","",Sistema!BI278)</f>
        <v/>
      </c>
      <c r="BJ278" t="str">
        <f>IF(Sistema!BJ278="","",Sistema!BJ278)</f>
        <v/>
      </c>
      <c r="BK278" t="str">
        <f>IF(Sistema!BK278="","",Sistema!BK278)</f>
        <v/>
      </c>
      <c r="BL278" t="str">
        <f>IF(Sistema!BL278="","",Sistema!BL278)</f>
        <v/>
      </c>
      <c r="BM278" t="str">
        <f>IF(Sistema!BM278="","",Sistema!BM278)</f>
        <v/>
      </c>
      <c r="BN278" t="str">
        <f>IF(Sistema!BN278="","",Sistema!BN278)</f>
        <v/>
      </c>
      <c r="BO278" t="str">
        <f>IF(Sistema!BO278="","",Sistema!BO278)</f>
        <v/>
      </c>
      <c r="BP278" t="str">
        <f>IF(Sistema!BP278="","",Sistema!BP278)</f>
        <v/>
      </c>
      <c r="BQ278" t="str">
        <f>IF(Sistema!BQ278="","",Sistema!BQ278)</f>
        <v/>
      </c>
      <c r="BR278" t="str">
        <f>IF(Sistema!BR278="","",Sistema!BR278)</f>
        <v/>
      </c>
      <c r="BS278" t="str">
        <f>IF(Sistema!BS278="","",Sistema!BS278)</f>
        <v/>
      </c>
      <c r="BT278" t="str">
        <f>IF(Sistema!BT278="","",Sistema!BT278)</f>
        <v/>
      </c>
      <c r="BU278" t="str">
        <f>IF(Sistema!BU278="","",Sistema!BU278)</f>
        <v/>
      </c>
      <c r="BV278" t="str">
        <f>IF(Sistema!BV278="","",Sistema!BV278)</f>
        <v/>
      </c>
      <c r="BW278" t="str">
        <f>IF(Sistema!BW278="","",Sistema!BW278)</f>
        <v/>
      </c>
      <c r="BX278" t="str">
        <f>IF(Sistema!BX278="","",Sistema!BX278)</f>
        <v/>
      </c>
      <c r="BY278" t="str">
        <f>IF(Sistema!BY278="","",Sistema!BY278)</f>
        <v/>
      </c>
      <c r="BZ278" t="str">
        <f>IF(Sistema!BZ278="","",Sistema!BZ278)</f>
        <v/>
      </c>
      <c r="CA278" t="str">
        <f>IF(Sistema!CA278="","",Sistema!CA278)</f>
        <v/>
      </c>
      <c r="CB278" t="str">
        <f>IF(Sistema!CB278="","",Sistema!CB278)</f>
        <v/>
      </c>
      <c r="CC278" t="str">
        <f>IF(Sistema!CC278="","",Sistema!CC278)</f>
        <v/>
      </c>
      <c r="CD278" t="str">
        <f>IF(Sistema!CD278="","",Sistema!CD278)</f>
        <v/>
      </c>
    </row>
    <row r="279" spans="1:82" x14ac:dyDescent="0.25">
      <c r="A279" t="str">
        <f>IF(Sistema!A279="","",Sistema!A279)</f>
        <v/>
      </c>
      <c r="B279" t="str">
        <f>IF(Sistema!B279="","",Sistema!B279)</f>
        <v/>
      </c>
      <c r="C279" t="str">
        <f>IF(Sistema!C279="","",Sistema!C279)</f>
        <v/>
      </c>
      <c r="D279" t="str">
        <f>IF(Sistema!D279="","",Sistema!D279)</f>
        <v/>
      </c>
      <c r="E279" t="str">
        <f>IF(Sistema!E279="","",Sistema!E279)</f>
        <v/>
      </c>
      <c r="F279">
        <f>IF(P279&gt;0,1,IF(Sistema!F279=0,-1,1))</f>
        <v>-1</v>
      </c>
      <c r="G279">
        <f>Sistema!G279</f>
        <v>0</v>
      </c>
      <c r="H279" t="str">
        <f>IF(OR(R279="notify",R279=1),"visible",IF(OR(Sistema!F279=-1,Sistema!F279=0,ISNUMBER(SEARCH("PCK",E279))),"hidden",IF(P279&gt;0,"visible","hidden")))</f>
        <v>hidden</v>
      </c>
      <c r="I279" t="str">
        <f>IF(B279="simple",IF(P279&gt;0,"",IF(R279="notify",Info!C$2,"")),IF(B279="variable",IF(P279&gt;0,"",IF(R279="notify",Info!C$4,"")),""))</f>
        <v/>
      </c>
      <c r="J279" t="str">
        <f>IF(Sistema!J279="","",Sistema!J279)</f>
        <v/>
      </c>
      <c r="M279" t="str">
        <f>IF(Sistema!M279="","",Sistema!M279)</f>
        <v/>
      </c>
      <c r="N279" s="6" t="s">
        <v>1557</v>
      </c>
      <c r="O279" s="6">
        <v>1</v>
      </c>
      <c r="P279">
        <f>Sistema!P279</f>
        <v>0</v>
      </c>
      <c r="Q279">
        <f>Sistema!Q279</f>
        <v>0</v>
      </c>
      <c r="R279">
        <f>IF(Sistema!R279=1,"notify",Sistema!R279)</f>
        <v>0</v>
      </c>
      <c r="T279" t="str">
        <f>IF(Sistema!T279="","",Sistema!T279)</f>
        <v/>
      </c>
      <c r="U279" t="str">
        <f>IF(Sistema!U279="","",Sistema!U279)</f>
        <v/>
      </c>
      <c r="V279" t="str">
        <f>IF(Sistema!V279="","",Sistema!V279)</f>
        <v/>
      </c>
      <c r="W279" t="str">
        <f>IF(Sistema!W279="","",Sistema!W279)</f>
        <v/>
      </c>
      <c r="X279" s="6">
        <v>1</v>
      </c>
      <c r="Z279" t="str">
        <f>IF(Sistema!Z279="","",Sistema!Z279)</f>
        <v/>
      </c>
      <c r="AA279" t="str">
        <f>IF(Sistema!AA279="","",Sistema!AA279)</f>
        <v/>
      </c>
      <c r="AB279" t="str">
        <f>IF(Sistema!AB279="","",IF(OR(ISNUMBER(SEARCH("MKP",E279)),ISNUMBER(SEARCH("MKP",C279))),"Marketplace &gt; "&amp;Sistema!AB279,Sistema!AB279))</f>
        <v/>
      </c>
      <c r="AC279" t="str">
        <f>IF(Sistema!AC279="","",Sistema!AC279)</f>
        <v/>
      </c>
      <c r="AE279" t="str">
        <f>IF(Sistema!AE279="","",Sistema!AE279)</f>
        <v/>
      </c>
      <c r="AH279" t="str">
        <f>IF(Sistema!AH279="","",Sistema!AH279)</f>
        <v/>
      </c>
      <c r="AQ279" t="str">
        <f>IF(Sistema!AQ279="","",Sistema!AQ279)</f>
        <v/>
      </c>
      <c r="AR279" t="str">
        <f>IF(Sistema!AR279="","",Sistema!AR279)</f>
        <v/>
      </c>
      <c r="AS279" t="str">
        <f>IF(Sistema!AS279="","",Sistema!AS279)</f>
        <v/>
      </c>
      <c r="AT279" t="str">
        <f>IF(Sistema!AT279="","",Sistema!AT279)</f>
        <v/>
      </c>
      <c r="AU279" t="str">
        <f>IF(Sistema!AU279="","",Sistema!AU279)</f>
        <v/>
      </c>
      <c r="AV279" t="str">
        <f>IF(Sistema!AV279="","",Sistema!AV279)</f>
        <v/>
      </c>
      <c r="AW279" t="str">
        <f>IF(Sistema!AW279="","",Sistema!AW279)</f>
        <v/>
      </c>
      <c r="AX279" t="str">
        <f>IF(Sistema!AX279="","",Sistema!AX279)</f>
        <v/>
      </c>
      <c r="AY279" t="str">
        <f>IF(Sistema!AY279="","",Sistema!AY279)</f>
        <v/>
      </c>
      <c r="AZ279" t="str">
        <f>IF(Sistema!AZ279="","",Sistema!AZ279)</f>
        <v/>
      </c>
      <c r="BA279" t="str">
        <f>IF(Sistema!BA279="","",Sistema!BA279)</f>
        <v/>
      </c>
      <c r="BB279" t="str">
        <f>IF(Sistema!BB279="","",Sistema!BB279)</f>
        <v/>
      </c>
      <c r="BC279" t="str">
        <f>IF(Sistema!BC279="","",Sistema!BC279)</f>
        <v/>
      </c>
      <c r="BD279" t="str">
        <f>IF(Sistema!BD279="","",Sistema!BD279)</f>
        <v/>
      </c>
      <c r="BE279" t="str">
        <f>IF(Sistema!BE279="","",Sistema!BE279)</f>
        <v/>
      </c>
      <c r="BF279" t="str">
        <f>IF(Sistema!BF279="","",Sistema!BF279)</f>
        <v/>
      </c>
      <c r="BG279" t="str">
        <f>IF(Sistema!BG279="","",Sistema!BG279)</f>
        <v/>
      </c>
      <c r="BH279" t="str">
        <f>IF(Sistema!BH279="","",Sistema!BH279)</f>
        <v/>
      </c>
      <c r="BI279" t="str">
        <f>IF(Sistema!BI279="","",Sistema!BI279)</f>
        <v/>
      </c>
      <c r="BJ279" t="str">
        <f>IF(Sistema!BJ279="","",Sistema!BJ279)</f>
        <v/>
      </c>
      <c r="BK279" t="str">
        <f>IF(Sistema!BK279="","",Sistema!BK279)</f>
        <v/>
      </c>
      <c r="BL279" t="str">
        <f>IF(Sistema!BL279="","",Sistema!BL279)</f>
        <v/>
      </c>
      <c r="BM279" t="str">
        <f>IF(Sistema!BM279="","",Sistema!BM279)</f>
        <v/>
      </c>
      <c r="BN279" t="str">
        <f>IF(Sistema!BN279="","",Sistema!BN279)</f>
        <v/>
      </c>
      <c r="BO279" t="str">
        <f>IF(Sistema!BO279="","",Sistema!BO279)</f>
        <v/>
      </c>
      <c r="BP279" t="str">
        <f>IF(Sistema!BP279="","",Sistema!BP279)</f>
        <v/>
      </c>
      <c r="BQ279" t="str">
        <f>IF(Sistema!BQ279="","",Sistema!BQ279)</f>
        <v/>
      </c>
      <c r="BR279" t="str">
        <f>IF(Sistema!BR279="","",Sistema!BR279)</f>
        <v/>
      </c>
      <c r="BS279" t="str">
        <f>IF(Sistema!BS279="","",Sistema!BS279)</f>
        <v/>
      </c>
      <c r="BT279" t="str">
        <f>IF(Sistema!BT279="","",Sistema!BT279)</f>
        <v/>
      </c>
      <c r="BU279" t="str">
        <f>IF(Sistema!BU279="","",Sistema!BU279)</f>
        <v/>
      </c>
      <c r="BV279" t="str">
        <f>IF(Sistema!BV279="","",Sistema!BV279)</f>
        <v/>
      </c>
      <c r="BW279" t="str">
        <f>IF(Sistema!BW279="","",Sistema!BW279)</f>
        <v/>
      </c>
      <c r="BX279" t="str">
        <f>IF(Sistema!BX279="","",Sistema!BX279)</f>
        <v/>
      </c>
      <c r="BY279" t="str">
        <f>IF(Sistema!BY279="","",Sistema!BY279)</f>
        <v/>
      </c>
      <c r="BZ279" t="str">
        <f>IF(Sistema!BZ279="","",Sistema!BZ279)</f>
        <v/>
      </c>
      <c r="CA279" t="str">
        <f>IF(Sistema!CA279="","",Sistema!CA279)</f>
        <v/>
      </c>
      <c r="CB279" t="str">
        <f>IF(Sistema!CB279="","",Sistema!CB279)</f>
        <v/>
      </c>
      <c r="CC279" t="str">
        <f>IF(Sistema!CC279="","",Sistema!CC279)</f>
        <v/>
      </c>
      <c r="CD279" t="str">
        <f>IF(Sistema!CD279="","",Sistema!CD279)</f>
        <v/>
      </c>
    </row>
    <row r="280" spans="1:82" x14ac:dyDescent="0.25">
      <c r="A280" t="str">
        <f>IF(Sistema!A280="","",Sistema!A280)</f>
        <v/>
      </c>
      <c r="B280" t="str">
        <f>IF(Sistema!B280="","",Sistema!B280)</f>
        <v/>
      </c>
      <c r="C280" t="str">
        <f>IF(Sistema!C280="","",Sistema!C280)</f>
        <v/>
      </c>
      <c r="D280" t="str">
        <f>IF(Sistema!D280="","",Sistema!D280)</f>
        <v/>
      </c>
      <c r="E280" t="str">
        <f>IF(Sistema!E280="","",Sistema!E280)</f>
        <v/>
      </c>
      <c r="F280">
        <f>IF(P280&gt;0,1,IF(Sistema!F280=0,-1,1))</f>
        <v>-1</v>
      </c>
      <c r="G280">
        <f>Sistema!G280</f>
        <v>0</v>
      </c>
      <c r="H280" t="str">
        <f>IF(OR(R280="notify",R280=1),"visible",IF(OR(Sistema!F280=-1,Sistema!F280=0,ISNUMBER(SEARCH("PCK",E280))),"hidden",IF(P280&gt;0,"visible","hidden")))</f>
        <v>hidden</v>
      </c>
      <c r="I280" t="str">
        <f>IF(B280="simple",IF(P280&gt;0,"",IF(R280="notify",Info!C$2,"")),IF(B280="variable",IF(P280&gt;0,"",IF(R280="notify",Info!C$4,"")),""))</f>
        <v/>
      </c>
      <c r="J280" t="str">
        <f>IF(Sistema!J280="","",Sistema!J280)</f>
        <v/>
      </c>
      <c r="M280" t="str">
        <f>IF(Sistema!M280="","",Sistema!M280)</f>
        <v/>
      </c>
      <c r="N280" s="6" t="s">
        <v>1557</v>
      </c>
      <c r="O280" s="6">
        <v>1</v>
      </c>
      <c r="P280">
        <f>Sistema!P280</f>
        <v>0</v>
      </c>
      <c r="Q280">
        <f>Sistema!Q280</f>
        <v>0</v>
      </c>
      <c r="R280">
        <f>IF(Sistema!R280=1,"notify",Sistema!R280)</f>
        <v>0</v>
      </c>
      <c r="T280" t="str">
        <f>IF(Sistema!T280="","",Sistema!T280)</f>
        <v/>
      </c>
      <c r="U280" t="str">
        <f>IF(Sistema!U280="","",Sistema!U280)</f>
        <v/>
      </c>
      <c r="V280" t="str">
        <f>IF(Sistema!V280="","",Sistema!V280)</f>
        <v/>
      </c>
      <c r="W280" t="str">
        <f>IF(Sistema!W280="","",Sistema!W280)</f>
        <v/>
      </c>
      <c r="X280" s="6">
        <v>1</v>
      </c>
      <c r="Z280" t="str">
        <f>IF(Sistema!Z280="","",Sistema!Z280)</f>
        <v/>
      </c>
      <c r="AA280" t="str">
        <f>IF(Sistema!AA280="","",Sistema!AA280)</f>
        <v/>
      </c>
      <c r="AB280" t="str">
        <f>IF(Sistema!AB280="","",IF(OR(ISNUMBER(SEARCH("MKP",E280)),ISNUMBER(SEARCH("MKP",C280))),"Marketplace &gt; "&amp;Sistema!AB280,Sistema!AB280))</f>
        <v/>
      </c>
      <c r="AC280" t="str">
        <f>IF(Sistema!AC280="","",Sistema!AC280)</f>
        <v/>
      </c>
      <c r="AE280" t="str">
        <f>IF(Sistema!AE280="","",Sistema!AE280)</f>
        <v/>
      </c>
      <c r="AH280" t="str">
        <f>IF(Sistema!AH280="","",Sistema!AH280)</f>
        <v/>
      </c>
      <c r="AQ280" t="str">
        <f>IF(Sistema!AQ280="","",Sistema!AQ280)</f>
        <v/>
      </c>
      <c r="AR280" t="str">
        <f>IF(Sistema!AR280="","",Sistema!AR280)</f>
        <v/>
      </c>
      <c r="AS280" t="str">
        <f>IF(Sistema!AS280="","",Sistema!AS280)</f>
        <v/>
      </c>
      <c r="AT280" t="str">
        <f>IF(Sistema!AT280="","",Sistema!AT280)</f>
        <v/>
      </c>
      <c r="AU280" t="str">
        <f>IF(Sistema!AU280="","",Sistema!AU280)</f>
        <v/>
      </c>
      <c r="AV280" t="str">
        <f>IF(Sistema!AV280="","",Sistema!AV280)</f>
        <v/>
      </c>
      <c r="AW280" t="str">
        <f>IF(Sistema!AW280="","",Sistema!AW280)</f>
        <v/>
      </c>
      <c r="AX280" t="str">
        <f>IF(Sistema!AX280="","",Sistema!AX280)</f>
        <v/>
      </c>
      <c r="AY280" t="str">
        <f>IF(Sistema!AY280="","",Sistema!AY280)</f>
        <v/>
      </c>
      <c r="AZ280" t="str">
        <f>IF(Sistema!AZ280="","",Sistema!AZ280)</f>
        <v/>
      </c>
      <c r="BA280" t="str">
        <f>IF(Sistema!BA280="","",Sistema!BA280)</f>
        <v/>
      </c>
      <c r="BB280" t="str">
        <f>IF(Sistema!BB280="","",Sistema!BB280)</f>
        <v/>
      </c>
      <c r="BC280" t="str">
        <f>IF(Sistema!BC280="","",Sistema!BC280)</f>
        <v/>
      </c>
      <c r="BD280" t="str">
        <f>IF(Sistema!BD280="","",Sistema!BD280)</f>
        <v/>
      </c>
      <c r="BE280" t="str">
        <f>IF(Sistema!BE280="","",Sistema!BE280)</f>
        <v/>
      </c>
      <c r="BF280" t="str">
        <f>IF(Sistema!BF280="","",Sistema!BF280)</f>
        <v/>
      </c>
      <c r="BG280" t="str">
        <f>IF(Sistema!BG280="","",Sistema!BG280)</f>
        <v/>
      </c>
      <c r="BH280" t="str">
        <f>IF(Sistema!BH280="","",Sistema!BH280)</f>
        <v/>
      </c>
      <c r="BI280" t="str">
        <f>IF(Sistema!BI280="","",Sistema!BI280)</f>
        <v/>
      </c>
      <c r="BJ280" t="str">
        <f>IF(Sistema!BJ280="","",Sistema!BJ280)</f>
        <v/>
      </c>
      <c r="BK280" t="str">
        <f>IF(Sistema!BK280="","",Sistema!BK280)</f>
        <v/>
      </c>
      <c r="BL280" t="str">
        <f>IF(Sistema!BL280="","",Sistema!BL280)</f>
        <v/>
      </c>
      <c r="BM280" t="str">
        <f>IF(Sistema!BM280="","",Sistema!BM280)</f>
        <v/>
      </c>
      <c r="BN280" t="str">
        <f>IF(Sistema!BN280="","",Sistema!BN280)</f>
        <v/>
      </c>
      <c r="BO280" t="str">
        <f>IF(Sistema!BO280="","",Sistema!BO280)</f>
        <v/>
      </c>
      <c r="BP280" t="str">
        <f>IF(Sistema!BP280="","",Sistema!BP280)</f>
        <v/>
      </c>
      <c r="BQ280" t="str">
        <f>IF(Sistema!BQ280="","",Sistema!BQ280)</f>
        <v/>
      </c>
      <c r="BR280" t="str">
        <f>IF(Sistema!BR280="","",Sistema!BR280)</f>
        <v/>
      </c>
      <c r="BS280" t="str">
        <f>IF(Sistema!BS280="","",Sistema!BS280)</f>
        <v/>
      </c>
      <c r="BT280" t="str">
        <f>IF(Sistema!BT280="","",Sistema!BT280)</f>
        <v/>
      </c>
      <c r="BU280" t="str">
        <f>IF(Sistema!BU280="","",Sistema!BU280)</f>
        <v/>
      </c>
      <c r="BV280" t="str">
        <f>IF(Sistema!BV280="","",Sistema!BV280)</f>
        <v/>
      </c>
      <c r="BW280" t="str">
        <f>IF(Sistema!BW280="","",Sistema!BW280)</f>
        <v/>
      </c>
      <c r="BX280" t="str">
        <f>IF(Sistema!BX280="","",Sistema!BX280)</f>
        <v/>
      </c>
      <c r="BY280" t="str">
        <f>IF(Sistema!BY280="","",Sistema!BY280)</f>
        <v/>
      </c>
      <c r="BZ280" t="str">
        <f>IF(Sistema!BZ280="","",Sistema!BZ280)</f>
        <v/>
      </c>
      <c r="CA280" t="str">
        <f>IF(Sistema!CA280="","",Sistema!CA280)</f>
        <v/>
      </c>
      <c r="CB280" t="str">
        <f>IF(Sistema!CB280="","",Sistema!CB280)</f>
        <v/>
      </c>
      <c r="CC280" t="str">
        <f>IF(Sistema!CC280="","",Sistema!CC280)</f>
        <v/>
      </c>
      <c r="CD280" t="str">
        <f>IF(Sistema!CD280="","",Sistema!CD280)</f>
        <v/>
      </c>
    </row>
    <row r="281" spans="1:82" x14ac:dyDescent="0.25">
      <c r="A281" t="str">
        <f>IF(Sistema!A281="","",Sistema!A281)</f>
        <v/>
      </c>
      <c r="B281" t="str">
        <f>IF(Sistema!B281="","",Sistema!B281)</f>
        <v/>
      </c>
      <c r="C281" t="str">
        <f>IF(Sistema!C281="","",Sistema!C281)</f>
        <v/>
      </c>
      <c r="D281" t="str">
        <f>IF(Sistema!D281="","",Sistema!D281)</f>
        <v/>
      </c>
      <c r="E281" t="str">
        <f>IF(Sistema!E281="","",Sistema!E281)</f>
        <v/>
      </c>
      <c r="F281">
        <f>IF(P281&gt;0,1,IF(Sistema!F281=0,-1,1))</f>
        <v>-1</v>
      </c>
      <c r="G281">
        <f>Sistema!G281</f>
        <v>0</v>
      </c>
      <c r="H281" t="str">
        <f>IF(OR(R281="notify",R281=1),"visible",IF(OR(Sistema!F281=-1,Sistema!F281=0,ISNUMBER(SEARCH("PCK",E281))),"hidden",IF(P281&gt;0,"visible","hidden")))</f>
        <v>hidden</v>
      </c>
      <c r="I281" t="str">
        <f>IF(B281="simple",IF(P281&gt;0,"",IF(R281="notify",Info!C$2,"")),IF(B281="variable",IF(P281&gt;0,"",IF(R281="notify",Info!C$4,"")),""))</f>
        <v/>
      </c>
      <c r="J281" t="str">
        <f>IF(Sistema!J281="","",Sistema!J281)</f>
        <v/>
      </c>
      <c r="M281" t="str">
        <f>IF(Sistema!M281="","",Sistema!M281)</f>
        <v/>
      </c>
      <c r="N281" s="6" t="s">
        <v>1557</v>
      </c>
      <c r="O281" s="6">
        <v>1</v>
      </c>
      <c r="P281">
        <f>Sistema!P281</f>
        <v>0</v>
      </c>
      <c r="Q281">
        <f>Sistema!Q281</f>
        <v>0</v>
      </c>
      <c r="R281">
        <f>IF(Sistema!R281=1,"notify",Sistema!R281)</f>
        <v>0</v>
      </c>
      <c r="T281" t="str">
        <f>IF(Sistema!T281="","",Sistema!T281)</f>
        <v/>
      </c>
      <c r="U281" t="str">
        <f>IF(Sistema!U281="","",Sistema!U281)</f>
        <v/>
      </c>
      <c r="V281" t="str">
        <f>IF(Sistema!V281="","",Sistema!V281)</f>
        <v/>
      </c>
      <c r="W281" t="str">
        <f>IF(Sistema!W281="","",Sistema!W281)</f>
        <v/>
      </c>
      <c r="X281" s="6">
        <v>1</v>
      </c>
      <c r="Z281" t="str">
        <f>IF(Sistema!Z281="","",Sistema!Z281)</f>
        <v/>
      </c>
      <c r="AA281" t="str">
        <f>IF(Sistema!AA281="","",Sistema!AA281)</f>
        <v/>
      </c>
      <c r="AB281" t="str">
        <f>IF(Sistema!AB281="","",IF(OR(ISNUMBER(SEARCH("MKP",E281)),ISNUMBER(SEARCH("MKP",C281))),"Marketplace &gt; "&amp;Sistema!AB281,Sistema!AB281))</f>
        <v/>
      </c>
      <c r="AC281" t="str">
        <f>IF(Sistema!AC281="","",Sistema!AC281)</f>
        <v/>
      </c>
      <c r="AE281" t="str">
        <f>IF(Sistema!AE281="","",Sistema!AE281)</f>
        <v/>
      </c>
      <c r="AH281" t="str">
        <f>IF(Sistema!AH281="","",Sistema!AH281)</f>
        <v/>
      </c>
      <c r="AQ281" t="str">
        <f>IF(Sistema!AQ281="","",Sistema!AQ281)</f>
        <v/>
      </c>
      <c r="AR281" t="str">
        <f>IF(Sistema!AR281="","",Sistema!AR281)</f>
        <v/>
      </c>
      <c r="AS281" t="str">
        <f>IF(Sistema!AS281="","",Sistema!AS281)</f>
        <v/>
      </c>
      <c r="AT281" t="str">
        <f>IF(Sistema!AT281="","",Sistema!AT281)</f>
        <v/>
      </c>
      <c r="AU281" t="str">
        <f>IF(Sistema!AU281="","",Sistema!AU281)</f>
        <v/>
      </c>
      <c r="AV281" t="str">
        <f>IF(Sistema!AV281="","",Sistema!AV281)</f>
        <v/>
      </c>
      <c r="AW281" t="str">
        <f>IF(Sistema!AW281="","",Sistema!AW281)</f>
        <v/>
      </c>
      <c r="AX281" t="str">
        <f>IF(Sistema!AX281="","",Sistema!AX281)</f>
        <v/>
      </c>
      <c r="AY281" t="str">
        <f>IF(Sistema!AY281="","",Sistema!AY281)</f>
        <v/>
      </c>
      <c r="AZ281" t="str">
        <f>IF(Sistema!AZ281="","",Sistema!AZ281)</f>
        <v/>
      </c>
      <c r="BA281" t="str">
        <f>IF(Sistema!BA281="","",Sistema!BA281)</f>
        <v/>
      </c>
      <c r="BB281" t="str">
        <f>IF(Sistema!BB281="","",Sistema!BB281)</f>
        <v/>
      </c>
      <c r="BC281" t="str">
        <f>IF(Sistema!BC281="","",Sistema!BC281)</f>
        <v/>
      </c>
      <c r="BD281" t="str">
        <f>IF(Sistema!BD281="","",Sistema!BD281)</f>
        <v/>
      </c>
      <c r="BE281" t="str">
        <f>IF(Sistema!BE281="","",Sistema!BE281)</f>
        <v/>
      </c>
      <c r="BF281" t="str">
        <f>IF(Sistema!BF281="","",Sistema!BF281)</f>
        <v/>
      </c>
      <c r="BG281" t="str">
        <f>IF(Sistema!BG281="","",Sistema!BG281)</f>
        <v/>
      </c>
      <c r="BH281" t="str">
        <f>IF(Sistema!BH281="","",Sistema!BH281)</f>
        <v/>
      </c>
      <c r="BI281" t="str">
        <f>IF(Sistema!BI281="","",Sistema!BI281)</f>
        <v/>
      </c>
      <c r="BJ281" t="str">
        <f>IF(Sistema!BJ281="","",Sistema!BJ281)</f>
        <v/>
      </c>
      <c r="BK281" t="str">
        <f>IF(Sistema!BK281="","",Sistema!BK281)</f>
        <v/>
      </c>
      <c r="BL281" t="str">
        <f>IF(Sistema!BL281="","",Sistema!BL281)</f>
        <v/>
      </c>
      <c r="BM281" t="str">
        <f>IF(Sistema!BM281="","",Sistema!BM281)</f>
        <v/>
      </c>
      <c r="BN281" t="str">
        <f>IF(Sistema!BN281="","",Sistema!BN281)</f>
        <v/>
      </c>
      <c r="BO281" t="str">
        <f>IF(Sistema!BO281="","",Sistema!BO281)</f>
        <v/>
      </c>
      <c r="BP281" t="str">
        <f>IF(Sistema!BP281="","",Sistema!BP281)</f>
        <v/>
      </c>
      <c r="BQ281" t="str">
        <f>IF(Sistema!BQ281="","",Sistema!BQ281)</f>
        <v/>
      </c>
      <c r="BR281" t="str">
        <f>IF(Sistema!BR281="","",Sistema!BR281)</f>
        <v/>
      </c>
      <c r="BS281" t="str">
        <f>IF(Sistema!BS281="","",Sistema!BS281)</f>
        <v/>
      </c>
      <c r="BT281" t="str">
        <f>IF(Sistema!BT281="","",Sistema!BT281)</f>
        <v/>
      </c>
      <c r="BU281" t="str">
        <f>IF(Sistema!BU281="","",Sistema!BU281)</f>
        <v/>
      </c>
      <c r="BV281" t="str">
        <f>IF(Sistema!BV281="","",Sistema!BV281)</f>
        <v/>
      </c>
      <c r="BW281" t="str">
        <f>IF(Sistema!BW281="","",Sistema!BW281)</f>
        <v/>
      </c>
      <c r="BX281" t="str">
        <f>IF(Sistema!BX281="","",Sistema!BX281)</f>
        <v/>
      </c>
      <c r="BY281" t="str">
        <f>IF(Sistema!BY281="","",Sistema!BY281)</f>
        <v/>
      </c>
      <c r="BZ281" t="str">
        <f>IF(Sistema!BZ281="","",Sistema!BZ281)</f>
        <v/>
      </c>
      <c r="CA281" t="str">
        <f>IF(Sistema!CA281="","",Sistema!CA281)</f>
        <v/>
      </c>
      <c r="CB281" t="str">
        <f>IF(Sistema!CB281="","",Sistema!CB281)</f>
        <v/>
      </c>
      <c r="CC281" t="str">
        <f>IF(Sistema!CC281="","",Sistema!CC281)</f>
        <v/>
      </c>
      <c r="CD281" t="str">
        <f>IF(Sistema!CD281="","",Sistema!CD281)</f>
        <v/>
      </c>
    </row>
    <row r="282" spans="1:82" x14ac:dyDescent="0.25">
      <c r="A282" t="str">
        <f>IF(Sistema!A282="","",Sistema!A282)</f>
        <v/>
      </c>
      <c r="B282" t="str">
        <f>IF(Sistema!B282="","",Sistema!B282)</f>
        <v/>
      </c>
      <c r="C282" t="str">
        <f>IF(Sistema!C282="","",Sistema!C282)</f>
        <v/>
      </c>
      <c r="D282" t="str">
        <f>IF(Sistema!D282="","",Sistema!D282)</f>
        <v/>
      </c>
      <c r="E282" t="str">
        <f>IF(Sistema!E282="","",Sistema!E282)</f>
        <v/>
      </c>
      <c r="F282">
        <f>IF(P282&gt;0,1,IF(Sistema!F282=0,-1,1))</f>
        <v>-1</v>
      </c>
      <c r="G282">
        <f>Sistema!G282</f>
        <v>0</v>
      </c>
      <c r="H282" t="str">
        <f>IF(OR(R282="notify",R282=1),"visible",IF(OR(Sistema!F282=-1,Sistema!F282=0,ISNUMBER(SEARCH("PCK",E282))),"hidden",IF(P282&gt;0,"visible","hidden")))</f>
        <v>hidden</v>
      </c>
      <c r="I282" t="str">
        <f>IF(B282="simple",IF(P282&gt;0,"",IF(R282="notify",Info!C$2,"")),IF(B282="variable",IF(P282&gt;0,"",IF(R282="notify",Info!C$4,"")),""))</f>
        <v/>
      </c>
      <c r="J282" t="str">
        <f>IF(Sistema!J282="","",Sistema!J282)</f>
        <v/>
      </c>
      <c r="M282" t="str">
        <f>IF(Sistema!M282="","",Sistema!M282)</f>
        <v/>
      </c>
      <c r="N282" s="6" t="s">
        <v>1557</v>
      </c>
      <c r="O282" s="6">
        <v>1</v>
      </c>
      <c r="P282">
        <f>Sistema!P282</f>
        <v>0</v>
      </c>
      <c r="Q282">
        <f>Sistema!Q282</f>
        <v>0</v>
      </c>
      <c r="R282">
        <f>IF(Sistema!R282=1,"notify",Sistema!R282)</f>
        <v>0</v>
      </c>
      <c r="T282" t="str">
        <f>IF(Sistema!T282="","",Sistema!T282)</f>
        <v/>
      </c>
      <c r="U282" t="str">
        <f>IF(Sistema!U282="","",Sistema!U282)</f>
        <v/>
      </c>
      <c r="V282" t="str">
        <f>IF(Sistema!V282="","",Sistema!V282)</f>
        <v/>
      </c>
      <c r="W282" t="str">
        <f>IF(Sistema!W282="","",Sistema!W282)</f>
        <v/>
      </c>
      <c r="X282" s="6">
        <v>1</v>
      </c>
      <c r="Z282" t="str">
        <f>IF(Sistema!Z282="","",Sistema!Z282)</f>
        <v/>
      </c>
      <c r="AA282" t="str">
        <f>IF(Sistema!AA282="","",Sistema!AA282)</f>
        <v/>
      </c>
      <c r="AB282" t="str">
        <f>IF(Sistema!AB282="","",IF(OR(ISNUMBER(SEARCH("MKP",E282)),ISNUMBER(SEARCH("MKP",C282))),"Marketplace &gt; "&amp;Sistema!AB282,Sistema!AB282))</f>
        <v/>
      </c>
      <c r="AC282" t="str">
        <f>IF(Sistema!AC282="","",Sistema!AC282)</f>
        <v/>
      </c>
      <c r="AE282" t="str">
        <f>IF(Sistema!AE282="","",Sistema!AE282)</f>
        <v/>
      </c>
      <c r="AH282" t="str">
        <f>IF(Sistema!AH282="","",Sistema!AH282)</f>
        <v/>
      </c>
      <c r="AQ282" t="str">
        <f>IF(Sistema!AQ282="","",Sistema!AQ282)</f>
        <v/>
      </c>
      <c r="AR282" t="str">
        <f>IF(Sistema!AR282="","",Sistema!AR282)</f>
        <v/>
      </c>
      <c r="AS282" t="str">
        <f>IF(Sistema!AS282="","",Sistema!AS282)</f>
        <v/>
      </c>
      <c r="AT282" t="str">
        <f>IF(Sistema!AT282="","",Sistema!AT282)</f>
        <v/>
      </c>
      <c r="AU282" t="str">
        <f>IF(Sistema!AU282="","",Sistema!AU282)</f>
        <v/>
      </c>
      <c r="AV282" t="str">
        <f>IF(Sistema!AV282="","",Sistema!AV282)</f>
        <v/>
      </c>
      <c r="AW282" t="str">
        <f>IF(Sistema!AW282="","",Sistema!AW282)</f>
        <v/>
      </c>
      <c r="AX282" t="str">
        <f>IF(Sistema!AX282="","",Sistema!AX282)</f>
        <v/>
      </c>
      <c r="AY282" t="str">
        <f>IF(Sistema!AY282="","",Sistema!AY282)</f>
        <v/>
      </c>
      <c r="AZ282" t="str">
        <f>IF(Sistema!AZ282="","",Sistema!AZ282)</f>
        <v/>
      </c>
      <c r="BA282" t="str">
        <f>IF(Sistema!BA282="","",Sistema!BA282)</f>
        <v/>
      </c>
      <c r="BB282" t="str">
        <f>IF(Sistema!BB282="","",Sistema!BB282)</f>
        <v/>
      </c>
      <c r="BC282" t="str">
        <f>IF(Sistema!BC282="","",Sistema!BC282)</f>
        <v/>
      </c>
      <c r="BD282" t="str">
        <f>IF(Sistema!BD282="","",Sistema!BD282)</f>
        <v/>
      </c>
      <c r="BE282" t="str">
        <f>IF(Sistema!BE282="","",Sistema!BE282)</f>
        <v/>
      </c>
      <c r="BF282" t="str">
        <f>IF(Sistema!BF282="","",Sistema!BF282)</f>
        <v/>
      </c>
      <c r="BG282" t="str">
        <f>IF(Sistema!BG282="","",Sistema!BG282)</f>
        <v/>
      </c>
      <c r="BH282" t="str">
        <f>IF(Sistema!BH282="","",Sistema!BH282)</f>
        <v/>
      </c>
      <c r="BI282" t="str">
        <f>IF(Sistema!BI282="","",Sistema!BI282)</f>
        <v/>
      </c>
      <c r="BJ282" t="str">
        <f>IF(Sistema!BJ282="","",Sistema!BJ282)</f>
        <v/>
      </c>
      <c r="BK282" t="str">
        <f>IF(Sistema!BK282="","",Sistema!BK282)</f>
        <v/>
      </c>
      <c r="BL282" t="str">
        <f>IF(Sistema!BL282="","",Sistema!BL282)</f>
        <v/>
      </c>
      <c r="BM282" t="str">
        <f>IF(Sistema!BM282="","",Sistema!BM282)</f>
        <v/>
      </c>
      <c r="BN282" t="str">
        <f>IF(Sistema!BN282="","",Sistema!BN282)</f>
        <v/>
      </c>
      <c r="BO282" t="str">
        <f>IF(Sistema!BO282="","",Sistema!BO282)</f>
        <v/>
      </c>
      <c r="BP282" t="str">
        <f>IF(Sistema!BP282="","",Sistema!BP282)</f>
        <v/>
      </c>
      <c r="BQ282" t="str">
        <f>IF(Sistema!BQ282="","",Sistema!BQ282)</f>
        <v/>
      </c>
      <c r="BR282" t="str">
        <f>IF(Sistema!BR282="","",Sistema!BR282)</f>
        <v/>
      </c>
      <c r="BS282" t="str">
        <f>IF(Sistema!BS282="","",Sistema!BS282)</f>
        <v/>
      </c>
      <c r="BT282" t="str">
        <f>IF(Sistema!BT282="","",Sistema!BT282)</f>
        <v/>
      </c>
      <c r="BU282" t="str">
        <f>IF(Sistema!BU282="","",Sistema!BU282)</f>
        <v/>
      </c>
      <c r="BV282" t="str">
        <f>IF(Sistema!BV282="","",Sistema!BV282)</f>
        <v/>
      </c>
      <c r="BW282" t="str">
        <f>IF(Sistema!BW282="","",Sistema!BW282)</f>
        <v/>
      </c>
      <c r="BX282" t="str">
        <f>IF(Sistema!BX282="","",Sistema!BX282)</f>
        <v/>
      </c>
      <c r="BY282" t="str">
        <f>IF(Sistema!BY282="","",Sistema!BY282)</f>
        <v/>
      </c>
      <c r="BZ282" t="str">
        <f>IF(Sistema!BZ282="","",Sistema!BZ282)</f>
        <v/>
      </c>
      <c r="CA282" t="str">
        <f>IF(Sistema!CA282="","",Sistema!CA282)</f>
        <v/>
      </c>
      <c r="CB282" t="str">
        <f>IF(Sistema!CB282="","",Sistema!CB282)</f>
        <v/>
      </c>
      <c r="CC282" t="str">
        <f>IF(Sistema!CC282="","",Sistema!CC282)</f>
        <v/>
      </c>
      <c r="CD282" t="str">
        <f>IF(Sistema!CD282="","",Sistema!CD282)</f>
        <v/>
      </c>
    </row>
    <row r="283" spans="1:82" x14ac:dyDescent="0.25">
      <c r="A283" t="str">
        <f>IF(Sistema!A283="","",Sistema!A283)</f>
        <v/>
      </c>
      <c r="B283" t="str">
        <f>IF(Sistema!B283="","",Sistema!B283)</f>
        <v/>
      </c>
      <c r="C283" t="str">
        <f>IF(Sistema!C283="","",Sistema!C283)</f>
        <v/>
      </c>
      <c r="D283" t="str">
        <f>IF(Sistema!D283="","",Sistema!D283)</f>
        <v/>
      </c>
      <c r="E283" t="str">
        <f>IF(Sistema!E283="","",Sistema!E283)</f>
        <v/>
      </c>
      <c r="F283">
        <f>IF(P283&gt;0,1,IF(Sistema!F283=0,-1,1))</f>
        <v>-1</v>
      </c>
      <c r="G283">
        <f>Sistema!G283</f>
        <v>0</v>
      </c>
      <c r="H283" t="str">
        <f>IF(OR(R283="notify",R283=1),"visible",IF(OR(Sistema!F283=-1,Sistema!F283=0,ISNUMBER(SEARCH("PCK",E283))),"hidden",IF(P283&gt;0,"visible","hidden")))</f>
        <v>hidden</v>
      </c>
      <c r="I283" t="str">
        <f>IF(B283="simple",IF(P283&gt;0,"",IF(R283="notify",Info!C$2,"")),IF(B283="variable",IF(P283&gt;0,"",IF(R283="notify",Info!C$4,"")),""))</f>
        <v/>
      </c>
      <c r="J283" t="str">
        <f>IF(Sistema!J283="","",Sistema!J283)</f>
        <v/>
      </c>
      <c r="M283" t="str">
        <f>IF(Sistema!M283="","",Sistema!M283)</f>
        <v/>
      </c>
      <c r="N283" s="6" t="s">
        <v>1557</v>
      </c>
      <c r="O283" s="6">
        <v>1</v>
      </c>
      <c r="P283">
        <f>Sistema!P283</f>
        <v>0</v>
      </c>
      <c r="Q283">
        <f>Sistema!Q283</f>
        <v>0</v>
      </c>
      <c r="R283">
        <f>IF(Sistema!R283=1,"notify",Sistema!R283)</f>
        <v>0</v>
      </c>
      <c r="T283" t="str">
        <f>IF(Sistema!T283="","",Sistema!T283)</f>
        <v/>
      </c>
      <c r="U283" t="str">
        <f>IF(Sistema!U283="","",Sistema!U283)</f>
        <v/>
      </c>
      <c r="V283" t="str">
        <f>IF(Sistema!V283="","",Sistema!V283)</f>
        <v/>
      </c>
      <c r="W283" t="str">
        <f>IF(Sistema!W283="","",Sistema!W283)</f>
        <v/>
      </c>
      <c r="X283" s="6">
        <v>1</v>
      </c>
      <c r="Z283" t="str">
        <f>IF(Sistema!Z283="","",Sistema!Z283)</f>
        <v/>
      </c>
      <c r="AA283" t="str">
        <f>IF(Sistema!AA283="","",Sistema!AA283)</f>
        <v/>
      </c>
      <c r="AB283" t="str">
        <f>IF(Sistema!AB283="","",IF(OR(ISNUMBER(SEARCH("MKP",E283)),ISNUMBER(SEARCH("MKP",C283))),"Marketplace &gt; "&amp;Sistema!AB283,Sistema!AB283))</f>
        <v/>
      </c>
      <c r="AC283" t="str">
        <f>IF(Sistema!AC283="","",Sistema!AC283)</f>
        <v/>
      </c>
      <c r="AE283" t="str">
        <f>IF(Sistema!AE283="","",Sistema!AE283)</f>
        <v/>
      </c>
      <c r="AH283" t="str">
        <f>IF(Sistema!AH283="","",Sistema!AH283)</f>
        <v/>
      </c>
      <c r="AQ283" t="str">
        <f>IF(Sistema!AQ283="","",Sistema!AQ283)</f>
        <v/>
      </c>
      <c r="AR283" t="str">
        <f>IF(Sistema!AR283="","",Sistema!AR283)</f>
        <v/>
      </c>
      <c r="AS283" t="str">
        <f>IF(Sistema!AS283="","",Sistema!AS283)</f>
        <v/>
      </c>
      <c r="AT283" t="str">
        <f>IF(Sistema!AT283="","",Sistema!AT283)</f>
        <v/>
      </c>
      <c r="AU283" t="str">
        <f>IF(Sistema!AU283="","",Sistema!AU283)</f>
        <v/>
      </c>
      <c r="AV283" t="str">
        <f>IF(Sistema!AV283="","",Sistema!AV283)</f>
        <v/>
      </c>
      <c r="AW283" t="str">
        <f>IF(Sistema!AW283="","",Sistema!AW283)</f>
        <v/>
      </c>
      <c r="AX283" t="str">
        <f>IF(Sistema!AX283="","",Sistema!AX283)</f>
        <v/>
      </c>
      <c r="AY283" t="str">
        <f>IF(Sistema!AY283="","",Sistema!AY283)</f>
        <v/>
      </c>
      <c r="AZ283" t="str">
        <f>IF(Sistema!AZ283="","",Sistema!AZ283)</f>
        <v/>
      </c>
      <c r="BA283" t="str">
        <f>IF(Sistema!BA283="","",Sistema!BA283)</f>
        <v/>
      </c>
      <c r="BB283" t="str">
        <f>IF(Sistema!BB283="","",Sistema!BB283)</f>
        <v/>
      </c>
      <c r="BC283" t="str">
        <f>IF(Sistema!BC283="","",Sistema!BC283)</f>
        <v/>
      </c>
      <c r="BD283" t="str">
        <f>IF(Sistema!BD283="","",Sistema!BD283)</f>
        <v/>
      </c>
      <c r="BE283" t="str">
        <f>IF(Sistema!BE283="","",Sistema!BE283)</f>
        <v/>
      </c>
      <c r="BF283" t="str">
        <f>IF(Sistema!BF283="","",Sistema!BF283)</f>
        <v/>
      </c>
      <c r="BG283" t="str">
        <f>IF(Sistema!BG283="","",Sistema!BG283)</f>
        <v/>
      </c>
      <c r="BH283" t="str">
        <f>IF(Sistema!BH283="","",Sistema!BH283)</f>
        <v/>
      </c>
      <c r="BI283" t="str">
        <f>IF(Sistema!BI283="","",Sistema!BI283)</f>
        <v/>
      </c>
      <c r="BJ283" t="str">
        <f>IF(Sistema!BJ283="","",Sistema!BJ283)</f>
        <v/>
      </c>
      <c r="BK283" t="str">
        <f>IF(Sistema!BK283="","",Sistema!BK283)</f>
        <v/>
      </c>
      <c r="BL283" t="str">
        <f>IF(Sistema!BL283="","",Sistema!BL283)</f>
        <v/>
      </c>
      <c r="BM283" t="str">
        <f>IF(Sistema!BM283="","",Sistema!BM283)</f>
        <v/>
      </c>
      <c r="BN283" t="str">
        <f>IF(Sistema!BN283="","",Sistema!BN283)</f>
        <v/>
      </c>
      <c r="BO283" t="str">
        <f>IF(Sistema!BO283="","",Sistema!BO283)</f>
        <v/>
      </c>
      <c r="BP283" t="str">
        <f>IF(Sistema!BP283="","",Sistema!BP283)</f>
        <v/>
      </c>
      <c r="BQ283" t="str">
        <f>IF(Sistema!BQ283="","",Sistema!BQ283)</f>
        <v/>
      </c>
      <c r="BR283" t="str">
        <f>IF(Sistema!BR283="","",Sistema!BR283)</f>
        <v/>
      </c>
      <c r="BS283" t="str">
        <f>IF(Sistema!BS283="","",Sistema!BS283)</f>
        <v/>
      </c>
      <c r="BT283" t="str">
        <f>IF(Sistema!BT283="","",Sistema!BT283)</f>
        <v/>
      </c>
      <c r="BU283" t="str">
        <f>IF(Sistema!BU283="","",Sistema!BU283)</f>
        <v/>
      </c>
      <c r="BV283" t="str">
        <f>IF(Sistema!BV283="","",Sistema!BV283)</f>
        <v/>
      </c>
      <c r="BW283" t="str">
        <f>IF(Sistema!BW283="","",Sistema!BW283)</f>
        <v/>
      </c>
      <c r="BX283" t="str">
        <f>IF(Sistema!BX283="","",Sistema!BX283)</f>
        <v/>
      </c>
      <c r="BY283" t="str">
        <f>IF(Sistema!BY283="","",Sistema!BY283)</f>
        <v/>
      </c>
      <c r="BZ283" t="str">
        <f>IF(Sistema!BZ283="","",Sistema!BZ283)</f>
        <v/>
      </c>
      <c r="CA283" t="str">
        <f>IF(Sistema!CA283="","",Sistema!CA283)</f>
        <v/>
      </c>
      <c r="CB283" t="str">
        <f>IF(Sistema!CB283="","",Sistema!CB283)</f>
        <v/>
      </c>
      <c r="CC283" t="str">
        <f>IF(Sistema!CC283="","",Sistema!CC283)</f>
        <v/>
      </c>
      <c r="CD283" t="str">
        <f>IF(Sistema!CD283="","",Sistema!CD283)</f>
        <v/>
      </c>
    </row>
    <row r="284" spans="1:82" x14ac:dyDescent="0.25">
      <c r="A284" t="str">
        <f>IF(Sistema!A284="","",Sistema!A284)</f>
        <v/>
      </c>
      <c r="B284" t="str">
        <f>IF(Sistema!B284="","",Sistema!B284)</f>
        <v/>
      </c>
      <c r="C284" t="str">
        <f>IF(Sistema!C284="","",Sistema!C284)</f>
        <v/>
      </c>
      <c r="D284" t="str">
        <f>IF(Sistema!D284="","",Sistema!D284)</f>
        <v/>
      </c>
      <c r="E284" t="str">
        <f>IF(Sistema!E284="","",Sistema!E284)</f>
        <v/>
      </c>
      <c r="F284">
        <f>IF(P284&gt;0,1,IF(Sistema!F284=0,-1,1))</f>
        <v>-1</v>
      </c>
      <c r="G284">
        <f>Sistema!G284</f>
        <v>0</v>
      </c>
      <c r="H284" t="str">
        <f>IF(OR(R284="notify",R284=1),"visible",IF(OR(Sistema!F284=-1,Sistema!F284=0,ISNUMBER(SEARCH("PCK",E284))),"hidden",IF(P284&gt;0,"visible","hidden")))</f>
        <v>hidden</v>
      </c>
      <c r="I284" t="str">
        <f>IF(B284="simple",IF(P284&gt;0,"",IF(R284="notify",Info!C$2,"")),IF(B284="variable",IF(P284&gt;0,"",IF(R284="notify",Info!C$4,"")),""))</f>
        <v/>
      </c>
      <c r="J284" t="str">
        <f>IF(Sistema!J284="","",Sistema!J284)</f>
        <v/>
      </c>
      <c r="M284" t="str">
        <f>IF(Sistema!M284="","",Sistema!M284)</f>
        <v/>
      </c>
      <c r="N284" s="6" t="s">
        <v>1557</v>
      </c>
      <c r="O284" s="6">
        <v>1</v>
      </c>
      <c r="P284">
        <f>Sistema!P284</f>
        <v>0</v>
      </c>
      <c r="Q284">
        <f>Sistema!Q284</f>
        <v>0</v>
      </c>
      <c r="R284">
        <f>IF(Sistema!R284=1,"notify",Sistema!R284)</f>
        <v>0</v>
      </c>
      <c r="T284" t="str">
        <f>IF(Sistema!T284="","",Sistema!T284)</f>
        <v/>
      </c>
      <c r="U284" t="str">
        <f>IF(Sistema!U284="","",Sistema!U284)</f>
        <v/>
      </c>
      <c r="V284" t="str">
        <f>IF(Sistema!V284="","",Sistema!V284)</f>
        <v/>
      </c>
      <c r="W284" t="str">
        <f>IF(Sistema!W284="","",Sistema!W284)</f>
        <v/>
      </c>
      <c r="X284" s="6">
        <v>1</v>
      </c>
      <c r="Z284" t="str">
        <f>IF(Sistema!Z284="","",Sistema!Z284)</f>
        <v/>
      </c>
      <c r="AA284" t="str">
        <f>IF(Sistema!AA284="","",Sistema!AA284)</f>
        <v/>
      </c>
      <c r="AB284" t="str">
        <f>IF(Sistema!AB284="","",IF(OR(ISNUMBER(SEARCH("MKP",E284)),ISNUMBER(SEARCH("MKP",C284))),"Marketplace &gt; "&amp;Sistema!AB284,Sistema!AB284))</f>
        <v/>
      </c>
      <c r="AC284" t="str">
        <f>IF(Sistema!AC284="","",Sistema!AC284)</f>
        <v/>
      </c>
      <c r="AE284" t="str">
        <f>IF(Sistema!AE284="","",Sistema!AE284)</f>
        <v/>
      </c>
      <c r="AH284" t="str">
        <f>IF(Sistema!AH284="","",Sistema!AH284)</f>
        <v/>
      </c>
      <c r="AQ284" t="str">
        <f>IF(Sistema!AQ284="","",Sistema!AQ284)</f>
        <v/>
      </c>
      <c r="AR284" t="str">
        <f>IF(Sistema!AR284="","",Sistema!AR284)</f>
        <v/>
      </c>
      <c r="AS284" t="str">
        <f>IF(Sistema!AS284="","",Sistema!AS284)</f>
        <v/>
      </c>
      <c r="AT284" t="str">
        <f>IF(Sistema!AT284="","",Sistema!AT284)</f>
        <v/>
      </c>
      <c r="AU284" t="str">
        <f>IF(Sistema!AU284="","",Sistema!AU284)</f>
        <v/>
      </c>
      <c r="AV284" t="str">
        <f>IF(Sistema!AV284="","",Sistema!AV284)</f>
        <v/>
      </c>
      <c r="AW284" t="str">
        <f>IF(Sistema!AW284="","",Sistema!AW284)</f>
        <v/>
      </c>
      <c r="AX284" t="str">
        <f>IF(Sistema!AX284="","",Sistema!AX284)</f>
        <v/>
      </c>
      <c r="AY284" t="str">
        <f>IF(Sistema!AY284="","",Sistema!AY284)</f>
        <v/>
      </c>
      <c r="AZ284" t="str">
        <f>IF(Sistema!AZ284="","",Sistema!AZ284)</f>
        <v/>
      </c>
      <c r="BA284" t="str">
        <f>IF(Sistema!BA284="","",Sistema!BA284)</f>
        <v/>
      </c>
      <c r="BB284" t="str">
        <f>IF(Sistema!BB284="","",Sistema!BB284)</f>
        <v/>
      </c>
      <c r="BC284" t="str">
        <f>IF(Sistema!BC284="","",Sistema!BC284)</f>
        <v/>
      </c>
      <c r="BD284" t="str">
        <f>IF(Sistema!BD284="","",Sistema!BD284)</f>
        <v/>
      </c>
      <c r="BE284" t="str">
        <f>IF(Sistema!BE284="","",Sistema!BE284)</f>
        <v/>
      </c>
      <c r="BF284" t="str">
        <f>IF(Sistema!BF284="","",Sistema!BF284)</f>
        <v/>
      </c>
      <c r="BG284" t="str">
        <f>IF(Sistema!BG284="","",Sistema!BG284)</f>
        <v/>
      </c>
      <c r="BH284" t="str">
        <f>IF(Sistema!BH284="","",Sistema!BH284)</f>
        <v/>
      </c>
      <c r="BI284" t="str">
        <f>IF(Sistema!BI284="","",Sistema!BI284)</f>
        <v/>
      </c>
      <c r="BJ284" t="str">
        <f>IF(Sistema!BJ284="","",Sistema!BJ284)</f>
        <v/>
      </c>
      <c r="BK284" t="str">
        <f>IF(Sistema!BK284="","",Sistema!BK284)</f>
        <v/>
      </c>
      <c r="BL284" t="str">
        <f>IF(Sistema!BL284="","",Sistema!BL284)</f>
        <v/>
      </c>
      <c r="BM284" t="str">
        <f>IF(Sistema!BM284="","",Sistema!BM284)</f>
        <v/>
      </c>
      <c r="BN284" t="str">
        <f>IF(Sistema!BN284="","",Sistema!BN284)</f>
        <v/>
      </c>
      <c r="BO284" t="str">
        <f>IF(Sistema!BO284="","",Sistema!BO284)</f>
        <v/>
      </c>
      <c r="BP284" t="str">
        <f>IF(Sistema!BP284="","",Sistema!BP284)</f>
        <v/>
      </c>
      <c r="BQ284" t="str">
        <f>IF(Sistema!BQ284="","",Sistema!BQ284)</f>
        <v/>
      </c>
      <c r="BR284" t="str">
        <f>IF(Sistema!BR284="","",Sistema!BR284)</f>
        <v/>
      </c>
      <c r="BS284" t="str">
        <f>IF(Sistema!BS284="","",Sistema!BS284)</f>
        <v/>
      </c>
      <c r="BT284" t="str">
        <f>IF(Sistema!BT284="","",Sistema!BT284)</f>
        <v/>
      </c>
      <c r="BU284" t="str">
        <f>IF(Sistema!BU284="","",Sistema!BU284)</f>
        <v/>
      </c>
      <c r="BV284" t="str">
        <f>IF(Sistema!BV284="","",Sistema!BV284)</f>
        <v/>
      </c>
      <c r="BW284" t="str">
        <f>IF(Sistema!BW284="","",Sistema!BW284)</f>
        <v/>
      </c>
      <c r="BX284" t="str">
        <f>IF(Sistema!BX284="","",Sistema!BX284)</f>
        <v/>
      </c>
      <c r="BY284" t="str">
        <f>IF(Sistema!BY284="","",Sistema!BY284)</f>
        <v/>
      </c>
      <c r="BZ284" t="str">
        <f>IF(Sistema!BZ284="","",Sistema!BZ284)</f>
        <v/>
      </c>
      <c r="CA284" t="str">
        <f>IF(Sistema!CA284="","",Sistema!CA284)</f>
        <v/>
      </c>
      <c r="CB284" t="str">
        <f>IF(Sistema!CB284="","",Sistema!CB284)</f>
        <v/>
      </c>
      <c r="CC284" t="str">
        <f>IF(Sistema!CC284="","",Sistema!CC284)</f>
        <v/>
      </c>
      <c r="CD284" t="str">
        <f>IF(Sistema!CD284="","",Sistema!CD284)</f>
        <v/>
      </c>
    </row>
    <row r="285" spans="1:82" x14ac:dyDescent="0.25">
      <c r="A285" t="str">
        <f>IF(Sistema!A285="","",Sistema!A285)</f>
        <v/>
      </c>
      <c r="B285" t="str">
        <f>IF(Sistema!B285="","",Sistema!B285)</f>
        <v/>
      </c>
      <c r="C285" t="str">
        <f>IF(Sistema!C285="","",Sistema!C285)</f>
        <v/>
      </c>
      <c r="D285" t="str">
        <f>IF(Sistema!D285="","",Sistema!D285)</f>
        <v/>
      </c>
      <c r="E285" t="str">
        <f>IF(Sistema!E285="","",Sistema!E285)</f>
        <v/>
      </c>
      <c r="F285">
        <f>IF(P285&gt;0,1,IF(Sistema!F285=0,-1,1))</f>
        <v>-1</v>
      </c>
      <c r="G285">
        <f>Sistema!G285</f>
        <v>0</v>
      </c>
      <c r="H285" t="str">
        <f>IF(OR(R285="notify",R285=1),"visible",IF(OR(Sistema!F285=-1,Sistema!F285=0,ISNUMBER(SEARCH("PCK",E285))),"hidden",IF(P285&gt;0,"visible","hidden")))</f>
        <v>hidden</v>
      </c>
      <c r="I285" t="str">
        <f>IF(B285="simple",IF(P285&gt;0,"",IF(R285="notify",Info!C$2,"")),IF(B285="variable",IF(P285&gt;0,"",IF(R285="notify",Info!C$4,"")),""))</f>
        <v/>
      </c>
      <c r="J285" t="str">
        <f>IF(Sistema!J285="","",Sistema!J285)</f>
        <v/>
      </c>
      <c r="M285" t="str">
        <f>IF(Sistema!M285="","",Sistema!M285)</f>
        <v/>
      </c>
      <c r="N285" s="6" t="s">
        <v>1557</v>
      </c>
      <c r="O285" s="6">
        <v>1</v>
      </c>
      <c r="P285">
        <f>Sistema!P285</f>
        <v>0</v>
      </c>
      <c r="Q285">
        <f>Sistema!Q285</f>
        <v>0</v>
      </c>
      <c r="R285">
        <f>IF(Sistema!R285=1,"notify",Sistema!R285)</f>
        <v>0</v>
      </c>
      <c r="T285" t="str">
        <f>IF(Sistema!T285="","",Sistema!T285)</f>
        <v/>
      </c>
      <c r="U285" t="str">
        <f>IF(Sistema!U285="","",Sistema!U285)</f>
        <v/>
      </c>
      <c r="V285" t="str">
        <f>IF(Sistema!V285="","",Sistema!V285)</f>
        <v/>
      </c>
      <c r="W285" t="str">
        <f>IF(Sistema!W285="","",Sistema!W285)</f>
        <v/>
      </c>
      <c r="X285" s="6">
        <v>1</v>
      </c>
      <c r="Z285" t="str">
        <f>IF(Sistema!Z285="","",Sistema!Z285)</f>
        <v/>
      </c>
      <c r="AA285" t="str">
        <f>IF(Sistema!AA285="","",Sistema!AA285)</f>
        <v/>
      </c>
      <c r="AB285" t="str">
        <f>IF(Sistema!AB285="","",IF(OR(ISNUMBER(SEARCH("MKP",E285)),ISNUMBER(SEARCH("MKP",C285))),"Marketplace &gt; "&amp;Sistema!AB285,Sistema!AB285))</f>
        <v/>
      </c>
      <c r="AC285" t="str">
        <f>IF(Sistema!AC285="","",Sistema!AC285)</f>
        <v/>
      </c>
      <c r="AE285" t="str">
        <f>IF(Sistema!AE285="","",Sistema!AE285)</f>
        <v/>
      </c>
      <c r="AH285" t="str">
        <f>IF(Sistema!AH285="","",Sistema!AH285)</f>
        <v/>
      </c>
      <c r="AQ285" t="str">
        <f>IF(Sistema!AQ285="","",Sistema!AQ285)</f>
        <v/>
      </c>
      <c r="AR285" t="str">
        <f>IF(Sistema!AR285="","",Sistema!AR285)</f>
        <v/>
      </c>
      <c r="AS285" t="str">
        <f>IF(Sistema!AS285="","",Sistema!AS285)</f>
        <v/>
      </c>
      <c r="AT285" t="str">
        <f>IF(Sistema!AT285="","",Sistema!AT285)</f>
        <v/>
      </c>
      <c r="AU285" t="str">
        <f>IF(Sistema!AU285="","",Sistema!AU285)</f>
        <v/>
      </c>
      <c r="AV285" t="str">
        <f>IF(Sistema!AV285="","",Sistema!AV285)</f>
        <v/>
      </c>
      <c r="AW285" t="str">
        <f>IF(Sistema!AW285="","",Sistema!AW285)</f>
        <v/>
      </c>
      <c r="AX285" t="str">
        <f>IF(Sistema!AX285="","",Sistema!AX285)</f>
        <v/>
      </c>
      <c r="AY285" t="str">
        <f>IF(Sistema!AY285="","",Sistema!AY285)</f>
        <v/>
      </c>
      <c r="AZ285" t="str">
        <f>IF(Sistema!AZ285="","",Sistema!AZ285)</f>
        <v/>
      </c>
      <c r="BA285" t="str">
        <f>IF(Sistema!BA285="","",Sistema!BA285)</f>
        <v/>
      </c>
      <c r="BB285" t="str">
        <f>IF(Sistema!BB285="","",Sistema!BB285)</f>
        <v/>
      </c>
      <c r="BC285" t="str">
        <f>IF(Sistema!BC285="","",Sistema!BC285)</f>
        <v/>
      </c>
      <c r="BD285" t="str">
        <f>IF(Sistema!BD285="","",Sistema!BD285)</f>
        <v/>
      </c>
      <c r="BE285" t="str">
        <f>IF(Sistema!BE285="","",Sistema!BE285)</f>
        <v/>
      </c>
      <c r="BF285" t="str">
        <f>IF(Sistema!BF285="","",Sistema!BF285)</f>
        <v/>
      </c>
      <c r="BG285" t="str">
        <f>IF(Sistema!BG285="","",Sistema!BG285)</f>
        <v/>
      </c>
      <c r="BH285" t="str">
        <f>IF(Sistema!BH285="","",Sistema!BH285)</f>
        <v/>
      </c>
      <c r="BI285" t="str">
        <f>IF(Sistema!BI285="","",Sistema!BI285)</f>
        <v/>
      </c>
      <c r="BJ285" t="str">
        <f>IF(Sistema!BJ285="","",Sistema!BJ285)</f>
        <v/>
      </c>
      <c r="BK285" t="str">
        <f>IF(Sistema!BK285="","",Sistema!BK285)</f>
        <v/>
      </c>
      <c r="BL285" t="str">
        <f>IF(Sistema!BL285="","",Sistema!BL285)</f>
        <v/>
      </c>
      <c r="BM285" t="str">
        <f>IF(Sistema!BM285="","",Sistema!BM285)</f>
        <v/>
      </c>
      <c r="BN285" t="str">
        <f>IF(Sistema!BN285="","",Sistema!BN285)</f>
        <v/>
      </c>
      <c r="BO285" t="str">
        <f>IF(Sistema!BO285="","",Sistema!BO285)</f>
        <v/>
      </c>
      <c r="BP285" t="str">
        <f>IF(Sistema!BP285="","",Sistema!BP285)</f>
        <v/>
      </c>
      <c r="BQ285" t="str">
        <f>IF(Sistema!BQ285="","",Sistema!BQ285)</f>
        <v/>
      </c>
      <c r="BR285" t="str">
        <f>IF(Sistema!BR285="","",Sistema!BR285)</f>
        <v/>
      </c>
      <c r="BS285" t="str">
        <f>IF(Sistema!BS285="","",Sistema!BS285)</f>
        <v/>
      </c>
      <c r="BT285" t="str">
        <f>IF(Sistema!BT285="","",Sistema!BT285)</f>
        <v/>
      </c>
      <c r="BU285" t="str">
        <f>IF(Sistema!BU285="","",Sistema!BU285)</f>
        <v/>
      </c>
      <c r="BV285" t="str">
        <f>IF(Sistema!BV285="","",Sistema!BV285)</f>
        <v/>
      </c>
      <c r="BW285" t="str">
        <f>IF(Sistema!BW285="","",Sistema!BW285)</f>
        <v/>
      </c>
      <c r="BX285" t="str">
        <f>IF(Sistema!BX285="","",Sistema!BX285)</f>
        <v/>
      </c>
      <c r="BY285" t="str">
        <f>IF(Sistema!BY285="","",Sistema!BY285)</f>
        <v/>
      </c>
      <c r="BZ285" t="str">
        <f>IF(Sistema!BZ285="","",Sistema!BZ285)</f>
        <v/>
      </c>
      <c r="CA285" t="str">
        <f>IF(Sistema!CA285="","",Sistema!CA285)</f>
        <v/>
      </c>
      <c r="CB285" t="str">
        <f>IF(Sistema!CB285="","",Sistema!CB285)</f>
        <v/>
      </c>
      <c r="CC285" t="str">
        <f>IF(Sistema!CC285="","",Sistema!CC285)</f>
        <v/>
      </c>
      <c r="CD285" t="str">
        <f>IF(Sistema!CD285="","",Sistema!CD285)</f>
        <v/>
      </c>
    </row>
    <row r="286" spans="1:82" x14ac:dyDescent="0.25">
      <c r="A286" t="str">
        <f>IF(Sistema!A286="","",Sistema!A286)</f>
        <v/>
      </c>
      <c r="B286" t="str">
        <f>IF(Sistema!B286="","",Sistema!B286)</f>
        <v/>
      </c>
      <c r="C286" t="str">
        <f>IF(Sistema!C286="","",Sistema!C286)</f>
        <v/>
      </c>
      <c r="D286" t="str">
        <f>IF(Sistema!D286="","",Sistema!D286)</f>
        <v/>
      </c>
      <c r="E286" t="str">
        <f>IF(Sistema!E286="","",Sistema!E286)</f>
        <v/>
      </c>
      <c r="F286">
        <f>IF(P286&gt;0,1,IF(Sistema!F286=0,-1,1))</f>
        <v>-1</v>
      </c>
      <c r="G286">
        <f>Sistema!G286</f>
        <v>0</v>
      </c>
      <c r="H286" t="str">
        <f>IF(OR(R286="notify",R286=1),"visible",IF(OR(Sistema!F286=-1,Sistema!F286=0,ISNUMBER(SEARCH("PCK",E286))),"hidden",IF(P286&gt;0,"visible","hidden")))</f>
        <v>hidden</v>
      </c>
      <c r="I286" t="str">
        <f>IF(B286="simple",IF(P286&gt;0,"",IF(R286="notify",Info!C$2,"")),IF(B286="variable",IF(P286&gt;0,"",IF(R286="notify",Info!C$4,"")),""))</f>
        <v/>
      </c>
      <c r="J286" t="str">
        <f>IF(Sistema!J286="","",Sistema!J286)</f>
        <v/>
      </c>
      <c r="M286" t="str">
        <f>IF(Sistema!M286="","",Sistema!M286)</f>
        <v/>
      </c>
      <c r="N286" s="6" t="s">
        <v>1557</v>
      </c>
      <c r="O286" s="6">
        <v>1</v>
      </c>
      <c r="P286">
        <f>Sistema!P286</f>
        <v>0</v>
      </c>
      <c r="Q286">
        <f>Sistema!Q286</f>
        <v>0</v>
      </c>
      <c r="R286">
        <f>IF(Sistema!R286=1,"notify",Sistema!R286)</f>
        <v>0</v>
      </c>
      <c r="T286" t="str">
        <f>IF(Sistema!T286="","",Sistema!T286)</f>
        <v/>
      </c>
      <c r="U286" t="str">
        <f>IF(Sistema!U286="","",Sistema!U286)</f>
        <v/>
      </c>
      <c r="V286" t="str">
        <f>IF(Sistema!V286="","",Sistema!V286)</f>
        <v/>
      </c>
      <c r="W286" t="str">
        <f>IF(Sistema!W286="","",Sistema!W286)</f>
        <v/>
      </c>
      <c r="X286" s="6">
        <v>1</v>
      </c>
      <c r="Z286" t="str">
        <f>IF(Sistema!Z286="","",Sistema!Z286)</f>
        <v/>
      </c>
      <c r="AA286" t="str">
        <f>IF(Sistema!AA286="","",Sistema!AA286)</f>
        <v/>
      </c>
      <c r="AB286" t="str">
        <f>IF(Sistema!AB286="","",IF(OR(ISNUMBER(SEARCH("MKP",E286)),ISNUMBER(SEARCH("MKP",C286))),"Marketplace &gt; "&amp;Sistema!AB286,Sistema!AB286))</f>
        <v/>
      </c>
      <c r="AC286" t="str">
        <f>IF(Sistema!AC286="","",Sistema!AC286)</f>
        <v/>
      </c>
      <c r="AE286" t="str">
        <f>IF(Sistema!AE286="","",Sistema!AE286)</f>
        <v/>
      </c>
      <c r="AH286" t="str">
        <f>IF(Sistema!AH286="","",Sistema!AH286)</f>
        <v/>
      </c>
      <c r="AQ286" t="str">
        <f>IF(Sistema!AQ286="","",Sistema!AQ286)</f>
        <v/>
      </c>
      <c r="AR286" t="str">
        <f>IF(Sistema!AR286="","",Sistema!AR286)</f>
        <v/>
      </c>
      <c r="AS286" t="str">
        <f>IF(Sistema!AS286="","",Sistema!AS286)</f>
        <v/>
      </c>
      <c r="AT286" t="str">
        <f>IF(Sistema!AT286="","",Sistema!AT286)</f>
        <v/>
      </c>
      <c r="AU286" t="str">
        <f>IF(Sistema!AU286="","",Sistema!AU286)</f>
        <v/>
      </c>
      <c r="AV286" t="str">
        <f>IF(Sistema!AV286="","",Sistema!AV286)</f>
        <v/>
      </c>
      <c r="AW286" t="str">
        <f>IF(Sistema!AW286="","",Sistema!AW286)</f>
        <v/>
      </c>
      <c r="AX286" t="str">
        <f>IF(Sistema!AX286="","",Sistema!AX286)</f>
        <v/>
      </c>
      <c r="AY286" t="str">
        <f>IF(Sistema!AY286="","",Sistema!AY286)</f>
        <v/>
      </c>
      <c r="AZ286" t="str">
        <f>IF(Sistema!AZ286="","",Sistema!AZ286)</f>
        <v/>
      </c>
      <c r="BA286" t="str">
        <f>IF(Sistema!BA286="","",Sistema!BA286)</f>
        <v/>
      </c>
      <c r="BB286" t="str">
        <f>IF(Sistema!BB286="","",Sistema!BB286)</f>
        <v/>
      </c>
      <c r="BC286" t="str">
        <f>IF(Sistema!BC286="","",Sistema!BC286)</f>
        <v/>
      </c>
      <c r="BD286" t="str">
        <f>IF(Sistema!BD286="","",Sistema!BD286)</f>
        <v/>
      </c>
      <c r="BE286" t="str">
        <f>IF(Sistema!BE286="","",Sistema!BE286)</f>
        <v/>
      </c>
      <c r="BF286" t="str">
        <f>IF(Sistema!BF286="","",Sistema!BF286)</f>
        <v/>
      </c>
      <c r="BG286" t="str">
        <f>IF(Sistema!BG286="","",Sistema!BG286)</f>
        <v/>
      </c>
      <c r="BH286" t="str">
        <f>IF(Sistema!BH286="","",Sistema!BH286)</f>
        <v/>
      </c>
      <c r="BI286" t="str">
        <f>IF(Sistema!BI286="","",Sistema!BI286)</f>
        <v/>
      </c>
      <c r="BJ286" t="str">
        <f>IF(Sistema!BJ286="","",Sistema!BJ286)</f>
        <v/>
      </c>
      <c r="BK286" t="str">
        <f>IF(Sistema!BK286="","",Sistema!BK286)</f>
        <v/>
      </c>
      <c r="BL286" t="str">
        <f>IF(Sistema!BL286="","",Sistema!BL286)</f>
        <v/>
      </c>
      <c r="BM286" t="str">
        <f>IF(Sistema!BM286="","",Sistema!BM286)</f>
        <v/>
      </c>
      <c r="BN286" t="str">
        <f>IF(Sistema!BN286="","",Sistema!BN286)</f>
        <v/>
      </c>
      <c r="BO286" t="str">
        <f>IF(Sistema!BO286="","",Sistema!BO286)</f>
        <v/>
      </c>
      <c r="BP286" t="str">
        <f>IF(Sistema!BP286="","",Sistema!BP286)</f>
        <v/>
      </c>
      <c r="BQ286" t="str">
        <f>IF(Sistema!BQ286="","",Sistema!BQ286)</f>
        <v/>
      </c>
      <c r="BR286" t="str">
        <f>IF(Sistema!BR286="","",Sistema!BR286)</f>
        <v/>
      </c>
      <c r="BS286" t="str">
        <f>IF(Sistema!BS286="","",Sistema!BS286)</f>
        <v/>
      </c>
      <c r="BT286" t="str">
        <f>IF(Sistema!BT286="","",Sistema!BT286)</f>
        <v/>
      </c>
      <c r="BU286" t="str">
        <f>IF(Sistema!BU286="","",Sistema!BU286)</f>
        <v/>
      </c>
      <c r="BV286" t="str">
        <f>IF(Sistema!BV286="","",Sistema!BV286)</f>
        <v/>
      </c>
      <c r="BW286" t="str">
        <f>IF(Sistema!BW286="","",Sistema!BW286)</f>
        <v/>
      </c>
      <c r="BX286" t="str">
        <f>IF(Sistema!BX286="","",Sistema!BX286)</f>
        <v/>
      </c>
      <c r="BY286" t="str">
        <f>IF(Sistema!BY286="","",Sistema!BY286)</f>
        <v/>
      </c>
      <c r="BZ286" t="str">
        <f>IF(Sistema!BZ286="","",Sistema!BZ286)</f>
        <v/>
      </c>
      <c r="CA286" t="str">
        <f>IF(Sistema!CA286="","",Sistema!CA286)</f>
        <v/>
      </c>
      <c r="CB286" t="str">
        <f>IF(Sistema!CB286="","",Sistema!CB286)</f>
        <v/>
      </c>
      <c r="CC286" t="str">
        <f>IF(Sistema!CC286="","",Sistema!CC286)</f>
        <v/>
      </c>
      <c r="CD286" t="str">
        <f>IF(Sistema!CD286="","",Sistema!CD286)</f>
        <v/>
      </c>
    </row>
    <row r="287" spans="1:82" x14ac:dyDescent="0.25">
      <c r="A287" t="str">
        <f>IF(Sistema!A287="","",Sistema!A287)</f>
        <v/>
      </c>
      <c r="B287" t="str">
        <f>IF(Sistema!B287="","",Sistema!B287)</f>
        <v/>
      </c>
      <c r="C287" t="str">
        <f>IF(Sistema!C287="","",Sistema!C287)</f>
        <v/>
      </c>
      <c r="D287" t="str">
        <f>IF(Sistema!D287="","",Sistema!D287)</f>
        <v/>
      </c>
      <c r="E287" t="str">
        <f>IF(Sistema!E287="","",Sistema!E287)</f>
        <v/>
      </c>
      <c r="F287">
        <f>IF(P287&gt;0,1,IF(Sistema!F287=0,-1,1))</f>
        <v>-1</v>
      </c>
      <c r="G287">
        <f>Sistema!G287</f>
        <v>0</v>
      </c>
      <c r="H287" t="str">
        <f>IF(OR(R287="notify",R287=1),"visible",IF(OR(Sistema!F287=-1,Sistema!F287=0,ISNUMBER(SEARCH("PCK",E287))),"hidden",IF(P287&gt;0,"visible","hidden")))</f>
        <v>hidden</v>
      </c>
      <c r="I287" t="str">
        <f>IF(B287="simple",IF(P287&gt;0,"",IF(R287="notify",Info!C$2,"")),IF(B287="variable",IF(P287&gt;0,"",IF(R287="notify",Info!C$4,"")),""))</f>
        <v/>
      </c>
      <c r="J287" t="str">
        <f>IF(Sistema!J287="","",Sistema!J287)</f>
        <v/>
      </c>
      <c r="M287" t="str">
        <f>IF(Sistema!M287="","",Sistema!M287)</f>
        <v/>
      </c>
      <c r="N287" s="6" t="s">
        <v>1557</v>
      </c>
      <c r="O287" s="6">
        <v>1</v>
      </c>
      <c r="P287">
        <f>Sistema!P287</f>
        <v>0</v>
      </c>
      <c r="Q287">
        <f>Sistema!Q287</f>
        <v>0</v>
      </c>
      <c r="R287">
        <f>IF(Sistema!R287=1,"notify",Sistema!R287)</f>
        <v>0</v>
      </c>
      <c r="T287" t="str">
        <f>IF(Sistema!T287="","",Sistema!T287)</f>
        <v/>
      </c>
      <c r="U287" t="str">
        <f>IF(Sistema!U287="","",Sistema!U287)</f>
        <v/>
      </c>
      <c r="V287" t="str">
        <f>IF(Sistema!V287="","",Sistema!V287)</f>
        <v/>
      </c>
      <c r="W287" t="str">
        <f>IF(Sistema!W287="","",Sistema!W287)</f>
        <v/>
      </c>
      <c r="X287" s="6">
        <v>1</v>
      </c>
      <c r="Z287" t="str">
        <f>IF(Sistema!Z287="","",Sistema!Z287)</f>
        <v/>
      </c>
      <c r="AA287" t="str">
        <f>IF(Sistema!AA287="","",Sistema!AA287)</f>
        <v/>
      </c>
      <c r="AB287" t="str">
        <f>IF(Sistema!AB287="","",IF(OR(ISNUMBER(SEARCH("MKP",E287)),ISNUMBER(SEARCH("MKP",C287))),"Marketplace &gt; "&amp;Sistema!AB287,Sistema!AB287))</f>
        <v/>
      </c>
      <c r="AC287" t="str">
        <f>IF(Sistema!AC287="","",Sistema!AC287)</f>
        <v/>
      </c>
      <c r="AE287" t="str">
        <f>IF(Sistema!AE287="","",Sistema!AE287)</f>
        <v/>
      </c>
      <c r="AH287" t="str">
        <f>IF(Sistema!AH287="","",Sistema!AH287)</f>
        <v/>
      </c>
      <c r="AQ287" t="str">
        <f>IF(Sistema!AQ287="","",Sistema!AQ287)</f>
        <v/>
      </c>
      <c r="AR287" t="str">
        <f>IF(Sistema!AR287="","",Sistema!AR287)</f>
        <v/>
      </c>
      <c r="AS287" t="str">
        <f>IF(Sistema!AS287="","",Sistema!AS287)</f>
        <v/>
      </c>
      <c r="AT287" t="str">
        <f>IF(Sistema!AT287="","",Sistema!AT287)</f>
        <v/>
      </c>
      <c r="AU287" t="str">
        <f>IF(Sistema!AU287="","",Sistema!AU287)</f>
        <v/>
      </c>
      <c r="AV287" t="str">
        <f>IF(Sistema!AV287="","",Sistema!AV287)</f>
        <v/>
      </c>
      <c r="AW287" t="str">
        <f>IF(Sistema!AW287="","",Sistema!AW287)</f>
        <v/>
      </c>
      <c r="AX287" t="str">
        <f>IF(Sistema!AX287="","",Sistema!AX287)</f>
        <v/>
      </c>
      <c r="AY287" t="str">
        <f>IF(Sistema!AY287="","",Sistema!AY287)</f>
        <v/>
      </c>
      <c r="AZ287" t="str">
        <f>IF(Sistema!AZ287="","",Sistema!AZ287)</f>
        <v/>
      </c>
      <c r="BA287" t="str">
        <f>IF(Sistema!BA287="","",Sistema!BA287)</f>
        <v/>
      </c>
      <c r="BB287" t="str">
        <f>IF(Sistema!BB287="","",Sistema!BB287)</f>
        <v/>
      </c>
      <c r="BC287" t="str">
        <f>IF(Sistema!BC287="","",Sistema!BC287)</f>
        <v/>
      </c>
      <c r="BD287" t="str">
        <f>IF(Sistema!BD287="","",Sistema!BD287)</f>
        <v/>
      </c>
      <c r="BE287" t="str">
        <f>IF(Sistema!BE287="","",Sistema!BE287)</f>
        <v/>
      </c>
      <c r="BF287" t="str">
        <f>IF(Sistema!BF287="","",Sistema!BF287)</f>
        <v/>
      </c>
      <c r="BG287" t="str">
        <f>IF(Sistema!BG287="","",Sistema!BG287)</f>
        <v/>
      </c>
      <c r="BH287" t="str">
        <f>IF(Sistema!BH287="","",Sistema!BH287)</f>
        <v/>
      </c>
      <c r="BI287" t="str">
        <f>IF(Sistema!BI287="","",Sistema!BI287)</f>
        <v/>
      </c>
      <c r="BJ287" t="str">
        <f>IF(Sistema!BJ287="","",Sistema!BJ287)</f>
        <v/>
      </c>
      <c r="BK287" t="str">
        <f>IF(Sistema!BK287="","",Sistema!BK287)</f>
        <v/>
      </c>
      <c r="BL287" t="str">
        <f>IF(Sistema!BL287="","",Sistema!BL287)</f>
        <v/>
      </c>
      <c r="BM287" t="str">
        <f>IF(Sistema!BM287="","",Sistema!BM287)</f>
        <v/>
      </c>
      <c r="BN287" t="str">
        <f>IF(Sistema!BN287="","",Sistema!BN287)</f>
        <v/>
      </c>
      <c r="BO287" t="str">
        <f>IF(Sistema!BO287="","",Sistema!BO287)</f>
        <v/>
      </c>
      <c r="BP287" t="str">
        <f>IF(Sistema!BP287="","",Sistema!BP287)</f>
        <v/>
      </c>
      <c r="BQ287" t="str">
        <f>IF(Sistema!BQ287="","",Sistema!BQ287)</f>
        <v/>
      </c>
      <c r="BR287" t="str">
        <f>IF(Sistema!BR287="","",Sistema!BR287)</f>
        <v/>
      </c>
      <c r="BS287" t="str">
        <f>IF(Sistema!BS287="","",Sistema!BS287)</f>
        <v/>
      </c>
      <c r="BT287" t="str">
        <f>IF(Sistema!BT287="","",Sistema!BT287)</f>
        <v/>
      </c>
      <c r="BU287" t="str">
        <f>IF(Sistema!BU287="","",Sistema!BU287)</f>
        <v/>
      </c>
      <c r="BV287" t="str">
        <f>IF(Sistema!BV287="","",Sistema!BV287)</f>
        <v/>
      </c>
      <c r="BW287" t="str">
        <f>IF(Sistema!BW287="","",Sistema!BW287)</f>
        <v/>
      </c>
      <c r="BX287" t="str">
        <f>IF(Sistema!BX287="","",Sistema!BX287)</f>
        <v/>
      </c>
      <c r="BY287" t="str">
        <f>IF(Sistema!BY287="","",Sistema!BY287)</f>
        <v/>
      </c>
      <c r="BZ287" t="str">
        <f>IF(Sistema!BZ287="","",Sistema!BZ287)</f>
        <v/>
      </c>
      <c r="CA287" t="str">
        <f>IF(Sistema!CA287="","",Sistema!CA287)</f>
        <v/>
      </c>
      <c r="CB287" t="str">
        <f>IF(Sistema!CB287="","",Sistema!CB287)</f>
        <v/>
      </c>
      <c r="CC287" t="str">
        <f>IF(Sistema!CC287="","",Sistema!CC287)</f>
        <v/>
      </c>
      <c r="CD287" t="str">
        <f>IF(Sistema!CD287="","",Sistema!CD287)</f>
        <v/>
      </c>
    </row>
    <row r="288" spans="1:82" x14ac:dyDescent="0.25">
      <c r="A288" t="str">
        <f>IF(Sistema!A288="","",Sistema!A288)</f>
        <v/>
      </c>
      <c r="B288" t="str">
        <f>IF(Sistema!B288="","",Sistema!B288)</f>
        <v/>
      </c>
      <c r="C288" t="str">
        <f>IF(Sistema!C288="","",Sistema!C288)</f>
        <v/>
      </c>
      <c r="D288" t="str">
        <f>IF(Sistema!D288="","",Sistema!D288)</f>
        <v/>
      </c>
      <c r="E288" t="str">
        <f>IF(Sistema!E288="","",Sistema!E288)</f>
        <v/>
      </c>
      <c r="F288">
        <f>IF(P288&gt;0,1,IF(Sistema!F288=0,-1,1))</f>
        <v>-1</v>
      </c>
      <c r="G288">
        <f>Sistema!G288</f>
        <v>0</v>
      </c>
      <c r="H288" t="str">
        <f>IF(OR(R288="notify",R288=1),"visible",IF(OR(Sistema!F288=-1,Sistema!F288=0,ISNUMBER(SEARCH("PCK",E288))),"hidden",IF(P288&gt;0,"visible","hidden")))</f>
        <v>hidden</v>
      </c>
      <c r="I288" t="str">
        <f>IF(B288="simple",IF(P288&gt;0,"",IF(R288="notify",Info!C$2,"")),IF(B288="variable",IF(P288&gt;0,"",IF(R288="notify",Info!C$4,"")),""))</f>
        <v/>
      </c>
      <c r="J288" t="str">
        <f>IF(Sistema!J288="","",Sistema!J288)</f>
        <v/>
      </c>
      <c r="M288" t="str">
        <f>IF(Sistema!M288="","",Sistema!M288)</f>
        <v/>
      </c>
      <c r="N288" s="6" t="s">
        <v>1557</v>
      </c>
      <c r="O288" s="6">
        <v>1</v>
      </c>
      <c r="P288">
        <f>Sistema!P288</f>
        <v>0</v>
      </c>
      <c r="Q288">
        <f>Sistema!Q288</f>
        <v>0</v>
      </c>
      <c r="R288">
        <f>IF(Sistema!R288=1,"notify",Sistema!R288)</f>
        <v>0</v>
      </c>
      <c r="T288" t="str">
        <f>IF(Sistema!T288="","",Sistema!T288)</f>
        <v/>
      </c>
      <c r="U288" t="str">
        <f>IF(Sistema!U288="","",Sistema!U288)</f>
        <v/>
      </c>
      <c r="V288" t="str">
        <f>IF(Sistema!V288="","",Sistema!V288)</f>
        <v/>
      </c>
      <c r="W288" t="str">
        <f>IF(Sistema!W288="","",Sistema!W288)</f>
        <v/>
      </c>
      <c r="X288" s="6">
        <v>1</v>
      </c>
      <c r="Z288" t="str">
        <f>IF(Sistema!Z288="","",Sistema!Z288)</f>
        <v/>
      </c>
      <c r="AA288" t="str">
        <f>IF(Sistema!AA288="","",Sistema!AA288)</f>
        <v/>
      </c>
      <c r="AB288" t="str">
        <f>IF(Sistema!AB288="","",IF(OR(ISNUMBER(SEARCH("MKP",E288)),ISNUMBER(SEARCH("MKP",C288))),"Marketplace &gt; "&amp;Sistema!AB288,Sistema!AB288))</f>
        <v/>
      </c>
      <c r="AC288" t="str">
        <f>IF(Sistema!AC288="","",Sistema!AC288)</f>
        <v/>
      </c>
      <c r="AE288" t="str">
        <f>IF(Sistema!AE288="","",Sistema!AE288)</f>
        <v/>
      </c>
      <c r="AH288" t="str">
        <f>IF(Sistema!AH288="","",Sistema!AH288)</f>
        <v/>
      </c>
      <c r="AQ288" t="str">
        <f>IF(Sistema!AQ288="","",Sistema!AQ288)</f>
        <v/>
      </c>
      <c r="AR288" t="str">
        <f>IF(Sistema!AR288="","",Sistema!AR288)</f>
        <v/>
      </c>
      <c r="AS288" t="str">
        <f>IF(Sistema!AS288="","",Sistema!AS288)</f>
        <v/>
      </c>
      <c r="AT288" t="str">
        <f>IF(Sistema!AT288="","",Sistema!AT288)</f>
        <v/>
      </c>
      <c r="AU288" t="str">
        <f>IF(Sistema!AU288="","",Sistema!AU288)</f>
        <v/>
      </c>
      <c r="AV288" t="str">
        <f>IF(Sistema!AV288="","",Sistema!AV288)</f>
        <v/>
      </c>
      <c r="AW288" t="str">
        <f>IF(Sistema!AW288="","",Sistema!AW288)</f>
        <v/>
      </c>
      <c r="AX288" t="str">
        <f>IF(Sistema!AX288="","",Sistema!AX288)</f>
        <v/>
      </c>
      <c r="AY288" t="str">
        <f>IF(Sistema!AY288="","",Sistema!AY288)</f>
        <v/>
      </c>
      <c r="AZ288" t="str">
        <f>IF(Sistema!AZ288="","",Sistema!AZ288)</f>
        <v/>
      </c>
      <c r="BA288" t="str">
        <f>IF(Sistema!BA288="","",Sistema!BA288)</f>
        <v/>
      </c>
      <c r="BB288" t="str">
        <f>IF(Sistema!BB288="","",Sistema!BB288)</f>
        <v/>
      </c>
      <c r="BC288" t="str">
        <f>IF(Sistema!BC288="","",Sistema!BC288)</f>
        <v/>
      </c>
      <c r="BD288" t="str">
        <f>IF(Sistema!BD288="","",Sistema!BD288)</f>
        <v/>
      </c>
      <c r="BE288" t="str">
        <f>IF(Sistema!BE288="","",Sistema!BE288)</f>
        <v/>
      </c>
      <c r="BF288" t="str">
        <f>IF(Sistema!BF288="","",Sistema!BF288)</f>
        <v/>
      </c>
      <c r="BG288" t="str">
        <f>IF(Sistema!BG288="","",Sistema!BG288)</f>
        <v/>
      </c>
      <c r="BH288" t="str">
        <f>IF(Sistema!BH288="","",Sistema!BH288)</f>
        <v/>
      </c>
      <c r="BI288" t="str">
        <f>IF(Sistema!BI288="","",Sistema!BI288)</f>
        <v/>
      </c>
      <c r="BJ288" t="str">
        <f>IF(Sistema!BJ288="","",Sistema!BJ288)</f>
        <v/>
      </c>
      <c r="BK288" t="str">
        <f>IF(Sistema!BK288="","",Sistema!BK288)</f>
        <v/>
      </c>
      <c r="BL288" t="str">
        <f>IF(Sistema!BL288="","",Sistema!BL288)</f>
        <v/>
      </c>
      <c r="BM288" t="str">
        <f>IF(Sistema!BM288="","",Sistema!BM288)</f>
        <v/>
      </c>
      <c r="BN288" t="str">
        <f>IF(Sistema!BN288="","",Sistema!BN288)</f>
        <v/>
      </c>
      <c r="BO288" t="str">
        <f>IF(Sistema!BO288="","",Sistema!BO288)</f>
        <v/>
      </c>
      <c r="BP288" t="str">
        <f>IF(Sistema!BP288="","",Sistema!BP288)</f>
        <v/>
      </c>
      <c r="BQ288" t="str">
        <f>IF(Sistema!BQ288="","",Sistema!BQ288)</f>
        <v/>
      </c>
      <c r="BR288" t="str">
        <f>IF(Sistema!BR288="","",Sistema!BR288)</f>
        <v/>
      </c>
      <c r="BS288" t="str">
        <f>IF(Sistema!BS288="","",Sistema!BS288)</f>
        <v/>
      </c>
      <c r="BT288" t="str">
        <f>IF(Sistema!BT288="","",Sistema!BT288)</f>
        <v/>
      </c>
      <c r="BU288" t="str">
        <f>IF(Sistema!BU288="","",Sistema!BU288)</f>
        <v/>
      </c>
      <c r="BV288" t="str">
        <f>IF(Sistema!BV288="","",Sistema!BV288)</f>
        <v/>
      </c>
      <c r="BW288" t="str">
        <f>IF(Sistema!BW288="","",Sistema!BW288)</f>
        <v/>
      </c>
      <c r="BX288" t="str">
        <f>IF(Sistema!BX288="","",Sistema!BX288)</f>
        <v/>
      </c>
      <c r="BY288" t="str">
        <f>IF(Sistema!BY288="","",Sistema!BY288)</f>
        <v/>
      </c>
      <c r="BZ288" t="str">
        <f>IF(Sistema!BZ288="","",Sistema!BZ288)</f>
        <v/>
      </c>
      <c r="CA288" t="str">
        <f>IF(Sistema!CA288="","",Sistema!CA288)</f>
        <v/>
      </c>
      <c r="CB288" t="str">
        <f>IF(Sistema!CB288="","",Sistema!CB288)</f>
        <v/>
      </c>
      <c r="CC288" t="str">
        <f>IF(Sistema!CC288="","",Sistema!CC288)</f>
        <v/>
      </c>
      <c r="CD288" t="str">
        <f>IF(Sistema!CD288="","",Sistema!CD288)</f>
        <v/>
      </c>
    </row>
    <row r="289" spans="1:82" x14ac:dyDescent="0.25">
      <c r="A289" t="str">
        <f>IF(Sistema!A289="","",Sistema!A289)</f>
        <v/>
      </c>
      <c r="B289" t="str">
        <f>IF(Sistema!B289="","",Sistema!B289)</f>
        <v/>
      </c>
      <c r="C289" t="str">
        <f>IF(Sistema!C289="","",Sistema!C289)</f>
        <v/>
      </c>
      <c r="D289" t="str">
        <f>IF(Sistema!D289="","",Sistema!D289)</f>
        <v/>
      </c>
      <c r="E289" t="str">
        <f>IF(Sistema!E289="","",Sistema!E289)</f>
        <v/>
      </c>
      <c r="F289">
        <f>IF(P289&gt;0,1,IF(Sistema!F289=0,-1,1))</f>
        <v>-1</v>
      </c>
      <c r="G289">
        <f>Sistema!G289</f>
        <v>0</v>
      </c>
      <c r="H289" t="str">
        <f>IF(OR(R289="notify",R289=1),"visible",IF(OR(Sistema!F289=-1,Sistema!F289=0,ISNUMBER(SEARCH("PCK",E289))),"hidden",IF(P289&gt;0,"visible","hidden")))</f>
        <v>hidden</v>
      </c>
      <c r="I289" t="str">
        <f>IF(B289="simple",IF(P289&gt;0,"",IF(R289="notify",Info!C$2,"")),IF(B289="variable",IF(P289&gt;0,"",IF(R289="notify",Info!C$4,"")),""))</f>
        <v/>
      </c>
      <c r="J289" t="str">
        <f>IF(Sistema!J289="","",Sistema!J289)</f>
        <v/>
      </c>
      <c r="M289" t="str">
        <f>IF(Sistema!M289="","",Sistema!M289)</f>
        <v/>
      </c>
      <c r="N289" s="6" t="s">
        <v>1557</v>
      </c>
      <c r="O289" s="6">
        <v>1</v>
      </c>
      <c r="P289">
        <f>Sistema!P289</f>
        <v>0</v>
      </c>
      <c r="Q289">
        <f>Sistema!Q289</f>
        <v>0</v>
      </c>
      <c r="R289">
        <f>IF(Sistema!R289=1,"notify",Sistema!R289)</f>
        <v>0</v>
      </c>
      <c r="T289" t="str">
        <f>IF(Sistema!T289="","",Sistema!T289)</f>
        <v/>
      </c>
      <c r="U289" t="str">
        <f>IF(Sistema!U289="","",Sistema!U289)</f>
        <v/>
      </c>
      <c r="V289" t="str">
        <f>IF(Sistema!V289="","",Sistema!V289)</f>
        <v/>
      </c>
      <c r="W289" t="str">
        <f>IF(Sistema!W289="","",Sistema!W289)</f>
        <v/>
      </c>
      <c r="X289" s="6">
        <v>1</v>
      </c>
      <c r="Z289" t="str">
        <f>IF(Sistema!Z289="","",Sistema!Z289)</f>
        <v/>
      </c>
      <c r="AA289" t="str">
        <f>IF(Sistema!AA289="","",Sistema!AA289)</f>
        <v/>
      </c>
      <c r="AB289" t="str">
        <f>IF(Sistema!AB289="","",IF(OR(ISNUMBER(SEARCH("MKP",E289)),ISNUMBER(SEARCH("MKP",C289))),"Marketplace &gt; "&amp;Sistema!AB289,Sistema!AB289))</f>
        <v/>
      </c>
      <c r="AC289" t="str">
        <f>IF(Sistema!AC289="","",Sistema!AC289)</f>
        <v/>
      </c>
      <c r="AE289" t="str">
        <f>IF(Sistema!AE289="","",Sistema!AE289)</f>
        <v/>
      </c>
      <c r="AH289" t="str">
        <f>IF(Sistema!AH289="","",Sistema!AH289)</f>
        <v/>
      </c>
      <c r="AQ289" t="str">
        <f>IF(Sistema!AQ289="","",Sistema!AQ289)</f>
        <v/>
      </c>
      <c r="AR289" t="str">
        <f>IF(Sistema!AR289="","",Sistema!AR289)</f>
        <v/>
      </c>
      <c r="AS289" t="str">
        <f>IF(Sistema!AS289="","",Sistema!AS289)</f>
        <v/>
      </c>
      <c r="AT289" t="str">
        <f>IF(Sistema!AT289="","",Sistema!AT289)</f>
        <v/>
      </c>
      <c r="AU289" t="str">
        <f>IF(Sistema!AU289="","",Sistema!AU289)</f>
        <v/>
      </c>
      <c r="AV289" t="str">
        <f>IF(Sistema!AV289="","",Sistema!AV289)</f>
        <v/>
      </c>
      <c r="AW289" t="str">
        <f>IF(Sistema!AW289="","",Sistema!AW289)</f>
        <v/>
      </c>
      <c r="AX289" t="str">
        <f>IF(Sistema!AX289="","",Sistema!AX289)</f>
        <v/>
      </c>
      <c r="AY289" t="str">
        <f>IF(Sistema!AY289="","",Sistema!AY289)</f>
        <v/>
      </c>
      <c r="AZ289" t="str">
        <f>IF(Sistema!AZ289="","",Sistema!AZ289)</f>
        <v/>
      </c>
      <c r="BA289" t="str">
        <f>IF(Sistema!BA289="","",Sistema!BA289)</f>
        <v/>
      </c>
      <c r="BB289" t="str">
        <f>IF(Sistema!BB289="","",Sistema!BB289)</f>
        <v/>
      </c>
      <c r="BC289" t="str">
        <f>IF(Sistema!BC289="","",Sistema!BC289)</f>
        <v/>
      </c>
      <c r="BD289" t="str">
        <f>IF(Sistema!BD289="","",Sistema!BD289)</f>
        <v/>
      </c>
      <c r="BE289" t="str">
        <f>IF(Sistema!BE289="","",Sistema!BE289)</f>
        <v/>
      </c>
      <c r="BF289" t="str">
        <f>IF(Sistema!BF289="","",Sistema!BF289)</f>
        <v/>
      </c>
      <c r="BG289" t="str">
        <f>IF(Sistema!BG289="","",Sistema!BG289)</f>
        <v/>
      </c>
      <c r="BH289" t="str">
        <f>IF(Sistema!BH289="","",Sistema!BH289)</f>
        <v/>
      </c>
      <c r="BI289" t="str">
        <f>IF(Sistema!BI289="","",Sistema!BI289)</f>
        <v/>
      </c>
      <c r="BJ289" t="str">
        <f>IF(Sistema!BJ289="","",Sistema!BJ289)</f>
        <v/>
      </c>
      <c r="BK289" t="str">
        <f>IF(Sistema!BK289="","",Sistema!BK289)</f>
        <v/>
      </c>
      <c r="BL289" t="str">
        <f>IF(Sistema!BL289="","",Sistema!BL289)</f>
        <v/>
      </c>
      <c r="BM289" t="str">
        <f>IF(Sistema!BM289="","",Sistema!BM289)</f>
        <v/>
      </c>
      <c r="BN289" t="str">
        <f>IF(Sistema!BN289="","",Sistema!BN289)</f>
        <v/>
      </c>
      <c r="BO289" t="str">
        <f>IF(Sistema!BO289="","",Sistema!BO289)</f>
        <v/>
      </c>
      <c r="BP289" t="str">
        <f>IF(Sistema!BP289="","",Sistema!BP289)</f>
        <v/>
      </c>
      <c r="BQ289" t="str">
        <f>IF(Sistema!BQ289="","",Sistema!BQ289)</f>
        <v/>
      </c>
      <c r="BR289" t="str">
        <f>IF(Sistema!BR289="","",Sistema!BR289)</f>
        <v/>
      </c>
      <c r="BS289" t="str">
        <f>IF(Sistema!BS289="","",Sistema!BS289)</f>
        <v/>
      </c>
      <c r="BT289" t="str">
        <f>IF(Sistema!BT289="","",Sistema!BT289)</f>
        <v/>
      </c>
      <c r="BU289" t="str">
        <f>IF(Sistema!BU289="","",Sistema!BU289)</f>
        <v/>
      </c>
      <c r="BV289" t="str">
        <f>IF(Sistema!BV289="","",Sistema!BV289)</f>
        <v/>
      </c>
      <c r="BW289" t="str">
        <f>IF(Sistema!BW289="","",Sistema!BW289)</f>
        <v/>
      </c>
      <c r="BX289" t="str">
        <f>IF(Sistema!BX289="","",Sistema!BX289)</f>
        <v/>
      </c>
      <c r="BY289" t="str">
        <f>IF(Sistema!BY289="","",Sistema!BY289)</f>
        <v/>
      </c>
      <c r="BZ289" t="str">
        <f>IF(Sistema!BZ289="","",Sistema!BZ289)</f>
        <v/>
      </c>
      <c r="CA289" t="str">
        <f>IF(Sistema!CA289="","",Sistema!CA289)</f>
        <v/>
      </c>
      <c r="CB289" t="str">
        <f>IF(Sistema!CB289="","",Sistema!CB289)</f>
        <v/>
      </c>
      <c r="CC289" t="str">
        <f>IF(Sistema!CC289="","",Sistema!CC289)</f>
        <v/>
      </c>
      <c r="CD289" t="str">
        <f>IF(Sistema!CD289="","",Sistema!CD289)</f>
        <v/>
      </c>
    </row>
    <row r="290" spans="1:82" x14ac:dyDescent="0.25">
      <c r="A290" t="str">
        <f>IF(Sistema!A290="","",Sistema!A290)</f>
        <v/>
      </c>
      <c r="B290" t="str">
        <f>IF(Sistema!B290="","",Sistema!B290)</f>
        <v/>
      </c>
      <c r="C290" t="str">
        <f>IF(Sistema!C290="","",Sistema!C290)</f>
        <v/>
      </c>
      <c r="D290" t="str">
        <f>IF(Sistema!D290="","",Sistema!D290)</f>
        <v/>
      </c>
      <c r="E290" t="str">
        <f>IF(Sistema!E290="","",Sistema!E290)</f>
        <v/>
      </c>
      <c r="F290">
        <f>IF(P290&gt;0,1,IF(Sistema!F290=0,-1,1))</f>
        <v>-1</v>
      </c>
      <c r="G290">
        <f>Sistema!G290</f>
        <v>0</v>
      </c>
      <c r="H290" t="str">
        <f>IF(OR(R290="notify",R290=1),"visible",IF(OR(Sistema!F290=-1,Sistema!F290=0,ISNUMBER(SEARCH("PCK",E290))),"hidden",IF(P290&gt;0,"visible","hidden")))</f>
        <v>hidden</v>
      </c>
      <c r="I290" t="str">
        <f>IF(B290="simple",IF(P290&gt;0,"",IF(R290="notify",Info!C$2,"")),IF(B290="variable",IF(P290&gt;0,"",IF(R290="notify",Info!C$4,"")),""))</f>
        <v/>
      </c>
      <c r="J290" t="str">
        <f>IF(Sistema!J290="","",Sistema!J290)</f>
        <v/>
      </c>
      <c r="M290" t="str">
        <f>IF(Sistema!M290="","",Sistema!M290)</f>
        <v/>
      </c>
      <c r="N290" s="6" t="s">
        <v>1557</v>
      </c>
      <c r="O290" s="6">
        <v>1</v>
      </c>
      <c r="P290">
        <f>Sistema!P290</f>
        <v>0</v>
      </c>
      <c r="Q290">
        <f>Sistema!Q290</f>
        <v>0</v>
      </c>
      <c r="R290">
        <f>IF(Sistema!R290=1,"notify",Sistema!R290)</f>
        <v>0</v>
      </c>
      <c r="T290" t="str">
        <f>IF(Sistema!T290="","",Sistema!T290)</f>
        <v/>
      </c>
      <c r="U290" t="str">
        <f>IF(Sistema!U290="","",Sistema!U290)</f>
        <v/>
      </c>
      <c r="V290" t="str">
        <f>IF(Sistema!V290="","",Sistema!V290)</f>
        <v/>
      </c>
      <c r="W290" t="str">
        <f>IF(Sistema!W290="","",Sistema!W290)</f>
        <v/>
      </c>
      <c r="X290" s="6">
        <v>1</v>
      </c>
      <c r="Z290" t="str">
        <f>IF(Sistema!Z290="","",Sistema!Z290)</f>
        <v/>
      </c>
      <c r="AA290" t="str">
        <f>IF(Sistema!AA290="","",Sistema!AA290)</f>
        <v/>
      </c>
      <c r="AB290" t="str">
        <f>IF(Sistema!AB290="","",IF(OR(ISNUMBER(SEARCH("MKP",E290)),ISNUMBER(SEARCH("MKP",C290))),"Marketplace &gt; "&amp;Sistema!AB290,Sistema!AB290))</f>
        <v/>
      </c>
      <c r="AC290" t="str">
        <f>IF(Sistema!AC290="","",Sistema!AC290)</f>
        <v/>
      </c>
      <c r="AE290" t="str">
        <f>IF(Sistema!AE290="","",Sistema!AE290)</f>
        <v/>
      </c>
      <c r="AH290" t="str">
        <f>IF(Sistema!AH290="","",Sistema!AH290)</f>
        <v/>
      </c>
      <c r="AQ290" t="str">
        <f>IF(Sistema!AQ290="","",Sistema!AQ290)</f>
        <v/>
      </c>
      <c r="AR290" t="str">
        <f>IF(Sistema!AR290="","",Sistema!AR290)</f>
        <v/>
      </c>
      <c r="AS290" t="str">
        <f>IF(Sistema!AS290="","",Sistema!AS290)</f>
        <v/>
      </c>
      <c r="AT290" t="str">
        <f>IF(Sistema!AT290="","",Sistema!AT290)</f>
        <v/>
      </c>
      <c r="AU290" t="str">
        <f>IF(Sistema!AU290="","",Sistema!AU290)</f>
        <v/>
      </c>
      <c r="AV290" t="str">
        <f>IF(Sistema!AV290="","",Sistema!AV290)</f>
        <v/>
      </c>
      <c r="AW290" t="str">
        <f>IF(Sistema!AW290="","",Sistema!AW290)</f>
        <v/>
      </c>
      <c r="AX290" t="str">
        <f>IF(Sistema!AX290="","",Sistema!AX290)</f>
        <v/>
      </c>
      <c r="AY290" t="str">
        <f>IF(Sistema!AY290="","",Sistema!AY290)</f>
        <v/>
      </c>
      <c r="AZ290" t="str">
        <f>IF(Sistema!AZ290="","",Sistema!AZ290)</f>
        <v/>
      </c>
      <c r="BA290" t="str">
        <f>IF(Sistema!BA290="","",Sistema!BA290)</f>
        <v/>
      </c>
      <c r="BB290" t="str">
        <f>IF(Sistema!BB290="","",Sistema!BB290)</f>
        <v/>
      </c>
      <c r="BC290" t="str">
        <f>IF(Sistema!BC290="","",Sistema!BC290)</f>
        <v/>
      </c>
      <c r="BD290" t="str">
        <f>IF(Sistema!BD290="","",Sistema!BD290)</f>
        <v/>
      </c>
      <c r="BE290" t="str">
        <f>IF(Sistema!BE290="","",Sistema!BE290)</f>
        <v/>
      </c>
      <c r="BF290" t="str">
        <f>IF(Sistema!BF290="","",Sistema!BF290)</f>
        <v/>
      </c>
      <c r="BG290" t="str">
        <f>IF(Sistema!BG290="","",Sistema!BG290)</f>
        <v/>
      </c>
      <c r="BH290" t="str">
        <f>IF(Sistema!BH290="","",Sistema!BH290)</f>
        <v/>
      </c>
      <c r="BI290" t="str">
        <f>IF(Sistema!BI290="","",Sistema!BI290)</f>
        <v/>
      </c>
      <c r="BJ290" t="str">
        <f>IF(Sistema!BJ290="","",Sistema!BJ290)</f>
        <v/>
      </c>
      <c r="BK290" t="str">
        <f>IF(Sistema!BK290="","",Sistema!BK290)</f>
        <v/>
      </c>
      <c r="BL290" t="str">
        <f>IF(Sistema!BL290="","",Sistema!BL290)</f>
        <v/>
      </c>
      <c r="BM290" t="str">
        <f>IF(Sistema!BM290="","",Sistema!BM290)</f>
        <v/>
      </c>
      <c r="BN290" t="str">
        <f>IF(Sistema!BN290="","",Sistema!BN290)</f>
        <v/>
      </c>
      <c r="BO290" t="str">
        <f>IF(Sistema!BO290="","",Sistema!BO290)</f>
        <v/>
      </c>
      <c r="BP290" t="str">
        <f>IF(Sistema!BP290="","",Sistema!BP290)</f>
        <v/>
      </c>
      <c r="BQ290" t="str">
        <f>IF(Sistema!BQ290="","",Sistema!BQ290)</f>
        <v/>
      </c>
      <c r="BR290" t="str">
        <f>IF(Sistema!BR290="","",Sistema!BR290)</f>
        <v/>
      </c>
      <c r="BS290" t="str">
        <f>IF(Sistema!BS290="","",Sistema!BS290)</f>
        <v/>
      </c>
      <c r="BT290" t="str">
        <f>IF(Sistema!BT290="","",Sistema!BT290)</f>
        <v/>
      </c>
      <c r="BU290" t="str">
        <f>IF(Sistema!BU290="","",Sistema!BU290)</f>
        <v/>
      </c>
      <c r="BV290" t="str">
        <f>IF(Sistema!BV290="","",Sistema!BV290)</f>
        <v/>
      </c>
      <c r="BW290" t="str">
        <f>IF(Sistema!BW290="","",Sistema!BW290)</f>
        <v/>
      </c>
      <c r="BX290" t="str">
        <f>IF(Sistema!BX290="","",Sistema!BX290)</f>
        <v/>
      </c>
      <c r="BY290" t="str">
        <f>IF(Sistema!BY290="","",Sistema!BY290)</f>
        <v/>
      </c>
      <c r="BZ290" t="str">
        <f>IF(Sistema!BZ290="","",Sistema!BZ290)</f>
        <v/>
      </c>
      <c r="CA290" t="str">
        <f>IF(Sistema!CA290="","",Sistema!CA290)</f>
        <v/>
      </c>
      <c r="CB290" t="str">
        <f>IF(Sistema!CB290="","",Sistema!CB290)</f>
        <v/>
      </c>
      <c r="CC290" t="str">
        <f>IF(Sistema!CC290="","",Sistema!CC290)</f>
        <v/>
      </c>
      <c r="CD290" t="str">
        <f>IF(Sistema!CD290="","",Sistema!CD290)</f>
        <v/>
      </c>
    </row>
    <row r="291" spans="1:82" x14ac:dyDescent="0.25">
      <c r="A291" t="str">
        <f>IF(Sistema!A291="","",Sistema!A291)</f>
        <v/>
      </c>
      <c r="B291" t="str">
        <f>IF(Sistema!B291="","",Sistema!B291)</f>
        <v/>
      </c>
      <c r="C291" t="str">
        <f>IF(Sistema!C291="","",Sistema!C291)</f>
        <v/>
      </c>
      <c r="D291" t="str">
        <f>IF(Sistema!D291="","",Sistema!D291)</f>
        <v/>
      </c>
      <c r="E291" t="str">
        <f>IF(Sistema!E291="","",Sistema!E291)</f>
        <v/>
      </c>
      <c r="F291">
        <f>IF(P291&gt;0,1,IF(Sistema!F291=0,-1,1))</f>
        <v>-1</v>
      </c>
      <c r="G291">
        <f>Sistema!G291</f>
        <v>0</v>
      </c>
      <c r="H291" t="str">
        <f>IF(OR(R291="notify",R291=1),"visible",IF(OR(Sistema!F291=-1,Sistema!F291=0,ISNUMBER(SEARCH("PCK",E291))),"hidden",IF(P291&gt;0,"visible","hidden")))</f>
        <v>hidden</v>
      </c>
      <c r="I291" t="str">
        <f>IF(B291="simple",IF(P291&gt;0,"",IF(R291="notify",Info!C$2,"")),IF(B291="variable",IF(P291&gt;0,"",IF(R291="notify",Info!C$4,"")),""))</f>
        <v/>
      </c>
      <c r="J291" t="str">
        <f>IF(Sistema!J291="","",Sistema!J291)</f>
        <v/>
      </c>
      <c r="M291" t="str">
        <f>IF(Sistema!M291="","",Sistema!M291)</f>
        <v/>
      </c>
      <c r="N291" s="6" t="s">
        <v>1557</v>
      </c>
      <c r="O291" s="6">
        <v>1</v>
      </c>
      <c r="P291">
        <f>Sistema!P291</f>
        <v>0</v>
      </c>
      <c r="Q291">
        <f>Sistema!Q291</f>
        <v>0</v>
      </c>
      <c r="R291">
        <f>IF(Sistema!R291=1,"notify",Sistema!R291)</f>
        <v>0</v>
      </c>
      <c r="T291" t="str">
        <f>IF(Sistema!T291="","",Sistema!T291)</f>
        <v/>
      </c>
      <c r="U291" t="str">
        <f>IF(Sistema!U291="","",Sistema!U291)</f>
        <v/>
      </c>
      <c r="V291" t="str">
        <f>IF(Sistema!V291="","",Sistema!V291)</f>
        <v/>
      </c>
      <c r="W291" t="str">
        <f>IF(Sistema!W291="","",Sistema!W291)</f>
        <v/>
      </c>
      <c r="X291" s="6">
        <v>1</v>
      </c>
      <c r="Z291" t="str">
        <f>IF(Sistema!Z291="","",Sistema!Z291)</f>
        <v/>
      </c>
      <c r="AA291" t="str">
        <f>IF(Sistema!AA291="","",Sistema!AA291)</f>
        <v/>
      </c>
      <c r="AB291" t="str">
        <f>IF(Sistema!AB291="","",IF(OR(ISNUMBER(SEARCH("MKP",E291)),ISNUMBER(SEARCH("MKP",C291))),"Marketplace &gt; "&amp;Sistema!AB291,Sistema!AB291))</f>
        <v/>
      </c>
      <c r="AC291" t="str">
        <f>IF(Sistema!AC291="","",Sistema!AC291)</f>
        <v/>
      </c>
      <c r="AE291" t="str">
        <f>IF(Sistema!AE291="","",Sistema!AE291)</f>
        <v/>
      </c>
      <c r="AH291" t="str">
        <f>IF(Sistema!AH291="","",Sistema!AH291)</f>
        <v/>
      </c>
      <c r="AQ291" t="str">
        <f>IF(Sistema!AQ291="","",Sistema!AQ291)</f>
        <v/>
      </c>
      <c r="AR291" t="str">
        <f>IF(Sistema!AR291="","",Sistema!AR291)</f>
        <v/>
      </c>
      <c r="AS291" t="str">
        <f>IF(Sistema!AS291="","",Sistema!AS291)</f>
        <v/>
      </c>
      <c r="AT291" t="str">
        <f>IF(Sistema!AT291="","",Sistema!AT291)</f>
        <v/>
      </c>
      <c r="AU291" t="str">
        <f>IF(Sistema!AU291="","",Sistema!AU291)</f>
        <v/>
      </c>
      <c r="AV291" t="str">
        <f>IF(Sistema!AV291="","",Sistema!AV291)</f>
        <v/>
      </c>
      <c r="AW291" t="str">
        <f>IF(Sistema!AW291="","",Sistema!AW291)</f>
        <v/>
      </c>
      <c r="AX291" t="str">
        <f>IF(Sistema!AX291="","",Sistema!AX291)</f>
        <v/>
      </c>
      <c r="AY291" t="str">
        <f>IF(Sistema!AY291="","",Sistema!AY291)</f>
        <v/>
      </c>
      <c r="AZ291" t="str">
        <f>IF(Sistema!AZ291="","",Sistema!AZ291)</f>
        <v/>
      </c>
      <c r="BA291" t="str">
        <f>IF(Sistema!BA291="","",Sistema!BA291)</f>
        <v/>
      </c>
      <c r="BB291" t="str">
        <f>IF(Sistema!BB291="","",Sistema!BB291)</f>
        <v/>
      </c>
      <c r="BC291" t="str">
        <f>IF(Sistema!BC291="","",Sistema!BC291)</f>
        <v/>
      </c>
      <c r="BD291" t="str">
        <f>IF(Sistema!BD291="","",Sistema!BD291)</f>
        <v/>
      </c>
      <c r="BE291" t="str">
        <f>IF(Sistema!BE291="","",Sistema!BE291)</f>
        <v/>
      </c>
      <c r="BF291" t="str">
        <f>IF(Sistema!BF291="","",Sistema!BF291)</f>
        <v/>
      </c>
      <c r="BG291" t="str">
        <f>IF(Sistema!BG291="","",Sistema!BG291)</f>
        <v/>
      </c>
      <c r="BH291" t="str">
        <f>IF(Sistema!BH291="","",Sistema!BH291)</f>
        <v/>
      </c>
      <c r="BI291" t="str">
        <f>IF(Sistema!BI291="","",Sistema!BI291)</f>
        <v/>
      </c>
      <c r="BJ291" t="str">
        <f>IF(Sistema!BJ291="","",Sistema!BJ291)</f>
        <v/>
      </c>
      <c r="BK291" t="str">
        <f>IF(Sistema!BK291="","",Sistema!BK291)</f>
        <v/>
      </c>
      <c r="BL291" t="str">
        <f>IF(Sistema!BL291="","",Sistema!BL291)</f>
        <v/>
      </c>
      <c r="BM291" t="str">
        <f>IF(Sistema!BM291="","",Sistema!BM291)</f>
        <v/>
      </c>
      <c r="BN291" t="str">
        <f>IF(Sistema!BN291="","",Sistema!BN291)</f>
        <v/>
      </c>
      <c r="BO291" t="str">
        <f>IF(Sistema!BO291="","",Sistema!BO291)</f>
        <v/>
      </c>
      <c r="BP291" t="str">
        <f>IF(Sistema!BP291="","",Sistema!BP291)</f>
        <v/>
      </c>
      <c r="BQ291" t="str">
        <f>IF(Sistema!BQ291="","",Sistema!BQ291)</f>
        <v/>
      </c>
      <c r="BR291" t="str">
        <f>IF(Sistema!BR291="","",Sistema!BR291)</f>
        <v/>
      </c>
      <c r="BS291" t="str">
        <f>IF(Sistema!BS291="","",Sistema!BS291)</f>
        <v/>
      </c>
      <c r="BT291" t="str">
        <f>IF(Sistema!BT291="","",Sistema!BT291)</f>
        <v/>
      </c>
      <c r="BU291" t="str">
        <f>IF(Sistema!BU291="","",Sistema!BU291)</f>
        <v/>
      </c>
      <c r="BV291" t="str">
        <f>IF(Sistema!BV291="","",Sistema!BV291)</f>
        <v/>
      </c>
      <c r="BW291" t="str">
        <f>IF(Sistema!BW291="","",Sistema!BW291)</f>
        <v/>
      </c>
      <c r="BX291" t="str">
        <f>IF(Sistema!BX291="","",Sistema!BX291)</f>
        <v/>
      </c>
      <c r="BY291" t="str">
        <f>IF(Sistema!BY291="","",Sistema!BY291)</f>
        <v/>
      </c>
      <c r="BZ291" t="str">
        <f>IF(Sistema!BZ291="","",Sistema!BZ291)</f>
        <v/>
      </c>
      <c r="CA291" t="str">
        <f>IF(Sistema!CA291="","",Sistema!CA291)</f>
        <v/>
      </c>
      <c r="CB291" t="str">
        <f>IF(Sistema!CB291="","",Sistema!CB291)</f>
        <v/>
      </c>
      <c r="CC291" t="str">
        <f>IF(Sistema!CC291="","",Sistema!CC291)</f>
        <v/>
      </c>
      <c r="CD291" t="str">
        <f>IF(Sistema!CD291="","",Sistema!CD291)</f>
        <v/>
      </c>
    </row>
    <row r="292" spans="1:82" x14ac:dyDescent="0.25">
      <c r="A292" t="str">
        <f>IF(Sistema!A292="","",Sistema!A292)</f>
        <v/>
      </c>
      <c r="B292" t="str">
        <f>IF(Sistema!B292="","",Sistema!B292)</f>
        <v/>
      </c>
      <c r="C292" t="str">
        <f>IF(Sistema!C292="","",Sistema!C292)</f>
        <v/>
      </c>
      <c r="D292" t="str">
        <f>IF(Sistema!D292="","",Sistema!D292)</f>
        <v/>
      </c>
      <c r="E292" t="str">
        <f>IF(Sistema!E292="","",Sistema!E292)</f>
        <v/>
      </c>
      <c r="F292">
        <f>IF(P292&gt;0,1,IF(Sistema!F292=0,-1,1))</f>
        <v>-1</v>
      </c>
      <c r="G292">
        <f>Sistema!G292</f>
        <v>0</v>
      </c>
      <c r="H292" t="str">
        <f>IF(OR(R292="notify",R292=1),"visible",IF(OR(Sistema!F292=-1,Sistema!F292=0,ISNUMBER(SEARCH("PCK",E292))),"hidden",IF(P292&gt;0,"visible","hidden")))</f>
        <v>hidden</v>
      </c>
      <c r="I292" t="str">
        <f>IF(B292="simple",IF(P292&gt;0,"",IF(R292="notify",Info!C$2,"")),IF(B292="variable",IF(P292&gt;0,"",IF(R292="notify",Info!C$4,"")),""))</f>
        <v/>
      </c>
      <c r="J292" t="str">
        <f>IF(Sistema!J292="","",Sistema!J292)</f>
        <v/>
      </c>
      <c r="M292" t="str">
        <f>IF(Sistema!M292="","",Sistema!M292)</f>
        <v/>
      </c>
      <c r="N292" s="6" t="s">
        <v>1557</v>
      </c>
      <c r="O292" s="6">
        <v>1</v>
      </c>
      <c r="P292">
        <f>Sistema!P292</f>
        <v>0</v>
      </c>
      <c r="Q292">
        <f>Sistema!Q292</f>
        <v>0</v>
      </c>
      <c r="R292">
        <f>IF(Sistema!R292=1,"notify",Sistema!R292)</f>
        <v>0</v>
      </c>
      <c r="T292" t="str">
        <f>IF(Sistema!T292="","",Sistema!T292)</f>
        <v/>
      </c>
      <c r="U292" t="str">
        <f>IF(Sistema!U292="","",Sistema!U292)</f>
        <v/>
      </c>
      <c r="V292" t="str">
        <f>IF(Sistema!V292="","",Sistema!V292)</f>
        <v/>
      </c>
      <c r="W292" t="str">
        <f>IF(Sistema!W292="","",Sistema!W292)</f>
        <v/>
      </c>
      <c r="X292" s="6">
        <v>1</v>
      </c>
      <c r="Z292" t="str">
        <f>IF(Sistema!Z292="","",Sistema!Z292)</f>
        <v/>
      </c>
      <c r="AA292" t="str">
        <f>IF(Sistema!AA292="","",Sistema!AA292)</f>
        <v/>
      </c>
      <c r="AB292" t="str">
        <f>IF(Sistema!AB292="","",IF(OR(ISNUMBER(SEARCH("MKP",E292)),ISNUMBER(SEARCH("MKP",C292))),"Marketplace &gt; "&amp;Sistema!AB292,Sistema!AB292))</f>
        <v/>
      </c>
      <c r="AC292" t="str">
        <f>IF(Sistema!AC292="","",Sistema!AC292)</f>
        <v/>
      </c>
      <c r="AE292" t="str">
        <f>IF(Sistema!AE292="","",Sistema!AE292)</f>
        <v/>
      </c>
      <c r="AH292" t="str">
        <f>IF(Sistema!AH292="","",Sistema!AH292)</f>
        <v/>
      </c>
      <c r="AQ292" t="str">
        <f>IF(Sistema!AQ292="","",Sistema!AQ292)</f>
        <v/>
      </c>
      <c r="AR292" t="str">
        <f>IF(Sistema!AR292="","",Sistema!AR292)</f>
        <v/>
      </c>
      <c r="AS292" t="str">
        <f>IF(Sistema!AS292="","",Sistema!AS292)</f>
        <v/>
      </c>
      <c r="AT292" t="str">
        <f>IF(Sistema!AT292="","",Sistema!AT292)</f>
        <v/>
      </c>
      <c r="AU292" t="str">
        <f>IF(Sistema!AU292="","",Sistema!AU292)</f>
        <v/>
      </c>
      <c r="AV292" t="str">
        <f>IF(Sistema!AV292="","",Sistema!AV292)</f>
        <v/>
      </c>
      <c r="AW292" t="str">
        <f>IF(Sistema!AW292="","",Sistema!AW292)</f>
        <v/>
      </c>
      <c r="AX292" t="str">
        <f>IF(Sistema!AX292="","",Sistema!AX292)</f>
        <v/>
      </c>
      <c r="AY292" t="str">
        <f>IF(Sistema!AY292="","",Sistema!AY292)</f>
        <v/>
      </c>
      <c r="AZ292" t="str">
        <f>IF(Sistema!AZ292="","",Sistema!AZ292)</f>
        <v/>
      </c>
      <c r="BA292" t="str">
        <f>IF(Sistema!BA292="","",Sistema!BA292)</f>
        <v/>
      </c>
      <c r="BB292" t="str">
        <f>IF(Sistema!BB292="","",Sistema!BB292)</f>
        <v/>
      </c>
      <c r="BC292" t="str">
        <f>IF(Sistema!BC292="","",Sistema!BC292)</f>
        <v/>
      </c>
      <c r="BD292" t="str">
        <f>IF(Sistema!BD292="","",Sistema!BD292)</f>
        <v/>
      </c>
      <c r="BE292" t="str">
        <f>IF(Sistema!BE292="","",Sistema!BE292)</f>
        <v/>
      </c>
      <c r="BF292" t="str">
        <f>IF(Sistema!BF292="","",Sistema!BF292)</f>
        <v/>
      </c>
      <c r="BG292" t="str">
        <f>IF(Sistema!BG292="","",Sistema!BG292)</f>
        <v/>
      </c>
      <c r="BH292" t="str">
        <f>IF(Sistema!BH292="","",Sistema!BH292)</f>
        <v/>
      </c>
      <c r="BI292" t="str">
        <f>IF(Sistema!BI292="","",Sistema!BI292)</f>
        <v/>
      </c>
      <c r="BJ292" t="str">
        <f>IF(Sistema!BJ292="","",Sistema!BJ292)</f>
        <v/>
      </c>
      <c r="BK292" t="str">
        <f>IF(Sistema!BK292="","",Sistema!BK292)</f>
        <v/>
      </c>
      <c r="BL292" t="str">
        <f>IF(Sistema!BL292="","",Sistema!BL292)</f>
        <v/>
      </c>
      <c r="BM292" t="str">
        <f>IF(Sistema!BM292="","",Sistema!BM292)</f>
        <v/>
      </c>
      <c r="BN292" t="str">
        <f>IF(Sistema!BN292="","",Sistema!BN292)</f>
        <v/>
      </c>
      <c r="BO292" t="str">
        <f>IF(Sistema!BO292="","",Sistema!BO292)</f>
        <v/>
      </c>
      <c r="BP292" t="str">
        <f>IF(Sistema!BP292="","",Sistema!BP292)</f>
        <v/>
      </c>
      <c r="BQ292" t="str">
        <f>IF(Sistema!BQ292="","",Sistema!BQ292)</f>
        <v/>
      </c>
      <c r="BR292" t="str">
        <f>IF(Sistema!BR292="","",Sistema!BR292)</f>
        <v/>
      </c>
      <c r="BS292" t="str">
        <f>IF(Sistema!BS292="","",Sistema!BS292)</f>
        <v/>
      </c>
      <c r="BT292" t="str">
        <f>IF(Sistema!BT292="","",Sistema!BT292)</f>
        <v/>
      </c>
      <c r="BU292" t="str">
        <f>IF(Sistema!BU292="","",Sistema!BU292)</f>
        <v/>
      </c>
      <c r="BV292" t="str">
        <f>IF(Sistema!BV292="","",Sistema!BV292)</f>
        <v/>
      </c>
      <c r="BW292" t="str">
        <f>IF(Sistema!BW292="","",Sistema!BW292)</f>
        <v/>
      </c>
      <c r="BX292" t="str">
        <f>IF(Sistema!BX292="","",Sistema!BX292)</f>
        <v/>
      </c>
      <c r="BY292" t="str">
        <f>IF(Sistema!BY292="","",Sistema!BY292)</f>
        <v/>
      </c>
      <c r="BZ292" t="str">
        <f>IF(Sistema!BZ292="","",Sistema!BZ292)</f>
        <v/>
      </c>
      <c r="CA292" t="str">
        <f>IF(Sistema!CA292="","",Sistema!CA292)</f>
        <v/>
      </c>
      <c r="CB292" t="str">
        <f>IF(Sistema!CB292="","",Sistema!CB292)</f>
        <v/>
      </c>
      <c r="CC292" t="str">
        <f>IF(Sistema!CC292="","",Sistema!CC292)</f>
        <v/>
      </c>
      <c r="CD292" t="str">
        <f>IF(Sistema!CD292="","",Sistema!CD292)</f>
        <v/>
      </c>
    </row>
    <row r="293" spans="1:82" x14ac:dyDescent="0.25">
      <c r="A293" t="str">
        <f>IF(Sistema!A293="","",Sistema!A293)</f>
        <v/>
      </c>
      <c r="B293" t="str">
        <f>IF(Sistema!B293="","",Sistema!B293)</f>
        <v/>
      </c>
      <c r="C293" t="str">
        <f>IF(Sistema!C293="","",Sistema!C293)</f>
        <v/>
      </c>
      <c r="D293" t="str">
        <f>IF(Sistema!D293="","",Sistema!D293)</f>
        <v/>
      </c>
      <c r="E293" t="str">
        <f>IF(Sistema!E293="","",Sistema!E293)</f>
        <v/>
      </c>
      <c r="F293">
        <f>IF(P293&gt;0,1,IF(Sistema!F293=0,-1,1))</f>
        <v>-1</v>
      </c>
      <c r="G293">
        <f>Sistema!G293</f>
        <v>0</v>
      </c>
      <c r="H293" t="str">
        <f>IF(OR(R293="notify",R293=1),"visible",IF(OR(Sistema!F293=-1,Sistema!F293=0,ISNUMBER(SEARCH("PCK",E293))),"hidden",IF(P293&gt;0,"visible","hidden")))</f>
        <v>hidden</v>
      </c>
      <c r="I293" t="str">
        <f>IF(B293="simple",IF(P293&gt;0,"",IF(R293="notify",Info!C$2,"")),IF(B293="variable",IF(P293&gt;0,"",IF(R293="notify",Info!C$4,"")),""))</f>
        <v/>
      </c>
      <c r="J293" t="str">
        <f>IF(Sistema!J293="","",Sistema!J293)</f>
        <v/>
      </c>
      <c r="M293" t="str">
        <f>IF(Sistema!M293="","",Sistema!M293)</f>
        <v/>
      </c>
      <c r="N293" s="6" t="s">
        <v>1557</v>
      </c>
      <c r="O293" s="6">
        <v>1</v>
      </c>
      <c r="P293">
        <f>Sistema!P293</f>
        <v>0</v>
      </c>
      <c r="Q293">
        <f>Sistema!Q293</f>
        <v>0</v>
      </c>
      <c r="R293">
        <f>IF(Sistema!R293=1,"notify",Sistema!R293)</f>
        <v>0</v>
      </c>
      <c r="T293" t="str">
        <f>IF(Sistema!T293="","",Sistema!T293)</f>
        <v/>
      </c>
      <c r="U293" t="str">
        <f>IF(Sistema!U293="","",Sistema!U293)</f>
        <v/>
      </c>
      <c r="V293" t="str">
        <f>IF(Sistema!V293="","",Sistema!V293)</f>
        <v/>
      </c>
      <c r="W293" t="str">
        <f>IF(Sistema!W293="","",Sistema!W293)</f>
        <v/>
      </c>
      <c r="X293" s="6">
        <v>1</v>
      </c>
      <c r="Z293" t="str">
        <f>IF(Sistema!Z293="","",Sistema!Z293)</f>
        <v/>
      </c>
      <c r="AA293" t="str">
        <f>IF(Sistema!AA293="","",Sistema!AA293)</f>
        <v/>
      </c>
      <c r="AB293" t="str">
        <f>IF(Sistema!AB293="","",IF(OR(ISNUMBER(SEARCH("MKP",E293)),ISNUMBER(SEARCH("MKP",C293))),"Marketplace &gt; "&amp;Sistema!AB293,Sistema!AB293))</f>
        <v/>
      </c>
      <c r="AC293" t="str">
        <f>IF(Sistema!AC293="","",Sistema!AC293)</f>
        <v/>
      </c>
      <c r="AE293" t="str">
        <f>IF(Sistema!AE293="","",Sistema!AE293)</f>
        <v/>
      </c>
      <c r="AH293" t="str">
        <f>IF(Sistema!AH293="","",Sistema!AH293)</f>
        <v/>
      </c>
      <c r="AQ293" t="str">
        <f>IF(Sistema!AQ293="","",Sistema!AQ293)</f>
        <v/>
      </c>
      <c r="AR293" t="str">
        <f>IF(Sistema!AR293="","",Sistema!AR293)</f>
        <v/>
      </c>
      <c r="AS293" t="str">
        <f>IF(Sistema!AS293="","",Sistema!AS293)</f>
        <v/>
      </c>
      <c r="AT293" t="str">
        <f>IF(Sistema!AT293="","",Sistema!AT293)</f>
        <v/>
      </c>
      <c r="AU293" t="str">
        <f>IF(Sistema!AU293="","",Sistema!AU293)</f>
        <v/>
      </c>
      <c r="AV293" t="str">
        <f>IF(Sistema!AV293="","",Sistema!AV293)</f>
        <v/>
      </c>
      <c r="AW293" t="str">
        <f>IF(Sistema!AW293="","",Sistema!AW293)</f>
        <v/>
      </c>
      <c r="AX293" t="str">
        <f>IF(Sistema!AX293="","",Sistema!AX293)</f>
        <v/>
      </c>
      <c r="AY293" t="str">
        <f>IF(Sistema!AY293="","",Sistema!AY293)</f>
        <v/>
      </c>
      <c r="AZ293" t="str">
        <f>IF(Sistema!AZ293="","",Sistema!AZ293)</f>
        <v/>
      </c>
      <c r="BA293" t="str">
        <f>IF(Sistema!BA293="","",Sistema!BA293)</f>
        <v/>
      </c>
      <c r="BB293" t="str">
        <f>IF(Sistema!BB293="","",Sistema!BB293)</f>
        <v/>
      </c>
      <c r="BC293" t="str">
        <f>IF(Sistema!BC293="","",Sistema!BC293)</f>
        <v/>
      </c>
      <c r="BD293" t="str">
        <f>IF(Sistema!BD293="","",Sistema!BD293)</f>
        <v/>
      </c>
      <c r="BE293" t="str">
        <f>IF(Sistema!BE293="","",Sistema!BE293)</f>
        <v/>
      </c>
      <c r="BF293" t="str">
        <f>IF(Sistema!BF293="","",Sistema!BF293)</f>
        <v/>
      </c>
      <c r="BG293" t="str">
        <f>IF(Sistema!BG293="","",Sistema!BG293)</f>
        <v/>
      </c>
      <c r="BH293" t="str">
        <f>IF(Sistema!BH293="","",Sistema!BH293)</f>
        <v/>
      </c>
      <c r="BI293" t="str">
        <f>IF(Sistema!BI293="","",Sistema!BI293)</f>
        <v/>
      </c>
      <c r="BJ293" t="str">
        <f>IF(Sistema!BJ293="","",Sistema!BJ293)</f>
        <v/>
      </c>
      <c r="BK293" t="str">
        <f>IF(Sistema!BK293="","",Sistema!BK293)</f>
        <v/>
      </c>
      <c r="BL293" t="str">
        <f>IF(Sistema!BL293="","",Sistema!BL293)</f>
        <v/>
      </c>
      <c r="BM293" t="str">
        <f>IF(Sistema!BM293="","",Sistema!BM293)</f>
        <v/>
      </c>
      <c r="BN293" t="str">
        <f>IF(Sistema!BN293="","",Sistema!BN293)</f>
        <v/>
      </c>
      <c r="BO293" t="str">
        <f>IF(Sistema!BO293="","",Sistema!BO293)</f>
        <v/>
      </c>
      <c r="BP293" t="str">
        <f>IF(Sistema!BP293="","",Sistema!BP293)</f>
        <v/>
      </c>
      <c r="BQ293" t="str">
        <f>IF(Sistema!BQ293="","",Sistema!BQ293)</f>
        <v/>
      </c>
      <c r="BR293" t="str">
        <f>IF(Sistema!BR293="","",Sistema!BR293)</f>
        <v/>
      </c>
      <c r="BS293" t="str">
        <f>IF(Sistema!BS293="","",Sistema!BS293)</f>
        <v/>
      </c>
      <c r="BT293" t="str">
        <f>IF(Sistema!BT293="","",Sistema!BT293)</f>
        <v/>
      </c>
      <c r="BU293" t="str">
        <f>IF(Sistema!BU293="","",Sistema!BU293)</f>
        <v/>
      </c>
      <c r="BV293" t="str">
        <f>IF(Sistema!BV293="","",Sistema!BV293)</f>
        <v/>
      </c>
      <c r="BW293" t="str">
        <f>IF(Sistema!BW293="","",Sistema!BW293)</f>
        <v/>
      </c>
      <c r="BX293" t="str">
        <f>IF(Sistema!BX293="","",Sistema!BX293)</f>
        <v/>
      </c>
      <c r="BY293" t="str">
        <f>IF(Sistema!BY293="","",Sistema!BY293)</f>
        <v/>
      </c>
      <c r="BZ293" t="str">
        <f>IF(Sistema!BZ293="","",Sistema!BZ293)</f>
        <v/>
      </c>
      <c r="CA293" t="str">
        <f>IF(Sistema!CA293="","",Sistema!CA293)</f>
        <v/>
      </c>
      <c r="CB293" t="str">
        <f>IF(Sistema!CB293="","",Sistema!CB293)</f>
        <v/>
      </c>
      <c r="CC293" t="str">
        <f>IF(Sistema!CC293="","",Sistema!CC293)</f>
        <v/>
      </c>
      <c r="CD293" t="str">
        <f>IF(Sistema!CD293="","",Sistema!CD293)</f>
        <v/>
      </c>
    </row>
    <row r="294" spans="1:82" x14ac:dyDescent="0.25">
      <c r="A294" t="str">
        <f>IF(Sistema!A294="","",Sistema!A294)</f>
        <v/>
      </c>
      <c r="B294" t="str">
        <f>IF(Sistema!B294="","",Sistema!B294)</f>
        <v/>
      </c>
      <c r="C294" t="str">
        <f>IF(Sistema!C294="","",Sistema!C294)</f>
        <v/>
      </c>
      <c r="D294" t="str">
        <f>IF(Sistema!D294="","",Sistema!D294)</f>
        <v/>
      </c>
      <c r="E294" t="str">
        <f>IF(Sistema!E294="","",Sistema!E294)</f>
        <v/>
      </c>
      <c r="F294">
        <f>IF(P294&gt;0,1,IF(Sistema!F294=0,-1,1))</f>
        <v>-1</v>
      </c>
      <c r="G294">
        <f>Sistema!G294</f>
        <v>0</v>
      </c>
      <c r="H294" t="str">
        <f>IF(OR(R294="notify",R294=1),"visible",IF(OR(Sistema!F294=-1,Sistema!F294=0,ISNUMBER(SEARCH("PCK",E294))),"hidden",IF(P294&gt;0,"visible","hidden")))</f>
        <v>hidden</v>
      </c>
      <c r="I294" t="str">
        <f>IF(B294="simple",IF(P294&gt;0,"",IF(R294="notify",Info!C$2,"")),IF(B294="variable",IF(P294&gt;0,"",IF(R294="notify",Info!C$4,"")),""))</f>
        <v/>
      </c>
      <c r="J294" t="str">
        <f>IF(Sistema!J294="","",Sistema!J294)</f>
        <v/>
      </c>
      <c r="M294" t="str">
        <f>IF(Sistema!M294="","",Sistema!M294)</f>
        <v/>
      </c>
      <c r="N294" s="6" t="s">
        <v>1557</v>
      </c>
      <c r="O294" s="6">
        <v>1</v>
      </c>
      <c r="P294">
        <f>Sistema!P294</f>
        <v>0</v>
      </c>
      <c r="Q294">
        <f>Sistema!Q294</f>
        <v>0</v>
      </c>
      <c r="R294">
        <f>IF(Sistema!R294=1,"notify",Sistema!R294)</f>
        <v>0</v>
      </c>
      <c r="T294" t="str">
        <f>IF(Sistema!T294="","",Sistema!T294)</f>
        <v/>
      </c>
      <c r="U294" t="str">
        <f>IF(Sistema!U294="","",Sistema!U294)</f>
        <v/>
      </c>
      <c r="V294" t="str">
        <f>IF(Sistema!V294="","",Sistema!V294)</f>
        <v/>
      </c>
      <c r="W294" t="str">
        <f>IF(Sistema!W294="","",Sistema!W294)</f>
        <v/>
      </c>
      <c r="X294" s="6">
        <v>1</v>
      </c>
      <c r="Z294" t="str">
        <f>IF(Sistema!Z294="","",Sistema!Z294)</f>
        <v/>
      </c>
      <c r="AA294" t="str">
        <f>IF(Sistema!AA294="","",Sistema!AA294)</f>
        <v/>
      </c>
      <c r="AB294" t="str">
        <f>IF(Sistema!AB294="","",IF(OR(ISNUMBER(SEARCH("MKP",E294)),ISNUMBER(SEARCH("MKP",C294))),"Marketplace &gt; "&amp;Sistema!AB294,Sistema!AB294))</f>
        <v/>
      </c>
      <c r="AC294" t="str">
        <f>IF(Sistema!AC294="","",Sistema!AC294)</f>
        <v/>
      </c>
      <c r="AE294" t="str">
        <f>IF(Sistema!AE294="","",Sistema!AE294)</f>
        <v/>
      </c>
      <c r="AH294" t="str">
        <f>IF(Sistema!AH294="","",Sistema!AH294)</f>
        <v/>
      </c>
      <c r="AQ294" t="str">
        <f>IF(Sistema!AQ294="","",Sistema!AQ294)</f>
        <v/>
      </c>
      <c r="AR294" t="str">
        <f>IF(Sistema!AR294="","",Sistema!AR294)</f>
        <v/>
      </c>
      <c r="AS294" t="str">
        <f>IF(Sistema!AS294="","",Sistema!AS294)</f>
        <v/>
      </c>
      <c r="AT294" t="str">
        <f>IF(Sistema!AT294="","",Sistema!AT294)</f>
        <v/>
      </c>
      <c r="AU294" t="str">
        <f>IF(Sistema!AU294="","",Sistema!AU294)</f>
        <v/>
      </c>
      <c r="AV294" t="str">
        <f>IF(Sistema!AV294="","",Sistema!AV294)</f>
        <v/>
      </c>
      <c r="AW294" t="str">
        <f>IF(Sistema!AW294="","",Sistema!AW294)</f>
        <v/>
      </c>
      <c r="AX294" t="str">
        <f>IF(Sistema!AX294="","",Sistema!AX294)</f>
        <v/>
      </c>
      <c r="AY294" t="str">
        <f>IF(Sistema!AY294="","",Sistema!AY294)</f>
        <v/>
      </c>
      <c r="AZ294" t="str">
        <f>IF(Sistema!AZ294="","",Sistema!AZ294)</f>
        <v/>
      </c>
      <c r="BA294" t="str">
        <f>IF(Sistema!BA294="","",Sistema!BA294)</f>
        <v/>
      </c>
      <c r="BB294" t="str">
        <f>IF(Sistema!BB294="","",Sistema!BB294)</f>
        <v/>
      </c>
      <c r="BC294" t="str">
        <f>IF(Sistema!BC294="","",Sistema!BC294)</f>
        <v/>
      </c>
      <c r="BD294" t="str">
        <f>IF(Sistema!BD294="","",Sistema!BD294)</f>
        <v/>
      </c>
      <c r="BE294" t="str">
        <f>IF(Sistema!BE294="","",Sistema!BE294)</f>
        <v/>
      </c>
      <c r="BF294" t="str">
        <f>IF(Sistema!BF294="","",Sistema!BF294)</f>
        <v/>
      </c>
      <c r="BG294" t="str">
        <f>IF(Sistema!BG294="","",Sistema!BG294)</f>
        <v/>
      </c>
      <c r="BH294" t="str">
        <f>IF(Sistema!BH294="","",Sistema!BH294)</f>
        <v/>
      </c>
      <c r="BI294" t="str">
        <f>IF(Sistema!BI294="","",Sistema!BI294)</f>
        <v/>
      </c>
      <c r="BJ294" t="str">
        <f>IF(Sistema!BJ294="","",Sistema!BJ294)</f>
        <v/>
      </c>
      <c r="BK294" t="str">
        <f>IF(Sistema!BK294="","",Sistema!BK294)</f>
        <v/>
      </c>
      <c r="BL294" t="str">
        <f>IF(Sistema!BL294="","",Sistema!BL294)</f>
        <v/>
      </c>
      <c r="BM294" t="str">
        <f>IF(Sistema!BM294="","",Sistema!BM294)</f>
        <v/>
      </c>
      <c r="BN294" t="str">
        <f>IF(Sistema!BN294="","",Sistema!BN294)</f>
        <v/>
      </c>
      <c r="BO294" t="str">
        <f>IF(Sistema!BO294="","",Sistema!BO294)</f>
        <v/>
      </c>
      <c r="BP294" t="str">
        <f>IF(Sistema!BP294="","",Sistema!BP294)</f>
        <v/>
      </c>
      <c r="BQ294" t="str">
        <f>IF(Sistema!BQ294="","",Sistema!BQ294)</f>
        <v/>
      </c>
      <c r="BR294" t="str">
        <f>IF(Sistema!BR294="","",Sistema!BR294)</f>
        <v/>
      </c>
      <c r="BS294" t="str">
        <f>IF(Sistema!BS294="","",Sistema!BS294)</f>
        <v/>
      </c>
      <c r="BT294" t="str">
        <f>IF(Sistema!BT294="","",Sistema!BT294)</f>
        <v/>
      </c>
      <c r="BU294" t="str">
        <f>IF(Sistema!BU294="","",Sistema!BU294)</f>
        <v/>
      </c>
      <c r="BV294" t="str">
        <f>IF(Sistema!BV294="","",Sistema!BV294)</f>
        <v/>
      </c>
      <c r="BW294" t="str">
        <f>IF(Sistema!BW294="","",Sistema!BW294)</f>
        <v/>
      </c>
      <c r="BX294" t="str">
        <f>IF(Sistema!BX294="","",Sistema!BX294)</f>
        <v/>
      </c>
      <c r="BY294" t="str">
        <f>IF(Sistema!BY294="","",Sistema!BY294)</f>
        <v/>
      </c>
      <c r="BZ294" t="str">
        <f>IF(Sistema!BZ294="","",Sistema!BZ294)</f>
        <v/>
      </c>
      <c r="CA294" t="str">
        <f>IF(Sistema!CA294="","",Sistema!CA294)</f>
        <v/>
      </c>
      <c r="CB294" t="str">
        <f>IF(Sistema!CB294="","",Sistema!CB294)</f>
        <v/>
      </c>
      <c r="CC294" t="str">
        <f>IF(Sistema!CC294="","",Sistema!CC294)</f>
        <v/>
      </c>
      <c r="CD294" t="str">
        <f>IF(Sistema!CD294="","",Sistema!CD294)</f>
        <v/>
      </c>
    </row>
    <row r="295" spans="1:82" x14ac:dyDescent="0.25">
      <c r="A295" t="str">
        <f>IF(Sistema!A295="","",Sistema!A295)</f>
        <v/>
      </c>
      <c r="B295" t="str">
        <f>IF(Sistema!B295="","",Sistema!B295)</f>
        <v/>
      </c>
      <c r="C295" t="str">
        <f>IF(Sistema!C295="","",Sistema!C295)</f>
        <v/>
      </c>
      <c r="D295" t="str">
        <f>IF(Sistema!D295="","",Sistema!D295)</f>
        <v/>
      </c>
      <c r="E295" t="str">
        <f>IF(Sistema!E295="","",Sistema!E295)</f>
        <v/>
      </c>
      <c r="F295">
        <f>IF(P295&gt;0,1,IF(Sistema!F295=0,-1,1))</f>
        <v>-1</v>
      </c>
      <c r="G295">
        <f>Sistema!G295</f>
        <v>0</v>
      </c>
      <c r="H295" t="str">
        <f>IF(OR(R295="notify",R295=1),"visible",IF(OR(Sistema!F295=-1,Sistema!F295=0,ISNUMBER(SEARCH("PCK",E295))),"hidden",IF(P295&gt;0,"visible","hidden")))</f>
        <v>hidden</v>
      </c>
      <c r="I295" t="str">
        <f>IF(B295="simple",IF(P295&gt;0,"",IF(R295="notify",Info!C$2,"")),IF(B295="variable",IF(P295&gt;0,"",IF(R295="notify",Info!C$4,"")),""))</f>
        <v/>
      </c>
      <c r="J295" t="str">
        <f>IF(Sistema!J295="","",Sistema!J295)</f>
        <v/>
      </c>
      <c r="M295" t="str">
        <f>IF(Sistema!M295="","",Sistema!M295)</f>
        <v/>
      </c>
      <c r="N295" s="6" t="s">
        <v>1557</v>
      </c>
      <c r="O295" s="6">
        <v>1</v>
      </c>
      <c r="P295">
        <f>Sistema!P295</f>
        <v>0</v>
      </c>
      <c r="Q295">
        <f>Sistema!Q295</f>
        <v>0</v>
      </c>
      <c r="R295">
        <f>IF(Sistema!R295=1,"notify",Sistema!R295)</f>
        <v>0</v>
      </c>
      <c r="T295" t="str">
        <f>IF(Sistema!T295="","",Sistema!T295)</f>
        <v/>
      </c>
      <c r="U295" t="str">
        <f>IF(Sistema!U295="","",Sistema!U295)</f>
        <v/>
      </c>
      <c r="V295" t="str">
        <f>IF(Sistema!V295="","",Sistema!V295)</f>
        <v/>
      </c>
      <c r="W295" t="str">
        <f>IF(Sistema!W295="","",Sistema!W295)</f>
        <v/>
      </c>
      <c r="X295" s="6">
        <v>1</v>
      </c>
      <c r="Z295" t="str">
        <f>IF(Sistema!Z295="","",Sistema!Z295)</f>
        <v/>
      </c>
      <c r="AA295" t="str">
        <f>IF(Sistema!AA295="","",Sistema!AA295)</f>
        <v/>
      </c>
      <c r="AB295" t="str">
        <f>IF(Sistema!AB295="","",IF(OR(ISNUMBER(SEARCH("MKP",E295)),ISNUMBER(SEARCH("MKP",C295))),"Marketplace &gt; "&amp;Sistema!AB295,Sistema!AB295))</f>
        <v/>
      </c>
      <c r="AC295" t="str">
        <f>IF(Sistema!AC295="","",Sistema!AC295)</f>
        <v/>
      </c>
      <c r="AE295" t="str">
        <f>IF(Sistema!AE295="","",Sistema!AE295)</f>
        <v/>
      </c>
      <c r="AH295" t="str">
        <f>IF(Sistema!AH295="","",Sistema!AH295)</f>
        <v/>
      </c>
      <c r="AQ295" t="str">
        <f>IF(Sistema!AQ295="","",Sistema!AQ295)</f>
        <v/>
      </c>
      <c r="AR295" t="str">
        <f>IF(Sistema!AR295="","",Sistema!AR295)</f>
        <v/>
      </c>
      <c r="AS295" t="str">
        <f>IF(Sistema!AS295="","",Sistema!AS295)</f>
        <v/>
      </c>
      <c r="AT295" t="str">
        <f>IF(Sistema!AT295="","",Sistema!AT295)</f>
        <v/>
      </c>
      <c r="AU295" t="str">
        <f>IF(Sistema!AU295="","",Sistema!AU295)</f>
        <v/>
      </c>
      <c r="AV295" t="str">
        <f>IF(Sistema!AV295="","",Sistema!AV295)</f>
        <v/>
      </c>
      <c r="AW295" t="str">
        <f>IF(Sistema!AW295="","",Sistema!AW295)</f>
        <v/>
      </c>
      <c r="AX295" t="str">
        <f>IF(Sistema!AX295="","",Sistema!AX295)</f>
        <v/>
      </c>
      <c r="AY295" t="str">
        <f>IF(Sistema!AY295="","",Sistema!AY295)</f>
        <v/>
      </c>
      <c r="AZ295" t="str">
        <f>IF(Sistema!AZ295="","",Sistema!AZ295)</f>
        <v/>
      </c>
      <c r="BA295" t="str">
        <f>IF(Sistema!BA295="","",Sistema!BA295)</f>
        <v/>
      </c>
      <c r="BB295" t="str">
        <f>IF(Sistema!BB295="","",Sistema!BB295)</f>
        <v/>
      </c>
      <c r="BC295" t="str">
        <f>IF(Sistema!BC295="","",Sistema!BC295)</f>
        <v/>
      </c>
      <c r="BD295" t="str">
        <f>IF(Sistema!BD295="","",Sistema!BD295)</f>
        <v/>
      </c>
      <c r="BE295" t="str">
        <f>IF(Sistema!BE295="","",Sistema!BE295)</f>
        <v/>
      </c>
      <c r="BF295" t="str">
        <f>IF(Sistema!BF295="","",Sistema!BF295)</f>
        <v/>
      </c>
      <c r="BG295" t="str">
        <f>IF(Sistema!BG295="","",Sistema!BG295)</f>
        <v/>
      </c>
      <c r="BH295" t="str">
        <f>IF(Sistema!BH295="","",Sistema!BH295)</f>
        <v/>
      </c>
      <c r="BI295" t="str">
        <f>IF(Sistema!BI295="","",Sistema!BI295)</f>
        <v/>
      </c>
      <c r="BJ295" t="str">
        <f>IF(Sistema!BJ295="","",Sistema!BJ295)</f>
        <v/>
      </c>
      <c r="BK295" t="str">
        <f>IF(Sistema!BK295="","",Sistema!BK295)</f>
        <v/>
      </c>
      <c r="BL295" t="str">
        <f>IF(Sistema!BL295="","",Sistema!BL295)</f>
        <v/>
      </c>
      <c r="BM295" t="str">
        <f>IF(Sistema!BM295="","",Sistema!BM295)</f>
        <v/>
      </c>
      <c r="BN295" t="str">
        <f>IF(Sistema!BN295="","",Sistema!BN295)</f>
        <v/>
      </c>
      <c r="BO295" t="str">
        <f>IF(Sistema!BO295="","",Sistema!BO295)</f>
        <v/>
      </c>
      <c r="BP295" t="str">
        <f>IF(Sistema!BP295="","",Sistema!BP295)</f>
        <v/>
      </c>
      <c r="BQ295" t="str">
        <f>IF(Sistema!BQ295="","",Sistema!BQ295)</f>
        <v/>
      </c>
      <c r="BR295" t="str">
        <f>IF(Sistema!BR295="","",Sistema!BR295)</f>
        <v/>
      </c>
      <c r="BS295" t="str">
        <f>IF(Sistema!BS295="","",Sistema!BS295)</f>
        <v/>
      </c>
      <c r="BT295" t="str">
        <f>IF(Sistema!BT295="","",Sistema!BT295)</f>
        <v/>
      </c>
      <c r="BU295" t="str">
        <f>IF(Sistema!BU295="","",Sistema!BU295)</f>
        <v/>
      </c>
      <c r="BV295" t="str">
        <f>IF(Sistema!BV295="","",Sistema!BV295)</f>
        <v/>
      </c>
      <c r="BW295" t="str">
        <f>IF(Sistema!BW295="","",Sistema!BW295)</f>
        <v/>
      </c>
      <c r="BX295" t="str">
        <f>IF(Sistema!BX295="","",Sistema!BX295)</f>
        <v/>
      </c>
      <c r="BY295" t="str">
        <f>IF(Sistema!BY295="","",Sistema!BY295)</f>
        <v/>
      </c>
      <c r="BZ295" t="str">
        <f>IF(Sistema!BZ295="","",Sistema!BZ295)</f>
        <v/>
      </c>
      <c r="CA295" t="str">
        <f>IF(Sistema!CA295="","",Sistema!CA295)</f>
        <v/>
      </c>
      <c r="CB295" t="str">
        <f>IF(Sistema!CB295="","",Sistema!CB295)</f>
        <v/>
      </c>
      <c r="CC295" t="str">
        <f>IF(Sistema!CC295="","",Sistema!CC295)</f>
        <v/>
      </c>
      <c r="CD295" t="str">
        <f>IF(Sistema!CD295="","",Sistema!CD295)</f>
        <v/>
      </c>
    </row>
    <row r="296" spans="1:82" x14ac:dyDescent="0.25">
      <c r="A296" t="str">
        <f>IF(Sistema!A296="","",Sistema!A296)</f>
        <v/>
      </c>
      <c r="B296" t="str">
        <f>IF(Sistema!B296="","",Sistema!B296)</f>
        <v/>
      </c>
      <c r="C296" t="str">
        <f>IF(Sistema!C296="","",Sistema!C296)</f>
        <v/>
      </c>
      <c r="D296" t="str">
        <f>IF(Sistema!D296="","",Sistema!D296)</f>
        <v/>
      </c>
      <c r="E296" t="str">
        <f>IF(Sistema!E296="","",Sistema!E296)</f>
        <v/>
      </c>
      <c r="F296">
        <f>IF(P296&gt;0,1,IF(Sistema!F296=0,-1,1))</f>
        <v>-1</v>
      </c>
      <c r="G296">
        <f>Sistema!G296</f>
        <v>0</v>
      </c>
      <c r="H296" t="str">
        <f>IF(OR(R296="notify",R296=1),"visible",IF(OR(Sistema!F296=-1,Sistema!F296=0,ISNUMBER(SEARCH("PCK",E296))),"hidden",IF(P296&gt;0,"visible","hidden")))</f>
        <v>hidden</v>
      </c>
      <c r="I296" t="str">
        <f>IF(B296="simple",IF(P296&gt;0,"",IF(R296="notify",Info!C$2,"")),IF(B296="variable",IF(P296&gt;0,"",IF(R296="notify",Info!C$4,"")),""))</f>
        <v/>
      </c>
      <c r="J296" t="str">
        <f>IF(Sistema!J296="","",Sistema!J296)</f>
        <v/>
      </c>
      <c r="M296" t="str">
        <f>IF(Sistema!M296="","",Sistema!M296)</f>
        <v/>
      </c>
      <c r="N296" s="6" t="s">
        <v>1557</v>
      </c>
      <c r="O296" s="6">
        <v>1</v>
      </c>
      <c r="P296">
        <f>Sistema!P296</f>
        <v>0</v>
      </c>
      <c r="Q296">
        <f>Sistema!Q296</f>
        <v>0</v>
      </c>
      <c r="R296">
        <f>IF(Sistema!R296=1,"notify",Sistema!R296)</f>
        <v>0</v>
      </c>
      <c r="T296" t="str">
        <f>IF(Sistema!T296="","",Sistema!T296)</f>
        <v/>
      </c>
      <c r="U296" t="str">
        <f>IF(Sistema!U296="","",Sistema!U296)</f>
        <v/>
      </c>
      <c r="V296" t="str">
        <f>IF(Sistema!V296="","",Sistema!V296)</f>
        <v/>
      </c>
      <c r="W296" t="str">
        <f>IF(Sistema!W296="","",Sistema!W296)</f>
        <v/>
      </c>
      <c r="X296" s="6">
        <v>1</v>
      </c>
      <c r="Z296" t="str">
        <f>IF(Sistema!Z296="","",Sistema!Z296)</f>
        <v/>
      </c>
      <c r="AA296" t="str">
        <f>IF(Sistema!AA296="","",Sistema!AA296)</f>
        <v/>
      </c>
      <c r="AB296" t="str">
        <f>IF(Sistema!AB296="","",IF(OR(ISNUMBER(SEARCH("MKP",E296)),ISNUMBER(SEARCH("MKP",C296))),"Marketplace &gt; "&amp;Sistema!AB296,Sistema!AB296))</f>
        <v/>
      </c>
      <c r="AC296" t="str">
        <f>IF(Sistema!AC296="","",Sistema!AC296)</f>
        <v/>
      </c>
      <c r="AE296" t="str">
        <f>IF(Sistema!AE296="","",Sistema!AE296)</f>
        <v/>
      </c>
      <c r="AH296" t="str">
        <f>IF(Sistema!AH296="","",Sistema!AH296)</f>
        <v/>
      </c>
      <c r="AQ296" t="str">
        <f>IF(Sistema!AQ296="","",Sistema!AQ296)</f>
        <v/>
      </c>
      <c r="AR296" t="str">
        <f>IF(Sistema!AR296="","",Sistema!AR296)</f>
        <v/>
      </c>
      <c r="AS296" t="str">
        <f>IF(Sistema!AS296="","",Sistema!AS296)</f>
        <v/>
      </c>
      <c r="AT296" t="str">
        <f>IF(Sistema!AT296="","",Sistema!AT296)</f>
        <v/>
      </c>
      <c r="AU296" t="str">
        <f>IF(Sistema!AU296="","",Sistema!AU296)</f>
        <v/>
      </c>
      <c r="AV296" t="str">
        <f>IF(Sistema!AV296="","",Sistema!AV296)</f>
        <v/>
      </c>
      <c r="AW296" t="str">
        <f>IF(Sistema!AW296="","",Sistema!AW296)</f>
        <v/>
      </c>
      <c r="AX296" t="str">
        <f>IF(Sistema!AX296="","",Sistema!AX296)</f>
        <v/>
      </c>
      <c r="AY296" t="str">
        <f>IF(Sistema!AY296="","",Sistema!AY296)</f>
        <v/>
      </c>
      <c r="AZ296" t="str">
        <f>IF(Sistema!AZ296="","",Sistema!AZ296)</f>
        <v/>
      </c>
      <c r="BA296" t="str">
        <f>IF(Sistema!BA296="","",Sistema!BA296)</f>
        <v/>
      </c>
      <c r="BB296" t="str">
        <f>IF(Sistema!BB296="","",Sistema!BB296)</f>
        <v/>
      </c>
      <c r="BC296" t="str">
        <f>IF(Sistema!BC296="","",Sistema!BC296)</f>
        <v/>
      </c>
      <c r="BD296" t="str">
        <f>IF(Sistema!BD296="","",Sistema!BD296)</f>
        <v/>
      </c>
      <c r="BE296" t="str">
        <f>IF(Sistema!BE296="","",Sistema!BE296)</f>
        <v/>
      </c>
      <c r="BF296" t="str">
        <f>IF(Sistema!BF296="","",Sistema!BF296)</f>
        <v/>
      </c>
      <c r="BG296" t="str">
        <f>IF(Sistema!BG296="","",Sistema!BG296)</f>
        <v/>
      </c>
      <c r="BH296" t="str">
        <f>IF(Sistema!BH296="","",Sistema!BH296)</f>
        <v/>
      </c>
      <c r="BI296" t="str">
        <f>IF(Sistema!BI296="","",Sistema!BI296)</f>
        <v/>
      </c>
      <c r="BJ296" t="str">
        <f>IF(Sistema!BJ296="","",Sistema!BJ296)</f>
        <v/>
      </c>
      <c r="BK296" t="str">
        <f>IF(Sistema!BK296="","",Sistema!BK296)</f>
        <v/>
      </c>
      <c r="BL296" t="str">
        <f>IF(Sistema!BL296="","",Sistema!BL296)</f>
        <v/>
      </c>
      <c r="BM296" t="str">
        <f>IF(Sistema!BM296="","",Sistema!BM296)</f>
        <v/>
      </c>
      <c r="BN296" t="str">
        <f>IF(Sistema!BN296="","",Sistema!BN296)</f>
        <v/>
      </c>
      <c r="BO296" t="str">
        <f>IF(Sistema!BO296="","",Sistema!BO296)</f>
        <v/>
      </c>
      <c r="BP296" t="str">
        <f>IF(Sistema!BP296="","",Sistema!BP296)</f>
        <v/>
      </c>
      <c r="BQ296" t="str">
        <f>IF(Sistema!BQ296="","",Sistema!BQ296)</f>
        <v/>
      </c>
      <c r="BR296" t="str">
        <f>IF(Sistema!BR296="","",Sistema!BR296)</f>
        <v/>
      </c>
      <c r="BS296" t="str">
        <f>IF(Sistema!BS296="","",Sistema!BS296)</f>
        <v/>
      </c>
      <c r="BT296" t="str">
        <f>IF(Sistema!BT296="","",Sistema!BT296)</f>
        <v/>
      </c>
      <c r="BU296" t="str">
        <f>IF(Sistema!BU296="","",Sistema!BU296)</f>
        <v/>
      </c>
      <c r="BV296" t="str">
        <f>IF(Sistema!BV296="","",Sistema!BV296)</f>
        <v/>
      </c>
      <c r="BW296" t="str">
        <f>IF(Sistema!BW296="","",Sistema!BW296)</f>
        <v/>
      </c>
      <c r="BX296" t="str">
        <f>IF(Sistema!BX296="","",Sistema!BX296)</f>
        <v/>
      </c>
      <c r="BY296" t="str">
        <f>IF(Sistema!BY296="","",Sistema!BY296)</f>
        <v/>
      </c>
      <c r="BZ296" t="str">
        <f>IF(Sistema!BZ296="","",Sistema!BZ296)</f>
        <v/>
      </c>
      <c r="CA296" t="str">
        <f>IF(Sistema!CA296="","",Sistema!CA296)</f>
        <v/>
      </c>
      <c r="CB296" t="str">
        <f>IF(Sistema!CB296="","",Sistema!CB296)</f>
        <v/>
      </c>
      <c r="CC296" t="str">
        <f>IF(Sistema!CC296="","",Sistema!CC296)</f>
        <v/>
      </c>
      <c r="CD296" t="str">
        <f>IF(Sistema!CD296="","",Sistema!CD296)</f>
        <v/>
      </c>
    </row>
    <row r="297" spans="1:82" x14ac:dyDescent="0.25">
      <c r="A297" t="str">
        <f>IF(Sistema!A297="","",Sistema!A297)</f>
        <v/>
      </c>
      <c r="B297" t="str">
        <f>IF(Sistema!B297="","",Sistema!B297)</f>
        <v/>
      </c>
      <c r="C297" t="str">
        <f>IF(Sistema!C297="","",Sistema!C297)</f>
        <v/>
      </c>
      <c r="D297" t="str">
        <f>IF(Sistema!D297="","",Sistema!D297)</f>
        <v/>
      </c>
      <c r="E297" t="str">
        <f>IF(Sistema!E297="","",Sistema!E297)</f>
        <v/>
      </c>
      <c r="F297">
        <f>IF(P297&gt;0,1,IF(Sistema!F297=0,-1,1))</f>
        <v>-1</v>
      </c>
      <c r="G297">
        <f>Sistema!G297</f>
        <v>0</v>
      </c>
      <c r="H297" t="str">
        <f>IF(OR(R297="notify",R297=1),"visible",IF(OR(Sistema!F297=-1,Sistema!F297=0,ISNUMBER(SEARCH("PCK",E297))),"hidden",IF(P297&gt;0,"visible","hidden")))</f>
        <v>hidden</v>
      </c>
      <c r="I297" t="str">
        <f>IF(B297="simple",IF(P297&gt;0,"",IF(R297="notify",Info!C$2,"")),IF(B297="variable",IF(P297&gt;0,"",IF(R297="notify",Info!C$4,"")),""))</f>
        <v/>
      </c>
      <c r="J297" t="str">
        <f>IF(Sistema!J297="","",Sistema!J297)</f>
        <v/>
      </c>
      <c r="M297" t="str">
        <f>IF(Sistema!M297="","",Sistema!M297)</f>
        <v/>
      </c>
      <c r="N297" s="6" t="s">
        <v>1557</v>
      </c>
      <c r="O297" s="6">
        <v>1</v>
      </c>
      <c r="P297">
        <f>Sistema!P297</f>
        <v>0</v>
      </c>
      <c r="Q297">
        <f>Sistema!Q297</f>
        <v>0</v>
      </c>
      <c r="R297">
        <f>IF(Sistema!R297=1,"notify",Sistema!R297)</f>
        <v>0</v>
      </c>
      <c r="T297" t="str">
        <f>IF(Sistema!T297="","",Sistema!T297)</f>
        <v/>
      </c>
      <c r="U297" t="str">
        <f>IF(Sistema!U297="","",Sistema!U297)</f>
        <v/>
      </c>
      <c r="V297" t="str">
        <f>IF(Sistema!V297="","",Sistema!V297)</f>
        <v/>
      </c>
      <c r="W297" t="str">
        <f>IF(Sistema!W297="","",Sistema!W297)</f>
        <v/>
      </c>
      <c r="X297" s="6">
        <v>1</v>
      </c>
      <c r="Z297" t="str">
        <f>IF(Sistema!Z297="","",Sistema!Z297)</f>
        <v/>
      </c>
      <c r="AA297" t="str">
        <f>IF(Sistema!AA297="","",Sistema!AA297)</f>
        <v/>
      </c>
      <c r="AB297" t="str">
        <f>IF(Sistema!AB297="","",IF(OR(ISNUMBER(SEARCH("MKP",E297)),ISNUMBER(SEARCH("MKP",C297))),"Marketplace &gt; "&amp;Sistema!AB297,Sistema!AB297))</f>
        <v/>
      </c>
      <c r="AC297" t="str">
        <f>IF(Sistema!AC297="","",Sistema!AC297)</f>
        <v/>
      </c>
      <c r="AE297" t="str">
        <f>IF(Sistema!AE297="","",Sistema!AE297)</f>
        <v/>
      </c>
      <c r="AH297" t="str">
        <f>IF(Sistema!AH297="","",Sistema!AH297)</f>
        <v/>
      </c>
      <c r="AQ297" t="str">
        <f>IF(Sistema!AQ297="","",Sistema!AQ297)</f>
        <v/>
      </c>
      <c r="AR297" t="str">
        <f>IF(Sistema!AR297="","",Sistema!AR297)</f>
        <v/>
      </c>
      <c r="AS297" t="str">
        <f>IF(Sistema!AS297="","",Sistema!AS297)</f>
        <v/>
      </c>
      <c r="AT297" t="str">
        <f>IF(Sistema!AT297="","",Sistema!AT297)</f>
        <v/>
      </c>
      <c r="AU297" t="str">
        <f>IF(Sistema!AU297="","",Sistema!AU297)</f>
        <v/>
      </c>
      <c r="AV297" t="str">
        <f>IF(Sistema!AV297="","",Sistema!AV297)</f>
        <v/>
      </c>
      <c r="AW297" t="str">
        <f>IF(Sistema!AW297="","",Sistema!AW297)</f>
        <v/>
      </c>
      <c r="AX297" t="str">
        <f>IF(Sistema!AX297="","",Sistema!AX297)</f>
        <v/>
      </c>
      <c r="AY297" t="str">
        <f>IF(Sistema!AY297="","",Sistema!AY297)</f>
        <v/>
      </c>
      <c r="AZ297" t="str">
        <f>IF(Sistema!AZ297="","",Sistema!AZ297)</f>
        <v/>
      </c>
      <c r="BA297" t="str">
        <f>IF(Sistema!BA297="","",Sistema!BA297)</f>
        <v/>
      </c>
      <c r="BB297" t="str">
        <f>IF(Sistema!BB297="","",Sistema!BB297)</f>
        <v/>
      </c>
      <c r="BC297" t="str">
        <f>IF(Sistema!BC297="","",Sistema!BC297)</f>
        <v/>
      </c>
      <c r="BD297" t="str">
        <f>IF(Sistema!BD297="","",Sistema!BD297)</f>
        <v/>
      </c>
      <c r="BE297" t="str">
        <f>IF(Sistema!BE297="","",Sistema!BE297)</f>
        <v/>
      </c>
      <c r="BF297" t="str">
        <f>IF(Sistema!BF297="","",Sistema!BF297)</f>
        <v/>
      </c>
      <c r="BG297" t="str">
        <f>IF(Sistema!BG297="","",Sistema!BG297)</f>
        <v/>
      </c>
      <c r="BH297" t="str">
        <f>IF(Sistema!BH297="","",Sistema!BH297)</f>
        <v/>
      </c>
      <c r="BI297" t="str">
        <f>IF(Sistema!BI297="","",Sistema!BI297)</f>
        <v/>
      </c>
      <c r="BJ297" t="str">
        <f>IF(Sistema!BJ297="","",Sistema!BJ297)</f>
        <v/>
      </c>
      <c r="BK297" t="str">
        <f>IF(Sistema!BK297="","",Sistema!BK297)</f>
        <v/>
      </c>
      <c r="BL297" t="str">
        <f>IF(Sistema!BL297="","",Sistema!BL297)</f>
        <v/>
      </c>
      <c r="BM297" t="str">
        <f>IF(Sistema!BM297="","",Sistema!BM297)</f>
        <v/>
      </c>
      <c r="BN297" t="str">
        <f>IF(Sistema!BN297="","",Sistema!BN297)</f>
        <v/>
      </c>
      <c r="BO297" t="str">
        <f>IF(Sistema!BO297="","",Sistema!BO297)</f>
        <v/>
      </c>
      <c r="BP297" t="str">
        <f>IF(Sistema!BP297="","",Sistema!BP297)</f>
        <v/>
      </c>
      <c r="BQ297" t="str">
        <f>IF(Sistema!BQ297="","",Sistema!BQ297)</f>
        <v/>
      </c>
      <c r="BR297" t="str">
        <f>IF(Sistema!BR297="","",Sistema!BR297)</f>
        <v/>
      </c>
      <c r="BS297" t="str">
        <f>IF(Sistema!BS297="","",Sistema!BS297)</f>
        <v/>
      </c>
      <c r="BT297" t="str">
        <f>IF(Sistema!BT297="","",Sistema!BT297)</f>
        <v/>
      </c>
      <c r="BU297" t="str">
        <f>IF(Sistema!BU297="","",Sistema!BU297)</f>
        <v/>
      </c>
      <c r="BV297" t="str">
        <f>IF(Sistema!BV297="","",Sistema!BV297)</f>
        <v/>
      </c>
      <c r="BW297" t="str">
        <f>IF(Sistema!BW297="","",Sistema!BW297)</f>
        <v/>
      </c>
      <c r="BX297" t="str">
        <f>IF(Sistema!BX297="","",Sistema!BX297)</f>
        <v/>
      </c>
      <c r="BY297" t="str">
        <f>IF(Sistema!BY297="","",Sistema!BY297)</f>
        <v/>
      </c>
      <c r="BZ297" t="str">
        <f>IF(Sistema!BZ297="","",Sistema!BZ297)</f>
        <v/>
      </c>
      <c r="CA297" t="str">
        <f>IF(Sistema!CA297="","",Sistema!CA297)</f>
        <v/>
      </c>
      <c r="CB297" t="str">
        <f>IF(Sistema!CB297="","",Sistema!CB297)</f>
        <v/>
      </c>
      <c r="CC297" t="str">
        <f>IF(Sistema!CC297="","",Sistema!CC297)</f>
        <v/>
      </c>
      <c r="CD297" t="str">
        <f>IF(Sistema!CD297="","",Sistema!CD297)</f>
        <v/>
      </c>
    </row>
    <row r="298" spans="1:82" x14ac:dyDescent="0.25">
      <c r="A298" t="str">
        <f>IF(Sistema!A298="","",Sistema!A298)</f>
        <v/>
      </c>
      <c r="B298" t="str">
        <f>IF(Sistema!B298="","",Sistema!B298)</f>
        <v/>
      </c>
      <c r="C298" t="str">
        <f>IF(Sistema!C298="","",Sistema!C298)</f>
        <v/>
      </c>
      <c r="D298" t="str">
        <f>IF(Sistema!D298="","",Sistema!D298)</f>
        <v/>
      </c>
      <c r="E298" t="str">
        <f>IF(Sistema!E298="","",Sistema!E298)</f>
        <v/>
      </c>
      <c r="F298">
        <f>IF(P298&gt;0,1,IF(Sistema!F298=0,-1,1))</f>
        <v>-1</v>
      </c>
      <c r="G298">
        <f>Sistema!G298</f>
        <v>0</v>
      </c>
      <c r="H298" t="str">
        <f>IF(OR(R298="notify",R298=1),"visible",IF(OR(Sistema!F298=-1,Sistema!F298=0,ISNUMBER(SEARCH("PCK",E298))),"hidden",IF(P298&gt;0,"visible","hidden")))</f>
        <v>hidden</v>
      </c>
      <c r="I298" t="str">
        <f>IF(B298="simple",IF(P298&gt;0,"",IF(R298="notify",Info!C$2,"")),IF(B298="variable",IF(P298&gt;0,"",IF(R298="notify",Info!C$4,"")),""))</f>
        <v/>
      </c>
      <c r="J298" t="str">
        <f>IF(Sistema!J298="","",Sistema!J298)</f>
        <v/>
      </c>
      <c r="M298" t="str">
        <f>IF(Sistema!M298="","",Sistema!M298)</f>
        <v/>
      </c>
      <c r="N298" s="6" t="s">
        <v>1557</v>
      </c>
      <c r="O298" s="6">
        <v>1</v>
      </c>
      <c r="P298">
        <f>Sistema!P298</f>
        <v>0</v>
      </c>
      <c r="Q298">
        <f>Sistema!Q298</f>
        <v>0</v>
      </c>
      <c r="R298">
        <f>IF(Sistema!R298=1,"notify",Sistema!R298)</f>
        <v>0</v>
      </c>
      <c r="T298" t="str">
        <f>IF(Sistema!T298="","",Sistema!T298)</f>
        <v/>
      </c>
      <c r="U298" t="str">
        <f>IF(Sistema!U298="","",Sistema!U298)</f>
        <v/>
      </c>
      <c r="V298" t="str">
        <f>IF(Sistema!V298="","",Sistema!V298)</f>
        <v/>
      </c>
      <c r="W298" t="str">
        <f>IF(Sistema!W298="","",Sistema!W298)</f>
        <v/>
      </c>
      <c r="X298" s="6">
        <v>1</v>
      </c>
      <c r="Z298" t="str">
        <f>IF(Sistema!Z298="","",Sistema!Z298)</f>
        <v/>
      </c>
      <c r="AA298" t="str">
        <f>IF(Sistema!AA298="","",Sistema!AA298)</f>
        <v/>
      </c>
      <c r="AB298" t="str">
        <f>IF(Sistema!AB298="","",IF(OR(ISNUMBER(SEARCH("MKP",E298)),ISNUMBER(SEARCH("MKP",C298))),"Marketplace &gt; "&amp;Sistema!AB298,Sistema!AB298))</f>
        <v/>
      </c>
      <c r="AC298" t="str">
        <f>IF(Sistema!AC298="","",Sistema!AC298)</f>
        <v/>
      </c>
      <c r="AE298" t="str">
        <f>IF(Sistema!AE298="","",Sistema!AE298)</f>
        <v/>
      </c>
      <c r="AH298" t="str">
        <f>IF(Sistema!AH298="","",Sistema!AH298)</f>
        <v/>
      </c>
      <c r="AQ298" t="str">
        <f>IF(Sistema!AQ298="","",Sistema!AQ298)</f>
        <v/>
      </c>
      <c r="AR298" t="str">
        <f>IF(Sistema!AR298="","",Sistema!AR298)</f>
        <v/>
      </c>
      <c r="AS298" t="str">
        <f>IF(Sistema!AS298="","",Sistema!AS298)</f>
        <v/>
      </c>
      <c r="AT298" t="str">
        <f>IF(Sistema!AT298="","",Sistema!AT298)</f>
        <v/>
      </c>
      <c r="AU298" t="str">
        <f>IF(Sistema!AU298="","",Sistema!AU298)</f>
        <v/>
      </c>
      <c r="AV298" t="str">
        <f>IF(Sistema!AV298="","",Sistema!AV298)</f>
        <v/>
      </c>
      <c r="AW298" t="str">
        <f>IF(Sistema!AW298="","",Sistema!AW298)</f>
        <v/>
      </c>
      <c r="AX298" t="str">
        <f>IF(Sistema!AX298="","",Sistema!AX298)</f>
        <v/>
      </c>
      <c r="AY298" t="str">
        <f>IF(Sistema!AY298="","",Sistema!AY298)</f>
        <v/>
      </c>
      <c r="AZ298" t="str">
        <f>IF(Sistema!AZ298="","",Sistema!AZ298)</f>
        <v/>
      </c>
      <c r="BA298" t="str">
        <f>IF(Sistema!BA298="","",Sistema!BA298)</f>
        <v/>
      </c>
      <c r="BB298" t="str">
        <f>IF(Sistema!BB298="","",Sistema!BB298)</f>
        <v/>
      </c>
      <c r="BC298" t="str">
        <f>IF(Sistema!BC298="","",Sistema!BC298)</f>
        <v/>
      </c>
      <c r="BD298" t="str">
        <f>IF(Sistema!BD298="","",Sistema!BD298)</f>
        <v/>
      </c>
      <c r="BE298" t="str">
        <f>IF(Sistema!BE298="","",Sistema!BE298)</f>
        <v/>
      </c>
      <c r="BF298" t="str">
        <f>IF(Sistema!BF298="","",Sistema!BF298)</f>
        <v/>
      </c>
      <c r="BG298" t="str">
        <f>IF(Sistema!BG298="","",Sistema!BG298)</f>
        <v/>
      </c>
      <c r="BH298" t="str">
        <f>IF(Sistema!BH298="","",Sistema!BH298)</f>
        <v/>
      </c>
      <c r="BI298" t="str">
        <f>IF(Sistema!BI298="","",Sistema!BI298)</f>
        <v/>
      </c>
      <c r="BJ298" t="str">
        <f>IF(Sistema!BJ298="","",Sistema!BJ298)</f>
        <v/>
      </c>
      <c r="BK298" t="str">
        <f>IF(Sistema!BK298="","",Sistema!BK298)</f>
        <v/>
      </c>
      <c r="BL298" t="str">
        <f>IF(Sistema!BL298="","",Sistema!BL298)</f>
        <v/>
      </c>
      <c r="BM298" t="str">
        <f>IF(Sistema!BM298="","",Sistema!BM298)</f>
        <v/>
      </c>
      <c r="BN298" t="str">
        <f>IF(Sistema!BN298="","",Sistema!BN298)</f>
        <v/>
      </c>
      <c r="BO298" t="str">
        <f>IF(Sistema!BO298="","",Sistema!BO298)</f>
        <v/>
      </c>
      <c r="BP298" t="str">
        <f>IF(Sistema!BP298="","",Sistema!BP298)</f>
        <v/>
      </c>
      <c r="BQ298" t="str">
        <f>IF(Sistema!BQ298="","",Sistema!BQ298)</f>
        <v/>
      </c>
      <c r="BR298" t="str">
        <f>IF(Sistema!BR298="","",Sistema!BR298)</f>
        <v/>
      </c>
      <c r="BS298" t="str">
        <f>IF(Sistema!BS298="","",Sistema!BS298)</f>
        <v/>
      </c>
      <c r="BT298" t="str">
        <f>IF(Sistema!BT298="","",Sistema!BT298)</f>
        <v/>
      </c>
      <c r="BU298" t="str">
        <f>IF(Sistema!BU298="","",Sistema!BU298)</f>
        <v/>
      </c>
      <c r="BV298" t="str">
        <f>IF(Sistema!BV298="","",Sistema!BV298)</f>
        <v/>
      </c>
      <c r="BW298" t="str">
        <f>IF(Sistema!BW298="","",Sistema!BW298)</f>
        <v/>
      </c>
      <c r="BX298" t="str">
        <f>IF(Sistema!BX298="","",Sistema!BX298)</f>
        <v/>
      </c>
      <c r="BY298" t="str">
        <f>IF(Sistema!BY298="","",Sistema!BY298)</f>
        <v/>
      </c>
      <c r="BZ298" t="str">
        <f>IF(Sistema!BZ298="","",Sistema!BZ298)</f>
        <v/>
      </c>
      <c r="CA298" t="str">
        <f>IF(Sistema!CA298="","",Sistema!CA298)</f>
        <v/>
      </c>
      <c r="CB298" t="str">
        <f>IF(Sistema!CB298="","",Sistema!CB298)</f>
        <v/>
      </c>
      <c r="CC298" t="str">
        <f>IF(Sistema!CC298="","",Sistema!CC298)</f>
        <v/>
      </c>
      <c r="CD298" t="str">
        <f>IF(Sistema!CD298="","",Sistema!CD298)</f>
        <v/>
      </c>
    </row>
    <row r="299" spans="1:82" x14ac:dyDescent="0.25">
      <c r="A299" t="str">
        <f>IF(Sistema!A299="","",Sistema!A299)</f>
        <v/>
      </c>
      <c r="B299" t="str">
        <f>IF(Sistema!B299="","",Sistema!B299)</f>
        <v/>
      </c>
      <c r="C299" t="str">
        <f>IF(Sistema!C299="","",Sistema!C299)</f>
        <v/>
      </c>
      <c r="D299" t="str">
        <f>IF(Sistema!D299="","",Sistema!D299)</f>
        <v/>
      </c>
      <c r="E299" t="str">
        <f>IF(Sistema!E299="","",Sistema!E299)</f>
        <v/>
      </c>
      <c r="F299">
        <f>IF(P299&gt;0,1,IF(Sistema!F299=0,-1,1))</f>
        <v>-1</v>
      </c>
      <c r="G299">
        <f>Sistema!G299</f>
        <v>0</v>
      </c>
      <c r="H299" t="str">
        <f>IF(OR(R299="notify",R299=1),"visible",IF(OR(Sistema!F299=-1,Sistema!F299=0,ISNUMBER(SEARCH("PCK",E299))),"hidden",IF(P299&gt;0,"visible","hidden")))</f>
        <v>hidden</v>
      </c>
      <c r="I299" t="str">
        <f>IF(B299="simple",IF(P299&gt;0,"",IF(R299="notify",Info!C$2,"")),IF(B299="variable",IF(P299&gt;0,"",IF(R299="notify",Info!C$4,"")),""))</f>
        <v/>
      </c>
      <c r="J299" t="str">
        <f>IF(Sistema!J299="","",Sistema!J299)</f>
        <v/>
      </c>
      <c r="M299" t="str">
        <f>IF(Sistema!M299="","",Sistema!M299)</f>
        <v/>
      </c>
      <c r="N299" s="6" t="s">
        <v>1557</v>
      </c>
      <c r="O299" s="6">
        <v>1</v>
      </c>
      <c r="P299">
        <f>Sistema!P299</f>
        <v>0</v>
      </c>
      <c r="Q299">
        <f>Sistema!Q299</f>
        <v>0</v>
      </c>
      <c r="R299">
        <f>IF(Sistema!R299=1,"notify",Sistema!R299)</f>
        <v>0</v>
      </c>
      <c r="T299" t="str">
        <f>IF(Sistema!T299="","",Sistema!T299)</f>
        <v/>
      </c>
      <c r="U299" t="str">
        <f>IF(Sistema!U299="","",Sistema!U299)</f>
        <v/>
      </c>
      <c r="V299" t="str">
        <f>IF(Sistema!V299="","",Sistema!V299)</f>
        <v/>
      </c>
      <c r="W299" t="str">
        <f>IF(Sistema!W299="","",Sistema!W299)</f>
        <v/>
      </c>
      <c r="X299" s="6">
        <v>1</v>
      </c>
      <c r="Z299" t="str">
        <f>IF(Sistema!Z299="","",Sistema!Z299)</f>
        <v/>
      </c>
      <c r="AA299" t="str">
        <f>IF(Sistema!AA299="","",Sistema!AA299)</f>
        <v/>
      </c>
      <c r="AB299" t="str">
        <f>IF(Sistema!AB299="","",IF(OR(ISNUMBER(SEARCH("MKP",E299)),ISNUMBER(SEARCH("MKP",C299))),"Marketplace &gt; "&amp;Sistema!AB299,Sistema!AB299))</f>
        <v/>
      </c>
      <c r="AC299" t="str">
        <f>IF(Sistema!AC299="","",Sistema!AC299)</f>
        <v/>
      </c>
      <c r="AE299" t="str">
        <f>IF(Sistema!AE299="","",Sistema!AE299)</f>
        <v/>
      </c>
      <c r="AH299" t="str">
        <f>IF(Sistema!AH299="","",Sistema!AH299)</f>
        <v/>
      </c>
      <c r="AQ299" t="str">
        <f>IF(Sistema!AQ299="","",Sistema!AQ299)</f>
        <v/>
      </c>
      <c r="AR299" t="str">
        <f>IF(Sistema!AR299="","",Sistema!AR299)</f>
        <v/>
      </c>
      <c r="AS299" t="str">
        <f>IF(Sistema!AS299="","",Sistema!AS299)</f>
        <v/>
      </c>
      <c r="AT299" t="str">
        <f>IF(Sistema!AT299="","",Sistema!AT299)</f>
        <v/>
      </c>
      <c r="AU299" t="str">
        <f>IF(Sistema!AU299="","",Sistema!AU299)</f>
        <v/>
      </c>
      <c r="AV299" t="str">
        <f>IF(Sistema!AV299="","",Sistema!AV299)</f>
        <v/>
      </c>
      <c r="AW299" t="str">
        <f>IF(Sistema!AW299="","",Sistema!AW299)</f>
        <v/>
      </c>
      <c r="AX299" t="str">
        <f>IF(Sistema!AX299="","",Sistema!AX299)</f>
        <v/>
      </c>
      <c r="AY299" t="str">
        <f>IF(Sistema!AY299="","",Sistema!AY299)</f>
        <v/>
      </c>
      <c r="AZ299" t="str">
        <f>IF(Sistema!AZ299="","",Sistema!AZ299)</f>
        <v/>
      </c>
      <c r="BA299" t="str">
        <f>IF(Sistema!BA299="","",Sistema!BA299)</f>
        <v/>
      </c>
      <c r="BB299" t="str">
        <f>IF(Sistema!BB299="","",Sistema!BB299)</f>
        <v/>
      </c>
      <c r="BC299" t="str">
        <f>IF(Sistema!BC299="","",Sistema!BC299)</f>
        <v/>
      </c>
      <c r="BD299" t="str">
        <f>IF(Sistema!BD299="","",Sistema!BD299)</f>
        <v/>
      </c>
      <c r="BE299" t="str">
        <f>IF(Sistema!BE299="","",Sistema!BE299)</f>
        <v/>
      </c>
      <c r="BF299" t="str">
        <f>IF(Sistema!BF299="","",Sistema!BF299)</f>
        <v/>
      </c>
      <c r="BG299" t="str">
        <f>IF(Sistema!BG299="","",Sistema!BG299)</f>
        <v/>
      </c>
      <c r="BH299" t="str">
        <f>IF(Sistema!BH299="","",Sistema!BH299)</f>
        <v/>
      </c>
      <c r="BI299" t="str">
        <f>IF(Sistema!BI299="","",Sistema!BI299)</f>
        <v/>
      </c>
      <c r="BJ299" t="str">
        <f>IF(Sistema!BJ299="","",Sistema!BJ299)</f>
        <v/>
      </c>
      <c r="BK299" t="str">
        <f>IF(Sistema!BK299="","",Sistema!BK299)</f>
        <v/>
      </c>
      <c r="BL299" t="str">
        <f>IF(Sistema!BL299="","",Sistema!BL299)</f>
        <v/>
      </c>
      <c r="BM299" t="str">
        <f>IF(Sistema!BM299="","",Sistema!BM299)</f>
        <v/>
      </c>
      <c r="BN299" t="str">
        <f>IF(Sistema!BN299="","",Sistema!BN299)</f>
        <v/>
      </c>
      <c r="BO299" t="str">
        <f>IF(Sistema!BO299="","",Sistema!BO299)</f>
        <v/>
      </c>
      <c r="BP299" t="str">
        <f>IF(Sistema!BP299="","",Sistema!BP299)</f>
        <v/>
      </c>
      <c r="BQ299" t="str">
        <f>IF(Sistema!BQ299="","",Sistema!BQ299)</f>
        <v/>
      </c>
      <c r="BR299" t="str">
        <f>IF(Sistema!BR299="","",Sistema!BR299)</f>
        <v/>
      </c>
      <c r="BS299" t="str">
        <f>IF(Sistema!BS299="","",Sistema!BS299)</f>
        <v/>
      </c>
      <c r="BT299" t="str">
        <f>IF(Sistema!BT299="","",Sistema!BT299)</f>
        <v/>
      </c>
      <c r="BU299" t="str">
        <f>IF(Sistema!BU299="","",Sistema!BU299)</f>
        <v/>
      </c>
      <c r="BV299" t="str">
        <f>IF(Sistema!BV299="","",Sistema!BV299)</f>
        <v/>
      </c>
      <c r="BW299" t="str">
        <f>IF(Sistema!BW299="","",Sistema!BW299)</f>
        <v/>
      </c>
      <c r="BX299" t="str">
        <f>IF(Sistema!BX299="","",Sistema!BX299)</f>
        <v/>
      </c>
      <c r="BY299" t="str">
        <f>IF(Sistema!BY299="","",Sistema!BY299)</f>
        <v/>
      </c>
      <c r="BZ299" t="str">
        <f>IF(Sistema!BZ299="","",Sistema!BZ299)</f>
        <v/>
      </c>
      <c r="CA299" t="str">
        <f>IF(Sistema!CA299="","",Sistema!CA299)</f>
        <v/>
      </c>
      <c r="CB299" t="str">
        <f>IF(Sistema!CB299="","",Sistema!CB299)</f>
        <v/>
      </c>
      <c r="CC299" t="str">
        <f>IF(Sistema!CC299="","",Sistema!CC299)</f>
        <v/>
      </c>
      <c r="CD299" t="str">
        <f>IF(Sistema!CD299="","",Sistema!CD299)</f>
        <v/>
      </c>
    </row>
    <row r="300" spans="1:82" x14ac:dyDescent="0.25">
      <c r="A300" t="str">
        <f>IF(Sistema!A300="","",Sistema!A300)</f>
        <v/>
      </c>
      <c r="B300" t="str">
        <f>IF(Sistema!B300="","",Sistema!B300)</f>
        <v/>
      </c>
      <c r="C300" t="str">
        <f>IF(Sistema!C300="","",Sistema!C300)</f>
        <v/>
      </c>
      <c r="D300" t="str">
        <f>IF(Sistema!D300="","",Sistema!D300)</f>
        <v/>
      </c>
      <c r="E300" t="str">
        <f>IF(Sistema!E300="","",Sistema!E300)</f>
        <v/>
      </c>
      <c r="F300">
        <f>IF(P300&gt;0,1,IF(Sistema!F300=0,-1,1))</f>
        <v>-1</v>
      </c>
      <c r="G300">
        <f>Sistema!G300</f>
        <v>0</v>
      </c>
      <c r="H300" t="str">
        <f>IF(OR(R300="notify",R300=1),"visible",IF(OR(Sistema!F300=-1,Sistema!F300=0,ISNUMBER(SEARCH("PCK",E300))),"hidden",IF(P300&gt;0,"visible","hidden")))</f>
        <v>hidden</v>
      </c>
      <c r="I300" t="str">
        <f>IF(B300="simple",IF(P300&gt;0,"",IF(R300="notify",Info!C$2,"")),IF(B300="variable",IF(P300&gt;0,"",IF(R300="notify",Info!C$4,"")),""))</f>
        <v/>
      </c>
      <c r="J300" t="str">
        <f>IF(Sistema!J300="","",Sistema!J300)</f>
        <v/>
      </c>
      <c r="M300" t="str">
        <f>IF(Sistema!M300="","",Sistema!M300)</f>
        <v/>
      </c>
      <c r="N300" s="6" t="s">
        <v>1557</v>
      </c>
      <c r="O300" s="6">
        <v>1</v>
      </c>
      <c r="P300">
        <f>Sistema!P300</f>
        <v>0</v>
      </c>
      <c r="Q300">
        <f>Sistema!Q300</f>
        <v>0</v>
      </c>
      <c r="R300">
        <f>IF(Sistema!R300=1,"notify",Sistema!R300)</f>
        <v>0</v>
      </c>
      <c r="T300" t="str">
        <f>IF(Sistema!T300="","",Sistema!T300)</f>
        <v/>
      </c>
      <c r="U300" t="str">
        <f>IF(Sistema!U300="","",Sistema!U300)</f>
        <v/>
      </c>
      <c r="V300" t="str">
        <f>IF(Sistema!V300="","",Sistema!V300)</f>
        <v/>
      </c>
      <c r="W300" t="str">
        <f>IF(Sistema!W300="","",Sistema!W300)</f>
        <v/>
      </c>
      <c r="X300" s="6">
        <v>1</v>
      </c>
      <c r="Z300" t="str">
        <f>IF(Sistema!Z300="","",Sistema!Z300)</f>
        <v/>
      </c>
      <c r="AA300" t="str">
        <f>IF(Sistema!AA300="","",Sistema!AA300)</f>
        <v/>
      </c>
      <c r="AB300" t="str">
        <f>IF(Sistema!AB300="","",IF(OR(ISNUMBER(SEARCH("MKP",E300)),ISNUMBER(SEARCH("MKP",C300))),"Marketplace &gt; "&amp;Sistema!AB300,Sistema!AB300))</f>
        <v/>
      </c>
      <c r="AC300" t="str">
        <f>IF(Sistema!AC300="","",Sistema!AC300)</f>
        <v/>
      </c>
      <c r="AE300" t="str">
        <f>IF(Sistema!AE300="","",Sistema!AE300)</f>
        <v/>
      </c>
      <c r="AH300" t="str">
        <f>IF(Sistema!AH300="","",Sistema!AH300)</f>
        <v/>
      </c>
      <c r="AQ300" t="str">
        <f>IF(Sistema!AQ300="","",Sistema!AQ300)</f>
        <v/>
      </c>
      <c r="AR300" t="str">
        <f>IF(Sistema!AR300="","",Sistema!AR300)</f>
        <v/>
      </c>
      <c r="AS300" t="str">
        <f>IF(Sistema!AS300="","",Sistema!AS300)</f>
        <v/>
      </c>
      <c r="AT300" t="str">
        <f>IF(Sistema!AT300="","",Sistema!AT300)</f>
        <v/>
      </c>
      <c r="AU300" t="str">
        <f>IF(Sistema!AU300="","",Sistema!AU300)</f>
        <v/>
      </c>
      <c r="AV300" t="str">
        <f>IF(Sistema!AV300="","",Sistema!AV300)</f>
        <v/>
      </c>
      <c r="AW300" t="str">
        <f>IF(Sistema!AW300="","",Sistema!AW300)</f>
        <v/>
      </c>
      <c r="AX300" t="str">
        <f>IF(Sistema!AX300="","",Sistema!AX300)</f>
        <v/>
      </c>
      <c r="AY300" t="str">
        <f>IF(Sistema!AY300="","",Sistema!AY300)</f>
        <v/>
      </c>
      <c r="AZ300" t="str">
        <f>IF(Sistema!AZ300="","",Sistema!AZ300)</f>
        <v/>
      </c>
      <c r="BA300" t="str">
        <f>IF(Sistema!BA300="","",Sistema!BA300)</f>
        <v/>
      </c>
      <c r="BB300" t="str">
        <f>IF(Sistema!BB300="","",Sistema!BB300)</f>
        <v/>
      </c>
      <c r="BC300" t="str">
        <f>IF(Sistema!BC300="","",Sistema!BC300)</f>
        <v/>
      </c>
      <c r="BD300" t="str">
        <f>IF(Sistema!BD300="","",Sistema!BD300)</f>
        <v/>
      </c>
      <c r="BE300" t="str">
        <f>IF(Sistema!BE300="","",Sistema!BE300)</f>
        <v/>
      </c>
      <c r="BF300" t="str">
        <f>IF(Sistema!BF300="","",Sistema!BF300)</f>
        <v/>
      </c>
      <c r="BG300" t="str">
        <f>IF(Sistema!BG300="","",Sistema!BG300)</f>
        <v/>
      </c>
      <c r="BH300" t="str">
        <f>IF(Sistema!BH300="","",Sistema!BH300)</f>
        <v/>
      </c>
      <c r="BI300" t="str">
        <f>IF(Sistema!BI300="","",Sistema!BI300)</f>
        <v/>
      </c>
      <c r="BJ300" t="str">
        <f>IF(Sistema!BJ300="","",Sistema!BJ300)</f>
        <v/>
      </c>
      <c r="BK300" t="str">
        <f>IF(Sistema!BK300="","",Sistema!BK300)</f>
        <v/>
      </c>
      <c r="BL300" t="str">
        <f>IF(Sistema!BL300="","",Sistema!BL300)</f>
        <v/>
      </c>
      <c r="BM300" t="str">
        <f>IF(Sistema!BM300="","",Sistema!BM300)</f>
        <v/>
      </c>
      <c r="BN300" t="str">
        <f>IF(Sistema!BN300="","",Sistema!BN300)</f>
        <v/>
      </c>
      <c r="BO300" t="str">
        <f>IF(Sistema!BO300="","",Sistema!BO300)</f>
        <v/>
      </c>
      <c r="BP300" t="str">
        <f>IF(Sistema!BP300="","",Sistema!BP300)</f>
        <v/>
      </c>
      <c r="BQ300" t="str">
        <f>IF(Sistema!BQ300="","",Sistema!BQ300)</f>
        <v/>
      </c>
      <c r="BR300" t="str">
        <f>IF(Sistema!BR300="","",Sistema!BR300)</f>
        <v/>
      </c>
      <c r="BS300" t="str">
        <f>IF(Sistema!BS300="","",Sistema!BS300)</f>
        <v/>
      </c>
      <c r="BT300" t="str">
        <f>IF(Sistema!BT300="","",Sistema!BT300)</f>
        <v/>
      </c>
      <c r="BU300" t="str">
        <f>IF(Sistema!BU300="","",Sistema!BU300)</f>
        <v/>
      </c>
      <c r="BV300" t="str">
        <f>IF(Sistema!BV300="","",Sistema!BV300)</f>
        <v/>
      </c>
      <c r="BW300" t="str">
        <f>IF(Sistema!BW300="","",Sistema!BW300)</f>
        <v/>
      </c>
      <c r="BX300" t="str">
        <f>IF(Sistema!BX300="","",Sistema!BX300)</f>
        <v/>
      </c>
      <c r="BY300" t="str">
        <f>IF(Sistema!BY300="","",Sistema!BY300)</f>
        <v/>
      </c>
      <c r="BZ300" t="str">
        <f>IF(Sistema!BZ300="","",Sistema!BZ300)</f>
        <v/>
      </c>
      <c r="CA300" t="str">
        <f>IF(Sistema!CA300="","",Sistema!CA300)</f>
        <v/>
      </c>
      <c r="CB300" t="str">
        <f>IF(Sistema!CB300="","",Sistema!CB300)</f>
        <v/>
      </c>
      <c r="CC300" t="str">
        <f>IF(Sistema!CC300="","",Sistema!CC300)</f>
        <v/>
      </c>
      <c r="CD300" t="str">
        <f>IF(Sistema!CD300="","",Sistema!CD300)</f>
        <v/>
      </c>
    </row>
    <row r="301" spans="1:82" x14ac:dyDescent="0.25">
      <c r="A301" t="str">
        <f>IF(Sistema!A301="","",Sistema!A301)</f>
        <v/>
      </c>
      <c r="B301" t="str">
        <f>IF(Sistema!B301="","",Sistema!B301)</f>
        <v/>
      </c>
      <c r="C301" t="str">
        <f>IF(Sistema!C301="","",Sistema!C301)</f>
        <v/>
      </c>
      <c r="D301" t="str">
        <f>IF(Sistema!D301="","",Sistema!D301)</f>
        <v/>
      </c>
      <c r="E301" t="str">
        <f>IF(Sistema!E301="","",Sistema!E301)</f>
        <v/>
      </c>
      <c r="F301">
        <f>IF(P301&gt;0,1,IF(Sistema!F301=0,-1,1))</f>
        <v>-1</v>
      </c>
      <c r="G301">
        <f>Sistema!G301</f>
        <v>0</v>
      </c>
      <c r="H301" t="str">
        <f>IF(OR(R301="notify",R301=1),"visible",IF(OR(Sistema!F301=-1,Sistema!F301=0,ISNUMBER(SEARCH("PCK",E301))),"hidden",IF(P301&gt;0,"visible","hidden")))</f>
        <v>hidden</v>
      </c>
      <c r="I301" t="str">
        <f>IF(B301="simple",IF(P301&gt;0,"",IF(R301="notify",Info!C$2,"")),IF(B301="variable",IF(P301&gt;0,"",IF(R301="notify",Info!C$4,"")),""))</f>
        <v/>
      </c>
      <c r="J301" t="str">
        <f>IF(Sistema!J301="","",Sistema!J301)</f>
        <v/>
      </c>
      <c r="M301" t="str">
        <f>IF(Sistema!M301="","",Sistema!M301)</f>
        <v/>
      </c>
      <c r="N301" s="6" t="s">
        <v>1557</v>
      </c>
      <c r="O301" s="6">
        <v>1</v>
      </c>
      <c r="P301">
        <f>Sistema!P301</f>
        <v>0</v>
      </c>
      <c r="Q301">
        <f>Sistema!Q301</f>
        <v>0</v>
      </c>
      <c r="R301">
        <f>IF(Sistema!R301=1,"notify",Sistema!R301)</f>
        <v>0</v>
      </c>
      <c r="T301" t="str">
        <f>IF(Sistema!T301="","",Sistema!T301)</f>
        <v/>
      </c>
      <c r="U301" t="str">
        <f>IF(Sistema!U301="","",Sistema!U301)</f>
        <v/>
      </c>
      <c r="V301" t="str">
        <f>IF(Sistema!V301="","",Sistema!V301)</f>
        <v/>
      </c>
      <c r="W301" t="str">
        <f>IF(Sistema!W301="","",Sistema!W301)</f>
        <v/>
      </c>
      <c r="X301" s="6">
        <v>1</v>
      </c>
      <c r="Z301" t="str">
        <f>IF(Sistema!Z301="","",Sistema!Z301)</f>
        <v/>
      </c>
      <c r="AA301" t="str">
        <f>IF(Sistema!AA301="","",Sistema!AA301)</f>
        <v/>
      </c>
      <c r="AB301" t="str">
        <f>IF(Sistema!AB301="","",IF(OR(ISNUMBER(SEARCH("MKP",E301)),ISNUMBER(SEARCH("MKP",C301))),"Marketplace &gt; "&amp;Sistema!AB301,Sistema!AB301))</f>
        <v/>
      </c>
      <c r="AC301" t="str">
        <f>IF(Sistema!AC301="","",Sistema!AC301)</f>
        <v/>
      </c>
      <c r="AE301" t="str">
        <f>IF(Sistema!AE301="","",Sistema!AE301)</f>
        <v/>
      </c>
      <c r="AH301" t="str">
        <f>IF(Sistema!AH301="","",Sistema!AH301)</f>
        <v/>
      </c>
      <c r="AQ301" t="str">
        <f>IF(Sistema!AQ301="","",Sistema!AQ301)</f>
        <v/>
      </c>
      <c r="AR301" t="str">
        <f>IF(Sistema!AR301="","",Sistema!AR301)</f>
        <v/>
      </c>
      <c r="AS301" t="str">
        <f>IF(Sistema!AS301="","",Sistema!AS301)</f>
        <v/>
      </c>
      <c r="AT301" t="str">
        <f>IF(Sistema!AT301="","",Sistema!AT301)</f>
        <v/>
      </c>
      <c r="AU301" t="str">
        <f>IF(Sistema!AU301="","",Sistema!AU301)</f>
        <v/>
      </c>
      <c r="AV301" t="str">
        <f>IF(Sistema!AV301="","",Sistema!AV301)</f>
        <v/>
      </c>
      <c r="AW301" t="str">
        <f>IF(Sistema!AW301="","",Sistema!AW301)</f>
        <v/>
      </c>
      <c r="AX301" t="str">
        <f>IF(Sistema!AX301="","",Sistema!AX301)</f>
        <v/>
      </c>
      <c r="AY301" t="str">
        <f>IF(Sistema!AY301="","",Sistema!AY301)</f>
        <v/>
      </c>
      <c r="AZ301" t="str">
        <f>IF(Sistema!AZ301="","",Sistema!AZ301)</f>
        <v/>
      </c>
      <c r="BA301" t="str">
        <f>IF(Sistema!BA301="","",Sistema!BA301)</f>
        <v/>
      </c>
      <c r="BB301" t="str">
        <f>IF(Sistema!BB301="","",Sistema!BB301)</f>
        <v/>
      </c>
      <c r="BC301" t="str">
        <f>IF(Sistema!BC301="","",Sistema!BC301)</f>
        <v/>
      </c>
      <c r="BD301" t="str">
        <f>IF(Sistema!BD301="","",Sistema!BD301)</f>
        <v/>
      </c>
      <c r="BE301" t="str">
        <f>IF(Sistema!BE301="","",Sistema!BE301)</f>
        <v/>
      </c>
      <c r="BF301" t="str">
        <f>IF(Sistema!BF301="","",Sistema!BF301)</f>
        <v/>
      </c>
      <c r="BG301" t="str">
        <f>IF(Sistema!BG301="","",Sistema!BG301)</f>
        <v/>
      </c>
      <c r="BH301" t="str">
        <f>IF(Sistema!BH301="","",Sistema!BH301)</f>
        <v/>
      </c>
      <c r="BI301" t="str">
        <f>IF(Sistema!BI301="","",Sistema!BI301)</f>
        <v/>
      </c>
      <c r="BJ301" t="str">
        <f>IF(Sistema!BJ301="","",Sistema!BJ301)</f>
        <v/>
      </c>
      <c r="BK301" t="str">
        <f>IF(Sistema!BK301="","",Sistema!BK301)</f>
        <v/>
      </c>
      <c r="BL301" t="str">
        <f>IF(Sistema!BL301="","",Sistema!BL301)</f>
        <v/>
      </c>
      <c r="BM301" t="str">
        <f>IF(Sistema!BM301="","",Sistema!BM301)</f>
        <v/>
      </c>
      <c r="BN301" t="str">
        <f>IF(Sistema!BN301="","",Sistema!BN301)</f>
        <v/>
      </c>
      <c r="BO301" t="str">
        <f>IF(Sistema!BO301="","",Sistema!BO301)</f>
        <v/>
      </c>
      <c r="BP301" t="str">
        <f>IF(Sistema!BP301="","",Sistema!BP301)</f>
        <v/>
      </c>
      <c r="BQ301" t="str">
        <f>IF(Sistema!BQ301="","",Sistema!BQ301)</f>
        <v/>
      </c>
      <c r="BR301" t="str">
        <f>IF(Sistema!BR301="","",Sistema!BR301)</f>
        <v/>
      </c>
      <c r="BS301" t="str">
        <f>IF(Sistema!BS301="","",Sistema!BS301)</f>
        <v/>
      </c>
      <c r="BT301" t="str">
        <f>IF(Sistema!BT301="","",Sistema!BT301)</f>
        <v/>
      </c>
      <c r="BU301" t="str">
        <f>IF(Sistema!BU301="","",Sistema!BU301)</f>
        <v/>
      </c>
      <c r="BV301" t="str">
        <f>IF(Sistema!BV301="","",Sistema!BV301)</f>
        <v/>
      </c>
      <c r="BW301" t="str">
        <f>IF(Sistema!BW301="","",Sistema!BW301)</f>
        <v/>
      </c>
      <c r="BX301" t="str">
        <f>IF(Sistema!BX301="","",Sistema!BX301)</f>
        <v/>
      </c>
      <c r="BY301" t="str">
        <f>IF(Sistema!BY301="","",Sistema!BY301)</f>
        <v/>
      </c>
      <c r="BZ301" t="str">
        <f>IF(Sistema!BZ301="","",Sistema!BZ301)</f>
        <v/>
      </c>
      <c r="CA301" t="str">
        <f>IF(Sistema!CA301="","",Sistema!CA301)</f>
        <v/>
      </c>
      <c r="CB301" t="str">
        <f>IF(Sistema!CB301="","",Sistema!CB301)</f>
        <v/>
      </c>
      <c r="CC301" t="str">
        <f>IF(Sistema!CC301="","",Sistema!CC301)</f>
        <v/>
      </c>
      <c r="CD301" t="str">
        <f>IF(Sistema!CD301="","",Sistema!CD301)</f>
        <v/>
      </c>
    </row>
    <row r="302" spans="1:82" x14ac:dyDescent="0.25">
      <c r="A302" t="str">
        <f>IF(Sistema!A302="","",Sistema!A302)</f>
        <v/>
      </c>
      <c r="B302" t="str">
        <f>IF(Sistema!B302="","",Sistema!B302)</f>
        <v/>
      </c>
      <c r="C302" t="str">
        <f>IF(Sistema!C302="","",Sistema!C302)</f>
        <v/>
      </c>
      <c r="D302" t="str">
        <f>IF(Sistema!D302="","",Sistema!D302)</f>
        <v/>
      </c>
      <c r="E302" t="str">
        <f>IF(Sistema!E302="","",Sistema!E302)</f>
        <v/>
      </c>
      <c r="F302">
        <f>IF(P302&gt;0,1,IF(Sistema!F302=0,-1,1))</f>
        <v>-1</v>
      </c>
      <c r="G302">
        <f>Sistema!G302</f>
        <v>0</v>
      </c>
      <c r="H302" t="str">
        <f>IF(OR(R302="notify",R302=1),"visible",IF(OR(Sistema!F302=-1,Sistema!F302=0,ISNUMBER(SEARCH("PCK",E302))),"hidden",IF(P302&gt;0,"visible","hidden")))</f>
        <v>hidden</v>
      </c>
      <c r="I302" t="str">
        <f>IF(B302="simple",IF(P302&gt;0,"",IF(R302="notify",Info!C$2,"")),IF(B302="variable",IF(P302&gt;0,"",IF(R302="notify",Info!C$4,"")),""))</f>
        <v/>
      </c>
      <c r="J302" t="str">
        <f>IF(Sistema!J302="","",Sistema!J302)</f>
        <v/>
      </c>
      <c r="M302" t="str">
        <f>IF(Sistema!M302="","",Sistema!M302)</f>
        <v/>
      </c>
      <c r="N302" s="6" t="s">
        <v>1557</v>
      </c>
      <c r="O302" s="6">
        <v>1</v>
      </c>
      <c r="P302">
        <f>Sistema!P302</f>
        <v>0</v>
      </c>
      <c r="Q302">
        <f>Sistema!Q302</f>
        <v>0</v>
      </c>
      <c r="R302">
        <f>IF(Sistema!R302=1,"notify",Sistema!R302)</f>
        <v>0</v>
      </c>
      <c r="T302" t="str">
        <f>IF(Sistema!T302="","",Sistema!T302)</f>
        <v/>
      </c>
      <c r="U302" t="str">
        <f>IF(Sistema!U302="","",Sistema!U302)</f>
        <v/>
      </c>
      <c r="V302" t="str">
        <f>IF(Sistema!V302="","",Sistema!V302)</f>
        <v/>
      </c>
      <c r="W302" t="str">
        <f>IF(Sistema!W302="","",Sistema!W302)</f>
        <v/>
      </c>
      <c r="X302" s="6">
        <v>1</v>
      </c>
      <c r="Z302" t="str">
        <f>IF(Sistema!Z302="","",Sistema!Z302)</f>
        <v/>
      </c>
      <c r="AA302" t="str">
        <f>IF(Sistema!AA302="","",Sistema!AA302)</f>
        <v/>
      </c>
      <c r="AB302" t="str">
        <f>IF(Sistema!AB302="","",IF(OR(ISNUMBER(SEARCH("MKP",E302)),ISNUMBER(SEARCH("MKP",C302))),"Marketplace &gt; "&amp;Sistema!AB302,Sistema!AB302))</f>
        <v/>
      </c>
      <c r="AC302" t="str">
        <f>IF(Sistema!AC302="","",Sistema!AC302)</f>
        <v/>
      </c>
      <c r="AE302" t="str">
        <f>IF(Sistema!AE302="","",Sistema!AE302)</f>
        <v/>
      </c>
      <c r="AH302" t="str">
        <f>IF(Sistema!AH302="","",Sistema!AH302)</f>
        <v/>
      </c>
      <c r="AQ302" t="str">
        <f>IF(Sistema!AQ302="","",Sistema!AQ302)</f>
        <v/>
      </c>
      <c r="AR302" t="str">
        <f>IF(Sistema!AR302="","",Sistema!AR302)</f>
        <v/>
      </c>
      <c r="AS302" t="str">
        <f>IF(Sistema!AS302="","",Sistema!AS302)</f>
        <v/>
      </c>
      <c r="AT302" t="str">
        <f>IF(Sistema!AT302="","",Sistema!AT302)</f>
        <v/>
      </c>
      <c r="AU302" t="str">
        <f>IF(Sistema!AU302="","",Sistema!AU302)</f>
        <v/>
      </c>
      <c r="AV302" t="str">
        <f>IF(Sistema!AV302="","",Sistema!AV302)</f>
        <v/>
      </c>
      <c r="AW302" t="str">
        <f>IF(Sistema!AW302="","",Sistema!AW302)</f>
        <v/>
      </c>
      <c r="AX302" t="str">
        <f>IF(Sistema!AX302="","",Sistema!AX302)</f>
        <v/>
      </c>
      <c r="AY302" t="str">
        <f>IF(Sistema!AY302="","",Sistema!AY302)</f>
        <v/>
      </c>
      <c r="AZ302" t="str">
        <f>IF(Sistema!AZ302="","",Sistema!AZ302)</f>
        <v/>
      </c>
      <c r="BA302" t="str">
        <f>IF(Sistema!BA302="","",Sistema!BA302)</f>
        <v/>
      </c>
      <c r="BB302" t="str">
        <f>IF(Sistema!BB302="","",Sistema!BB302)</f>
        <v/>
      </c>
      <c r="BC302" t="str">
        <f>IF(Sistema!BC302="","",Sistema!BC302)</f>
        <v/>
      </c>
      <c r="BD302" t="str">
        <f>IF(Sistema!BD302="","",Sistema!BD302)</f>
        <v/>
      </c>
      <c r="BE302" t="str">
        <f>IF(Sistema!BE302="","",Sistema!BE302)</f>
        <v/>
      </c>
      <c r="BF302" t="str">
        <f>IF(Sistema!BF302="","",Sistema!BF302)</f>
        <v/>
      </c>
      <c r="BG302" t="str">
        <f>IF(Sistema!BG302="","",Sistema!BG302)</f>
        <v/>
      </c>
      <c r="BH302" t="str">
        <f>IF(Sistema!BH302="","",Sistema!BH302)</f>
        <v/>
      </c>
      <c r="BI302" t="str">
        <f>IF(Sistema!BI302="","",Sistema!BI302)</f>
        <v/>
      </c>
      <c r="BJ302" t="str">
        <f>IF(Sistema!BJ302="","",Sistema!BJ302)</f>
        <v/>
      </c>
      <c r="BK302" t="str">
        <f>IF(Sistema!BK302="","",Sistema!BK302)</f>
        <v/>
      </c>
      <c r="BL302" t="str">
        <f>IF(Sistema!BL302="","",Sistema!BL302)</f>
        <v/>
      </c>
      <c r="BM302" t="str">
        <f>IF(Sistema!BM302="","",Sistema!BM302)</f>
        <v/>
      </c>
      <c r="BN302" t="str">
        <f>IF(Sistema!BN302="","",Sistema!BN302)</f>
        <v/>
      </c>
      <c r="BO302" t="str">
        <f>IF(Sistema!BO302="","",Sistema!BO302)</f>
        <v/>
      </c>
      <c r="BP302" t="str">
        <f>IF(Sistema!BP302="","",Sistema!BP302)</f>
        <v/>
      </c>
      <c r="BQ302" t="str">
        <f>IF(Sistema!BQ302="","",Sistema!BQ302)</f>
        <v/>
      </c>
      <c r="BR302" t="str">
        <f>IF(Sistema!BR302="","",Sistema!BR302)</f>
        <v/>
      </c>
      <c r="BS302" t="str">
        <f>IF(Sistema!BS302="","",Sistema!BS302)</f>
        <v/>
      </c>
      <c r="BT302" t="str">
        <f>IF(Sistema!BT302="","",Sistema!BT302)</f>
        <v/>
      </c>
      <c r="BU302" t="str">
        <f>IF(Sistema!BU302="","",Sistema!BU302)</f>
        <v/>
      </c>
      <c r="BV302" t="str">
        <f>IF(Sistema!BV302="","",Sistema!BV302)</f>
        <v/>
      </c>
      <c r="BW302" t="str">
        <f>IF(Sistema!BW302="","",Sistema!BW302)</f>
        <v/>
      </c>
      <c r="BX302" t="str">
        <f>IF(Sistema!BX302="","",Sistema!BX302)</f>
        <v/>
      </c>
      <c r="BY302" t="str">
        <f>IF(Sistema!BY302="","",Sistema!BY302)</f>
        <v/>
      </c>
      <c r="BZ302" t="str">
        <f>IF(Sistema!BZ302="","",Sistema!BZ302)</f>
        <v/>
      </c>
      <c r="CA302" t="str">
        <f>IF(Sistema!CA302="","",Sistema!CA302)</f>
        <v/>
      </c>
      <c r="CB302" t="str">
        <f>IF(Sistema!CB302="","",Sistema!CB302)</f>
        <v/>
      </c>
      <c r="CC302" t="str">
        <f>IF(Sistema!CC302="","",Sistema!CC302)</f>
        <v/>
      </c>
      <c r="CD302" t="str">
        <f>IF(Sistema!CD302="","",Sistema!CD302)</f>
        <v/>
      </c>
    </row>
    <row r="303" spans="1:82" x14ac:dyDescent="0.25">
      <c r="A303" t="str">
        <f>IF(Sistema!A303="","",Sistema!A303)</f>
        <v/>
      </c>
      <c r="B303" t="str">
        <f>IF(Sistema!B303="","",Sistema!B303)</f>
        <v/>
      </c>
      <c r="C303" t="str">
        <f>IF(Sistema!C303="","",Sistema!C303)</f>
        <v/>
      </c>
      <c r="D303" t="str">
        <f>IF(Sistema!D303="","",Sistema!D303)</f>
        <v/>
      </c>
      <c r="E303" t="str">
        <f>IF(Sistema!E303="","",Sistema!E303)</f>
        <v/>
      </c>
      <c r="F303">
        <f>IF(P303&gt;0,1,IF(Sistema!F303=0,-1,1))</f>
        <v>-1</v>
      </c>
      <c r="G303">
        <f>Sistema!G303</f>
        <v>0</v>
      </c>
      <c r="H303" t="str">
        <f>IF(OR(R303="notify",R303=1),"visible",IF(OR(Sistema!F303=-1,Sistema!F303=0,ISNUMBER(SEARCH("PCK",E303))),"hidden",IF(P303&gt;0,"visible","hidden")))</f>
        <v>hidden</v>
      </c>
      <c r="I303" t="str">
        <f>IF(B303="simple",IF(P303&gt;0,"",IF(R303="notify",Info!C$2,"")),IF(B303="variable",IF(P303&gt;0,"",IF(R303="notify",Info!C$4,"")),""))</f>
        <v/>
      </c>
      <c r="J303" t="str">
        <f>IF(Sistema!J303="","",Sistema!J303)</f>
        <v/>
      </c>
      <c r="M303" t="str">
        <f>IF(Sistema!M303="","",Sistema!M303)</f>
        <v/>
      </c>
      <c r="N303" s="6" t="s">
        <v>1557</v>
      </c>
      <c r="O303" s="6">
        <v>1</v>
      </c>
      <c r="P303">
        <f>Sistema!P303</f>
        <v>0</v>
      </c>
      <c r="Q303">
        <f>Sistema!Q303</f>
        <v>0</v>
      </c>
      <c r="R303">
        <f>IF(Sistema!R303=1,"notify",Sistema!R303)</f>
        <v>0</v>
      </c>
      <c r="T303" t="str">
        <f>IF(Sistema!T303="","",Sistema!T303)</f>
        <v/>
      </c>
      <c r="U303" t="str">
        <f>IF(Sistema!U303="","",Sistema!U303)</f>
        <v/>
      </c>
      <c r="V303" t="str">
        <f>IF(Sistema!V303="","",Sistema!V303)</f>
        <v/>
      </c>
      <c r="W303" t="str">
        <f>IF(Sistema!W303="","",Sistema!W303)</f>
        <v/>
      </c>
      <c r="X303" s="6">
        <v>1</v>
      </c>
      <c r="Z303" t="str">
        <f>IF(Sistema!Z303="","",Sistema!Z303)</f>
        <v/>
      </c>
      <c r="AA303" t="str">
        <f>IF(Sistema!AA303="","",Sistema!AA303)</f>
        <v/>
      </c>
      <c r="AB303" t="str">
        <f>IF(Sistema!AB303="","",IF(OR(ISNUMBER(SEARCH("MKP",E303)),ISNUMBER(SEARCH("MKP",C303))),"Marketplace &gt; "&amp;Sistema!AB303,Sistema!AB303))</f>
        <v/>
      </c>
      <c r="AC303" t="str">
        <f>IF(Sistema!AC303="","",Sistema!AC303)</f>
        <v/>
      </c>
      <c r="AE303" t="str">
        <f>IF(Sistema!AE303="","",Sistema!AE303)</f>
        <v/>
      </c>
      <c r="AH303" t="str">
        <f>IF(Sistema!AH303="","",Sistema!AH303)</f>
        <v/>
      </c>
      <c r="AQ303" t="str">
        <f>IF(Sistema!AQ303="","",Sistema!AQ303)</f>
        <v/>
      </c>
      <c r="AR303" t="str">
        <f>IF(Sistema!AR303="","",Sistema!AR303)</f>
        <v/>
      </c>
      <c r="AS303" t="str">
        <f>IF(Sistema!AS303="","",Sistema!AS303)</f>
        <v/>
      </c>
      <c r="AT303" t="str">
        <f>IF(Sistema!AT303="","",Sistema!AT303)</f>
        <v/>
      </c>
      <c r="AU303" t="str">
        <f>IF(Sistema!AU303="","",Sistema!AU303)</f>
        <v/>
      </c>
      <c r="AV303" t="str">
        <f>IF(Sistema!AV303="","",Sistema!AV303)</f>
        <v/>
      </c>
      <c r="AW303" t="str">
        <f>IF(Sistema!AW303="","",Sistema!AW303)</f>
        <v/>
      </c>
      <c r="AX303" t="str">
        <f>IF(Sistema!AX303="","",Sistema!AX303)</f>
        <v/>
      </c>
      <c r="AY303" t="str">
        <f>IF(Sistema!AY303="","",Sistema!AY303)</f>
        <v/>
      </c>
      <c r="AZ303" t="str">
        <f>IF(Sistema!AZ303="","",Sistema!AZ303)</f>
        <v/>
      </c>
      <c r="BA303" t="str">
        <f>IF(Sistema!BA303="","",Sistema!BA303)</f>
        <v/>
      </c>
      <c r="BB303" t="str">
        <f>IF(Sistema!BB303="","",Sistema!BB303)</f>
        <v/>
      </c>
      <c r="BC303" t="str">
        <f>IF(Sistema!BC303="","",Sistema!BC303)</f>
        <v/>
      </c>
      <c r="BD303" t="str">
        <f>IF(Sistema!BD303="","",Sistema!BD303)</f>
        <v/>
      </c>
      <c r="BE303" t="str">
        <f>IF(Sistema!BE303="","",Sistema!BE303)</f>
        <v/>
      </c>
      <c r="BF303" t="str">
        <f>IF(Sistema!BF303="","",Sistema!BF303)</f>
        <v/>
      </c>
      <c r="BG303" t="str">
        <f>IF(Sistema!BG303="","",Sistema!BG303)</f>
        <v/>
      </c>
      <c r="BH303" t="str">
        <f>IF(Sistema!BH303="","",Sistema!BH303)</f>
        <v/>
      </c>
      <c r="BI303" t="str">
        <f>IF(Sistema!BI303="","",Sistema!BI303)</f>
        <v/>
      </c>
      <c r="BJ303" t="str">
        <f>IF(Sistema!BJ303="","",Sistema!BJ303)</f>
        <v/>
      </c>
      <c r="BK303" t="str">
        <f>IF(Sistema!BK303="","",Sistema!BK303)</f>
        <v/>
      </c>
      <c r="BL303" t="str">
        <f>IF(Sistema!BL303="","",Sistema!BL303)</f>
        <v/>
      </c>
      <c r="BM303" t="str">
        <f>IF(Sistema!BM303="","",Sistema!BM303)</f>
        <v/>
      </c>
      <c r="BN303" t="str">
        <f>IF(Sistema!BN303="","",Sistema!BN303)</f>
        <v/>
      </c>
      <c r="BO303" t="str">
        <f>IF(Sistema!BO303="","",Sistema!BO303)</f>
        <v/>
      </c>
      <c r="BP303" t="str">
        <f>IF(Sistema!BP303="","",Sistema!BP303)</f>
        <v/>
      </c>
      <c r="BQ303" t="str">
        <f>IF(Sistema!BQ303="","",Sistema!BQ303)</f>
        <v/>
      </c>
      <c r="BR303" t="str">
        <f>IF(Sistema!BR303="","",Sistema!BR303)</f>
        <v/>
      </c>
      <c r="BS303" t="str">
        <f>IF(Sistema!BS303="","",Sistema!BS303)</f>
        <v/>
      </c>
      <c r="BT303" t="str">
        <f>IF(Sistema!BT303="","",Sistema!BT303)</f>
        <v/>
      </c>
      <c r="BU303" t="str">
        <f>IF(Sistema!BU303="","",Sistema!BU303)</f>
        <v/>
      </c>
      <c r="BV303" t="str">
        <f>IF(Sistema!BV303="","",Sistema!BV303)</f>
        <v/>
      </c>
      <c r="BW303" t="str">
        <f>IF(Sistema!BW303="","",Sistema!BW303)</f>
        <v/>
      </c>
      <c r="BX303" t="str">
        <f>IF(Sistema!BX303="","",Sistema!BX303)</f>
        <v/>
      </c>
      <c r="BY303" t="str">
        <f>IF(Sistema!BY303="","",Sistema!BY303)</f>
        <v/>
      </c>
      <c r="BZ303" t="str">
        <f>IF(Sistema!BZ303="","",Sistema!BZ303)</f>
        <v/>
      </c>
      <c r="CA303" t="str">
        <f>IF(Sistema!CA303="","",Sistema!CA303)</f>
        <v/>
      </c>
      <c r="CB303" t="str">
        <f>IF(Sistema!CB303="","",Sistema!CB303)</f>
        <v/>
      </c>
      <c r="CC303" t="str">
        <f>IF(Sistema!CC303="","",Sistema!CC303)</f>
        <v/>
      </c>
      <c r="CD303" t="str">
        <f>IF(Sistema!CD303="","",Sistema!CD303)</f>
        <v/>
      </c>
    </row>
  </sheetData>
  <autoFilter ref="A1:CD303" xr:uid="{A11F497D-4A14-4049-B2BE-8CA31DA3709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0255-80E1-4EF1-AA62-6E5C2692500B}">
  <dimension ref="A1:CD34"/>
  <sheetViews>
    <sheetView workbookViewId="0">
      <selection activeCell="D37" sqref="D37"/>
    </sheetView>
  </sheetViews>
  <sheetFormatPr defaultColWidth="11.42578125" defaultRowHeight="15" x14ac:dyDescent="0.25"/>
  <cols>
    <col min="5" max="5" width="43.42578125" customWidth="1"/>
  </cols>
  <sheetData>
    <row r="1" spans="1:82" x14ac:dyDescent="0.25">
      <c r="A1" t="s">
        <v>0</v>
      </c>
      <c r="B1" t="s">
        <v>1</v>
      </c>
      <c r="C1" t="s">
        <v>2</v>
      </c>
      <c r="D1" t="s">
        <v>3</v>
      </c>
      <c r="E1" t="s">
        <v>4</v>
      </c>
      <c r="F1" s="4" t="s">
        <v>5</v>
      </c>
      <c r="G1" s="3" t="s">
        <v>6</v>
      </c>
      <c r="H1" s="3" t="s">
        <v>7</v>
      </c>
      <c r="I1" t="s">
        <v>8</v>
      </c>
      <c r="J1" t="s">
        <v>9</v>
      </c>
      <c r="K1" s="6" t="s">
        <v>10</v>
      </c>
      <c r="L1" s="6" t="s">
        <v>11</v>
      </c>
      <c r="M1" s="6" t="s">
        <v>12</v>
      </c>
      <c r="N1" s="6" t="s">
        <v>13</v>
      </c>
      <c r="O1" s="6" t="s">
        <v>14</v>
      </c>
      <c r="P1" t="s">
        <v>15</v>
      </c>
      <c r="Q1" s="2" t="s">
        <v>16</v>
      </c>
      <c r="R1" s="4" t="s">
        <v>17</v>
      </c>
      <c r="S1" s="6" t="s">
        <v>18</v>
      </c>
      <c r="T1" t="s">
        <v>19</v>
      </c>
      <c r="U1" t="s">
        <v>20</v>
      </c>
      <c r="V1" t="s">
        <v>21</v>
      </c>
      <c r="W1" t="s">
        <v>22</v>
      </c>
      <c r="X1" s="6" t="s">
        <v>23</v>
      </c>
      <c r="Y1" s="6" t="s">
        <v>24</v>
      </c>
      <c r="Z1" t="s">
        <v>25</v>
      </c>
      <c r="AA1" t="s">
        <v>26</v>
      </c>
      <c r="AB1" t="s">
        <v>27</v>
      </c>
      <c r="AC1" t="s">
        <v>28</v>
      </c>
      <c r="AD1" s="6" t="s">
        <v>29</v>
      </c>
      <c r="AE1" t="s">
        <v>30</v>
      </c>
      <c r="AF1" s="6" t="s">
        <v>31</v>
      </c>
      <c r="AG1" s="6" t="s">
        <v>32</v>
      </c>
      <c r="AH1" t="s">
        <v>33</v>
      </c>
      <c r="AI1" s="6" t="s">
        <v>34</v>
      </c>
      <c r="AJ1" s="6" t="s">
        <v>35</v>
      </c>
      <c r="AK1" s="6" t="s">
        <v>36</v>
      </c>
      <c r="AL1" s="6" t="s">
        <v>37</v>
      </c>
      <c r="AM1" s="6" t="s">
        <v>38</v>
      </c>
      <c r="AN1" s="6" t="s">
        <v>39</v>
      </c>
      <c r="AO1" s="6" t="s">
        <v>40</v>
      </c>
      <c r="AP1" s="6" t="s">
        <v>41</v>
      </c>
      <c r="AQ1" s="2" t="s">
        <v>42</v>
      </c>
      <c r="AR1" s="2"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row>
    <row r="2" spans="1:82" x14ac:dyDescent="0.25">
      <c r="A2">
        <v>17954</v>
      </c>
      <c r="B2" t="s">
        <v>92</v>
      </c>
      <c r="C2" t="s">
        <v>4299</v>
      </c>
      <c r="E2" t="s">
        <v>4300</v>
      </c>
      <c r="F2">
        <v>1</v>
      </c>
      <c r="G2">
        <v>0</v>
      </c>
      <c r="H2" t="s">
        <v>83</v>
      </c>
      <c r="J2" t="s">
        <v>4301</v>
      </c>
      <c r="M2" t="s">
        <v>84</v>
      </c>
      <c r="O2">
        <v>1</v>
      </c>
      <c r="P2">
        <v>1</v>
      </c>
      <c r="S2">
        <v>0</v>
      </c>
      <c r="AA2">
        <v>20</v>
      </c>
      <c r="AB2" t="s">
        <v>174</v>
      </c>
    </row>
    <row r="3" spans="1:82" x14ac:dyDescent="0.25">
      <c r="A3">
        <v>17969</v>
      </c>
      <c r="B3" t="s">
        <v>92</v>
      </c>
      <c r="C3" t="s">
        <v>4302</v>
      </c>
      <c r="E3" t="s">
        <v>4303</v>
      </c>
      <c r="F3">
        <v>1</v>
      </c>
      <c r="G3">
        <v>0</v>
      </c>
      <c r="H3" t="s">
        <v>83</v>
      </c>
      <c r="J3" t="s">
        <v>4304</v>
      </c>
      <c r="M3" t="s">
        <v>84</v>
      </c>
      <c r="O3">
        <v>1</v>
      </c>
      <c r="P3">
        <v>1</v>
      </c>
      <c r="S3">
        <v>0</v>
      </c>
      <c r="AA3">
        <v>2310</v>
      </c>
      <c r="AB3" t="s">
        <v>1266</v>
      </c>
      <c r="AE3" t="s">
        <v>4305</v>
      </c>
    </row>
    <row r="4" spans="1:82" x14ac:dyDescent="0.25">
      <c r="A4">
        <v>17970</v>
      </c>
      <c r="B4" t="s">
        <v>92</v>
      </c>
      <c r="C4" t="s">
        <v>4306</v>
      </c>
      <c r="E4" t="s">
        <v>4307</v>
      </c>
      <c r="F4">
        <v>1</v>
      </c>
      <c r="G4">
        <v>0</v>
      </c>
      <c r="H4" t="s">
        <v>83</v>
      </c>
      <c r="J4" t="s">
        <v>4308</v>
      </c>
      <c r="M4" t="s">
        <v>84</v>
      </c>
      <c r="O4">
        <v>1</v>
      </c>
      <c r="P4">
        <v>1</v>
      </c>
      <c r="S4">
        <v>0</v>
      </c>
      <c r="AA4">
        <v>300</v>
      </c>
      <c r="AB4" t="s">
        <v>1235</v>
      </c>
      <c r="AE4" t="s">
        <v>4309</v>
      </c>
    </row>
    <row r="5" spans="1:82" x14ac:dyDescent="0.25">
      <c r="A5">
        <v>17971</v>
      </c>
      <c r="B5" t="s">
        <v>92</v>
      </c>
      <c r="C5" t="s">
        <v>4310</v>
      </c>
      <c r="E5" t="s">
        <v>4311</v>
      </c>
      <c r="F5">
        <v>1</v>
      </c>
      <c r="G5">
        <v>0</v>
      </c>
      <c r="H5" t="s">
        <v>83</v>
      </c>
      <c r="J5" t="s">
        <v>4312</v>
      </c>
      <c r="M5" t="s">
        <v>84</v>
      </c>
      <c r="O5">
        <v>1</v>
      </c>
      <c r="P5">
        <v>1</v>
      </c>
      <c r="S5">
        <v>0</v>
      </c>
      <c r="AA5">
        <v>25</v>
      </c>
      <c r="AB5" t="s">
        <v>174</v>
      </c>
    </row>
    <row r="6" spans="1:82" x14ac:dyDescent="0.25">
      <c r="A6">
        <v>17984</v>
      </c>
      <c r="B6" t="s">
        <v>92</v>
      </c>
      <c r="C6" t="s">
        <v>4313</v>
      </c>
      <c r="E6" t="s">
        <v>4351</v>
      </c>
      <c r="F6">
        <v>1</v>
      </c>
      <c r="G6">
        <v>0</v>
      </c>
      <c r="H6" t="s">
        <v>83</v>
      </c>
      <c r="J6" t="s">
        <v>4314</v>
      </c>
      <c r="M6" t="s">
        <v>84</v>
      </c>
      <c r="O6">
        <v>1</v>
      </c>
      <c r="P6">
        <v>2</v>
      </c>
      <c r="S6">
        <v>0</v>
      </c>
      <c r="AA6">
        <v>45</v>
      </c>
      <c r="AB6" t="s">
        <v>1113</v>
      </c>
      <c r="AE6" t="s">
        <v>4315</v>
      </c>
    </row>
    <row r="7" spans="1:82" x14ac:dyDescent="0.25">
      <c r="A7">
        <v>17985</v>
      </c>
      <c r="B7" t="s">
        <v>92</v>
      </c>
      <c r="C7" t="s">
        <v>4316</v>
      </c>
      <c r="E7" t="s">
        <v>4317</v>
      </c>
      <c r="F7">
        <v>1</v>
      </c>
      <c r="G7">
        <v>0</v>
      </c>
      <c r="H7" t="s">
        <v>83</v>
      </c>
      <c r="J7" t="s">
        <v>4318</v>
      </c>
      <c r="M7" t="s">
        <v>84</v>
      </c>
      <c r="O7">
        <v>1</v>
      </c>
      <c r="P7">
        <v>1</v>
      </c>
      <c r="S7">
        <v>0</v>
      </c>
      <c r="AA7">
        <v>150</v>
      </c>
      <c r="AB7" t="s">
        <v>226</v>
      </c>
      <c r="AE7" t="s">
        <v>4319</v>
      </c>
    </row>
    <row r="8" spans="1:82" x14ac:dyDescent="0.25">
      <c r="A8">
        <v>17996</v>
      </c>
      <c r="B8" t="s">
        <v>92</v>
      </c>
      <c r="C8" t="s">
        <v>4320</v>
      </c>
      <c r="E8" t="s">
        <v>4321</v>
      </c>
      <c r="F8">
        <v>1</v>
      </c>
      <c r="G8">
        <v>0</v>
      </c>
      <c r="H8" t="s">
        <v>83</v>
      </c>
      <c r="J8" t="s">
        <v>4322</v>
      </c>
      <c r="M8" t="s">
        <v>84</v>
      </c>
      <c r="O8">
        <v>1</v>
      </c>
      <c r="P8">
        <v>1</v>
      </c>
      <c r="S8">
        <v>0</v>
      </c>
      <c r="AA8">
        <v>680</v>
      </c>
      <c r="AB8" t="s">
        <v>715</v>
      </c>
      <c r="AE8" t="s">
        <v>4323</v>
      </c>
    </row>
    <row r="9" spans="1:82" x14ac:dyDescent="0.25">
      <c r="A9">
        <v>18009</v>
      </c>
      <c r="B9" t="s">
        <v>92</v>
      </c>
      <c r="C9" t="s">
        <v>4324</v>
      </c>
      <c r="E9" t="s">
        <v>4325</v>
      </c>
      <c r="F9">
        <v>1</v>
      </c>
      <c r="G9">
        <v>0</v>
      </c>
      <c r="H9" t="s">
        <v>83</v>
      </c>
      <c r="J9" t="s">
        <v>4326</v>
      </c>
      <c r="M9" t="s">
        <v>84</v>
      </c>
      <c r="O9">
        <v>1</v>
      </c>
      <c r="P9">
        <v>1</v>
      </c>
      <c r="S9">
        <v>0</v>
      </c>
      <c r="AA9">
        <v>200</v>
      </c>
      <c r="AB9" t="s">
        <v>1262</v>
      </c>
      <c r="AE9" t="s">
        <v>4327</v>
      </c>
    </row>
    <row r="10" spans="1:82" x14ac:dyDescent="0.25">
      <c r="A10">
        <v>18023</v>
      </c>
      <c r="B10" t="s">
        <v>92</v>
      </c>
      <c r="C10" t="s">
        <v>1551</v>
      </c>
      <c r="E10" t="s">
        <v>4261</v>
      </c>
      <c r="F10">
        <v>1</v>
      </c>
      <c r="G10">
        <v>0</v>
      </c>
      <c r="H10" t="s">
        <v>83</v>
      </c>
      <c r="J10" t="s">
        <v>383</v>
      </c>
      <c r="M10" t="s">
        <v>84</v>
      </c>
      <c r="O10">
        <v>1</v>
      </c>
      <c r="P10">
        <v>1</v>
      </c>
      <c r="S10">
        <v>0</v>
      </c>
      <c r="AA10">
        <v>250</v>
      </c>
      <c r="AB10" t="s">
        <v>238</v>
      </c>
      <c r="AE10" t="s">
        <v>4149</v>
      </c>
    </row>
    <row r="11" spans="1:82" x14ac:dyDescent="0.25">
      <c r="A11">
        <v>18024</v>
      </c>
      <c r="B11" t="s">
        <v>92</v>
      </c>
      <c r="C11" t="s">
        <v>4328</v>
      </c>
      <c r="E11" t="s">
        <v>4329</v>
      </c>
      <c r="F11">
        <v>1</v>
      </c>
      <c r="G11">
        <v>0</v>
      </c>
      <c r="H11" t="s">
        <v>83</v>
      </c>
      <c r="J11" t="s">
        <v>4330</v>
      </c>
      <c r="M11" t="s">
        <v>84</v>
      </c>
      <c r="O11">
        <v>1</v>
      </c>
      <c r="P11">
        <v>1</v>
      </c>
      <c r="S11">
        <v>0</v>
      </c>
      <c r="AB11" t="s">
        <v>163</v>
      </c>
      <c r="AE11" t="s">
        <v>4331</v>
      </c>
    </row>
    <row r="12" spans="1:82" x14ac:dyDescent="0.25">
      <c r="A12">
        <v>18025</v>
      </c>
      <c r="B12" t="s">
        <v>92</v>
      </c>
      <c r="C12" t="s">
        <v>1548</v>
      </c>
      <c r="E12" t="s">
        <v>4262</v>
      </c>
      <c r="F12">
        <v>1</v>
      </c>
      <c r="G12">
        <v>0</v>
      </c>
      <c r="H12" t="s">
        <v>83</v>
      </c>
      <c r="J12" t="s">
        <v>4263</v>
      </c>
      <c r="M12" t="s">
        <v>84</v>
      </c>
      <c r="O12">
        <v>1</v>
      </c>
      <c r="P12">
        <v>1</v>
      </c>
      <c r="S12">
        <v>0</v>
      </c>
      <c r="Z12">
        <v>300</v>
      </c>
      <c r="AA12">
        <v>300</v>
      </c>
      <c r="AB12" t="s">
        <v>190</v>
      </c>
      <c r="AE12" t="s">
        <v>4147</v>
      </c>
    </row>
    <row r="13" spans="1:82" x14ac:dyDescent="0.25">
      <c r="A13">
        <v>18026</v>
      </c>
      <c r="B13" t="s">
        <v>92</v>
      </c>
      <c r="C13" t="s">
        <v>1550</v>
      </c>
      <c r="E13" t="s">
        <v>4352</v>
      </c>
      <c r="F13">
        <v>1</v>
      </c>
      <c r="G13">
        <v>0</v>
      </c>
      <c r="H13" t="s">
        <v>83</v>
      </c>
      <c r="M13" t="s">
        <v>84</v>
      </c>
      <c r="O13">
        <v>1</v>
      </c>
      <c r="P13">
        <v>0</v>
      </c>
      <c r="S13">
        <v>0</v>
      </c>
      <c r="AB13" t="s">
        <v>190</v>
      </c>
    </row>
    <row r="14" spans="1:82" x14ac:dyDescent="0.25">
      <c r="A14">
        <v>18027</v>
      </c>
      <c r="B14" t="s">
        <v>92</v>
      </c>
      <c r="C14" t="s">
        <v>1549</v>
      </c>
      <c r="E14" t="s">
        <v>4264</v>
      </c>
      <c r="F14">
        <v>1</v>
      </c>
      <c r="G14">
        <v>0</v>
      </c>
      <c r="H14" t="s">
        <v>83</v>
      </c>
      <c r="J14" t="s">
        <v>4265</v>
      </c>
      <c r="M14" t="s">
        <v>84</v>
      </c>
      <c r="O14">
        <v>1</v>
      </c>
      <c r="P14">
        <v>1</v>
      </c>
      <c r="S14">
        <v>0</v>
      </c>
      <c r="Z14">
        <v>280</v>
      </c>
      <c r="AA14">
        <v>280</v>
      </c>
      <c r="AB14" t="s">
        <v>243</v>
      </c>
      <c r="AE14" t="s">
        <v>4148</v>
      </c>
    </row>
    <row r="15" spans="1:82" x14ac:dyDescent="0.25">
      <c r="A15">
        <v>18028</v>
      </c>
      <c r="B15" t="s">
        <v>92</v>
      </c>
      <c r="C15" t="s">
        <v>1540</v>
      </c>
      <c r="E15" t="s">
        <v>4266</v>
      </c>
      <c r="F15">
        <v>1</v>
      </c>
      <c r="G15">
        <v>0</v>
      </c>
      <c r="H15" t="s">
        <v>83</v>
      </c>
      <c r="J15" t="s">
        <v>4267</v>
      </c>
      <c r="M15" t="s">
        <v>84</v>
      </c>
      <c r="O15">
        <v>1</v>
      </c>
      <c r="P15">
        <v>1</v>
      </c>
      <c r="S15">
        <v>0</v>
      </c>
      <c r="Z15">
        <v>360</v>
      </c>
      <c r="AA15">
        <v>400</v>
      </c>
      <c r="AB15" t="s">
        <v>243</v>
      </c>
      <c r="AE15" t="s">
        <v>4140</v>
      </c>
    </row>
    <row r="16" spans="1:82" x14ac:dyDescent="0.25">
      <c r="A16">
        <v>18029</v>
      </c>
      <c r="B16" t="s">
        <v>92</v>
      </c>
      <c r="C16" t="s">
        <v>4332</v>
      </c>
      <c r="E16" t="s">
        <v>4333</v>
      </c>
      <c r="F16">
        <v>1</v>
      </c>
      <c r="G16">
        <v>0</v>
      </c>
      <c r="H16" t="s">
        <v>83</v>
      </c>
      <c r="J16" t="s">
        <v>4334</v>
      </c>
      <c r="M16" t="s">
        <v>84</v>
      </c>
      <c r="O16">
        <v>1</v>
      </c>
      <c r="P16">
        <v>1</v>
      </c>
      <c r="S16">
        <v>0</v>
      </c>
      <c r="Z16">
        <v>110</v>
      </c>
      <c r="AA16">
        <v>200</v>
      </c>
      <c r="AB16" t="s">
        <v>261</v>
      </c>
    </row>
    <row r="17" spans="1:31" x14ac:dyDescent="0.25">
      <c r="A17">
        <v>18030</v>
      </c>
      <c r="B17" t="s">
        <v>92</v>
      </c>
      <c r="C17" t="s">
        <v>1542</v>
      </c>
      <c r="E17" t="s">
        <v>4268</v>
      </c>
      <c r="F17">
        <v>1</v>
      </c>
      <c r="G17">
        <v>0</v>
      </c>
      <c r="H17" t="s">
        <v>83</v>
      </c>
      <c r="J17" t="s">
        <v>4269</v>
      </c>
      <c r="M17" t="s">
        <v>84</v>
      </c>
      <c r="O17">
        <v>1</v>
      </c>
      <c r="P17">
        <v>1</v>
      </c>
      <c r="S17">
        <v>0</v>
      </c>
      <c r="Z17">
        <v>450</v>
      </c>
      <c r="AA17">
        <v>450</v>
      </c>
      <c r="AB17" t="s">
        <v>715</v>
      </c>
      <c r="AE17" t="s">
        <v>4142</v>
      </c>
    </row>
    <row r="18" spans="1:31" x14ac:dyDescent="0.25">
      <c r="A18">
        <v>18031</v>
      </c>
      <c r="B18" t="s">
        <v>92</v>
      </c>
      <c r="C18" t="s">
        <v>1546</v>
      </c>
      <c r="E18" t="s">
        <v>4353</v>
      </c>
      <c r="F18">
        <v>1</v>
      </c>
      <c r="G18">
        <v>0</v>
      </c>
      <c r="H18" t="s">
        <v>83</v>
      </c>
      <c r="J18" t="s">
        <v>4260</v>
      </c>
      <c r="M18" t="s">
        <v>84</v>
      </c>
      <c r="O18">
        <v>1</v>
      </c>
      <c r="P18">
        <v>2</v>
      </c>
      <c r="S18">
        <v>0</v>
      </c>
      <c r="Z18">
        <v>20</v>
      </c>
      <c r="AA18">
        <v>20</v>
      </c>
      <c r="AB18" t="s">
        <v>103</v>
      </c>
    </row>
    <row r="19" spans="1:31" x14ac:dyDescent="0.25">
      <c r="A19">
        <v>18034</v>
      </c>
      <c r="B19" t="s">
        <v>92</v>
      </c>
      <c r="C19" t="s">
        <v>1543</v>
      </c>
      <c r="E19" t="s">
        <v>4270</v>
      </c>
      <c r="F19">
        <v>1</v>
      </c>
      <c r="G19">
        <v>0</v>
      </c>
      <c r="H19" t="s">
        <v>83</v>
      </c>
      <c r="J19" t="s">
        <v>4271</v>
      </c>
      <c r="M19" t="s">
        <v>84</v>
      </c>
      <c r="O19">
        <v>1</v>
      </c>
      <c r="P19">
        <v>1</v>
      </c>
      <c r="S19">
        <v>0</v>
      </c>
      <c r="Z19">
        <v>40</v>
      </c>
      <c r="AA19">
        <v>40</v>
      </c>
      <c r="AB19" t="s">
        <v>114</v>
      </c>
      <c r="AE19" t="s">
        <v>4143</v>
      </c>
    </row>
    <row r="20" spans="1:31" x14ac:dyDescent="0.25">
      <c r="A20">
        <v>18035</v>
      </c>
      <c r="B20" t="s">
        <v>92</v>
      </c>
      <c r="C20" t="s">
        <v>1547</v>
      </c>
      <c r="E20" t="s">
        <v>4272</v>
      </c>
      <c r="F20">
        <v>1</v>
      </c>
      <c r="G20">
        <v>0</v>
      </c>
      <c r="H20" t="s">
        <v>83</v>
      </c>
      <c r="J20" t="s">
        <v>4273</v>
      </c>
      <c r="M20" t="s">
        <v>84</v>
      </c>
      <c r="O20">
        <v>1</v>
      </c>
      <c r="P20">
        <v>1</v>
      </c>
      <c r="S20">
        <v>0</v>
      </c>
      <c r="Z20">
        <v>100</v>
      </c>
      <c r="AA20">
        <v>100</v>
      </c>
      <c r="AB20" t="s">
        <v>188</v>
      </c>
      <c r="AE20" t="s">
        <v>4146</v>
      </c>
    </row>
    <row r="21" spans="1:31" x14ac:dyDescent="0.25">
      <c r="A21">
        <v>18038</v>
      </c>
      <c r="B21" t="s">
        <v>92</v>
      </c>
      <c r="C21" t="s">
        <v>1533</v>
      </c>
      <c r="E21" t="s">
        <v>4274</v>
      </c>
      <c r="F21">
        <v>1</v>
      </c>
      <c r="G21">
        <v>0</v>
      </c>
      <c r="H21" t="s">
        <v>83</v>
      </c>
      <c r="J21" t="s">
        <v>4275</v>
      </c>
      <c r="M21" t="s">
        <v>84</v>
      </c>
      <c r="O21">
        <v>1</v>
      </c>
      <c r="P21">
        <v>1</v>
      </c>
      <c r="S21">
        <v>0</v>
      </c>
      <c r="Z21">
        <v>350</v>
      </c>
      <c r="AA21">
        <v>430</v>
      </c>
      <c r="AB21" t="s">
        <v>776</v>
      </c>
      <c r="AE21" t="s">
        <v>4276</v>
      </c>
    </row>
    <row r="22" spans="1:31" x14ac:dyDescent="0.25">
      <c r="A22">
        <v>18042</v>
      </c>
      <c r="B22" t="s">
        <v>92</v>
      </c>
      <c r="C22" t="s">
        <v>1545</v>
      </c>
      <c r="E22" t="s">
        <v>4277</v>
      </c>
      <c r="F22">
        <v>1</v>
      </c>
      <c r="G22">
        <v>0</v>
      </c>
      <c r="H22" t="s">
        <v>83</v>
      </c>
      <c r="J22" t="s">
        <v>4278</v>
      </c>
      <c r="M22" t="s">
        <v>84</v>
      </c>
      <c r="O22">
        <v>1</v>
      </c>
      <c r="P22">
        <v>1</v>
      </c>
      <c r="S22">
        <v>0</v>
      </c>
      <c r="Z22">
        <v>120</v>
      </c>
      <c r="AA22">
        <v>150</v>
      </c>
      <c r="AB22" t="s">
        <v>566</v>
      </c>
      <c r="AE22" t="s">
        <v>4145</v>
      </c>
    </row>
    <row r="23" spans="1:31" x14ac:dyDescent="0.25">
      <c r="A23">
        <v>18044</v>
      </c>
      <c r="B23" t="s">
        <v>92</v>
      </c>
      <c r="C23" t="s">
        <v>1537</v>
      </c>
      <c r="E23" t="s">
        <v>4279</v>
      </c>
      <c r="F23">
        <v>1</v>
      </c>
      <c r="G23">
        <v>0</v>
      </c>
      <c r="H23" t="s">
        <v>83</v>
      </c>
      <c r="J23" t="s">
        <v>4280</v>
      </c>
      <c r="M23" t="s">
        <v>84</v>
      </c>
      <c r="O23">
        <v>1</v>
      </c>
      <c r="P23">
        <v>1</v>
      </c>
      <c r="S23">
        <v>0</v>
      </c>
      <c r="Z23">
        <v>85</v>
      </c>
      <c r="AA23">
        <v>85</v>
      </c>
      <c r="AB23" t="s">
        <v>160</v>
      </c>
      <c r="AE23" t="s">
        <v>4281</v>
      </c>
    </row>
    <row r="24" spans="1:31" x14ac:dyDescent="0.25">
      <c r="A24">
        <v>18045</v>
      </c>
      <c r="B24" t="s">
        <v>92</v>
      </c>
      <c r="C24" t="s">
        <v>4335</v>
      </c>
      <c r="E24" t="s">
        <v>4336</v>
      </c>
      <c r="F24">
        <v>1</v>
      </c>
      <c r="G24">
        <v>0</v>
      </c>
      <c r="H24" t="s">
        <v>83</v>
      </c>
      <c r="J24" t="s">
        <v>4337</v>
      </c>
      <c r="M24" t="s">
        <v>84</v>
      </c>
      <c r="O24">
        <v>1</v>
      </c>
      <c r="P24">
        <v>1</v>
      </c>
      <c r="S24">
        <v>0</v>
      </c>
      <c r="AA24">
        <v>250</v>
      </c>
      <c r="AB24" t="s">
        <v>317</v>
      </c>
      <c r="AE24" t="s">
        <v>4338</v>
      </c>
    </row>
    <row r="25" spans="1:31" x14ac:dyDescent="0.25">
      <c r="A25">
        <v>18046</v>
      </c>
      <c r="B25" t="s">
        <v>92</v>
      </c>
      <c r="C25" t="s">
        <v>1539</v>
      </c>
      <c r="E25" t="s">
        <v>4282</v>
      </c>
      <c r="F25">
        <v>1</v>
      </c>
      <c r="G25">
        <v>0</v>
      </c>
      <c r="H25" t="s">
        <v>83</v>
      </c>
      <c r="J25" t="s">
        <v>4283</v>
      </c>
      <c r="M25" t="s">
        <v>84</v>
      </c>
      <c r="O25">
        <v>1</v>
      </c>
      <c r="P25">
        <v>1</v>
      </c>
      <c r="S25">
        <v>0</v>
      </c>
      <c r="Z25">
        <v>350</v>
      </c>
      <c r="AA25">
        <v>350</v>
      </c>
      <c r="AB25" t="s">
        <v>238</v>
      </c>
      <c r="AE25" t="s">
        <v>4139</v>
      </c>
    </row>
    <row r="26" spans="1:31" x14ac:dyDescent="0.25">
      <c r="A26">
        <v>18048</v>
      </c>
      <c r="B26" t="s">
        <v>92</v>
      </c>
      <c r="C26" t="s">
        <v>1536</v>
      </c>
      <c r="E26" t="s">
        <v>4284</v>
      </c>
      <c r="F26">
        <v>1</v>
      </c>
      <c r="G26">
        <v>0</v>
      </c>
      <c r="H26" t="s">
        <v>83</v>
      </c>
      <c r="J26" t="s">
        <v>4285</v>
      </c>
      <c r="M26" t="s">
        <v>84</v>
      </c>
      <c r="O26">
        <v>1</v>
      </c>
      <c r="P26">
        <v>2</v>
      </c>
      <c r="S26">
        <v>0</v>
      </c>
      <c r="Z26">
        <v>50</v>
      </c>
      <c r="AA26">
        <v>80</v>
      </c>
      <c r="AB26" t="s">
        <v>163</v>
      </c>
      <c r="AE26" t="s">
        <v>4286</v>
      </c>
    </row>
    <row r="27" spans="1:31" x14ac:dyDescent="0.25">
      <c r="A27">
        <v>18049</v>
      </c>
      <c r="B27" t="s">
        <v>92</v>
      </c>
      <c r="C27" t="s">
        <v>4339</v>
      </c>
      <c r="E27" t="s">
        <v>4340</v>
      </c>
      <c r="F27">
        <v>1</v>
      </c>
      <c r="G27">
        <v>0</v>
      </c>
      <c r="H27" t="s">
        <v>83</v>
      </c>
      <c r="J27" t="s">
        <v>4341</v>
      </c>
      <c r="M27" t="s">
        <v>84</v>
      </c>
      <c r="O27">
        <v>1</v>
      </c>
      <c r="P27">
        <v>2</v>
      </c>
      <c r="S27">
        <v>0</v>
      </c>
      <c r="AA27">
        <v>40</v>
      </c>
      <c r="AB27" t="s">
        <v>163</v>
      </c>
      <c r="AE27" t="s">
        <v>4342</v>
      </c>
    </row>
    <row r="28" spans="1:31" x14ac:dyDescent="0.25">
      <c r="A28">
        <v>18052</v>
      </c>
      <c r="B28" t="s">
        <v>92</v>
      </c>
      <c r="C28" t="s">
        <v>4343</v>
      </c>
      <c r="E28" t="s">
        <v>4344</v>
      </c>
      <c r="F28">
        <v>1</v>
      </c>
      <c r="G28">
        <v>0</v>
      </c>
      <c r="H28" t="s">
        <v>83</v>
      </c>
      <c r="J28" t="s">
        <v>4345</v>
      </c>
      <c r="M28" t="s">
        <v>84</v>
      </c>
      <c r="O28">
        <v>1</v>
      </c>
      <c r="P28">
        <v>1</v>
      </c>
      <c r="S28">
        <v>0</v>
      </c>
      <c r="Z28">
        <v>50</v>
      </c>
      <c r="AA28">
        <v>80</v>
      </c>
      <c r="AB28" t="s">
        <v>163</v>
      </c>
      <c r="AE28" t="s">
        <v>4346</v>
      </c>
    </row>
    <row r="29" spans="1:31" x14ac:dyDescent="0.25">
      <c r="A29">
        <v>18055</v>
      </c>
      <c r="B29" t="s">
        <v>92</v>
      </c>
      <c r="C29" t="s">
        <v>1534</v>
      </c>
      <c r="E29" t="s">
        <v>4287</v>
      </c>
      <c r="F29">
        <v>1</v>
      </c>
      <c r="G29">
        <v>0</v>
      </c>
      <c r="H29" t="s">
        <v>83</v>
      </c>
      <c r="J29" t="s">
        <v>4288</v>
      </c>
      <c r="M29" t="s">
        <v>84</v>
      </c>
      <c r="O29">
        <v>1</v>
      </c>
      <c r="P29">
        <v>1</v>
      </c>
      <c r="S29">
        <v>0</v>
      </c>
      <c r="Z29">
        <v>190</v>
      </c>
      <c r="AA29">
        <v>190</v>
      </c>
      <c r="AB29" t="s">
        <v>163</v>
      </c>
      <c r="AE29" t="s">
        <v>4289</v>
      </c>
    </row>
    <row r="30" spans="1:31" x14ac:dyDescent="0.25">
      <c r="A30">
        <v>18103</v>
      </c>
      <c r="B30" t="s">
        <v>92</v>
      </c>
      <c r="C30" t="s">
        <v>1535</v>
      </c>
      <c r="E30" t="s">
        <v>4290</v>
      </c>
      <c r="F30">
        <v>1</v>
      </c>
      <c r="G30">
        <v>0</v>
      </c>
      <c r="H30" t="s">
        <v>83</v>
      </c>
      <c r="J30" t="s">
        <v>4291</v>
      </c>
      <c r="M30" t="s">
        <v>84</v>
      </c>
      <c r="O30">
        <v>1</v>
      </c>
      <c r="P30">
        <v>1</v>
      </c>
      <c r="S30">
        <v>0</v>
      </c>
      <c r="Z30">
        <v>350</v>
      </c>
      <c r="AA30">
        <v>350</v>
      </c>
      <c r="AB30" t="s">
        <v>190</v>
      </c>
    </row>
    <row r="31" spans="1:31" x14ac:dyDescent="0.25">
      <c r="A31">
        <v>18056</v>
      </c>
      <c r="B31" t="s">
        <v>92</v>
      </c>
      <c r="C31" t="s">
        <v>4347</v>
      </c>
      <c r="E31" t="s">
        <v>4348</v>
      </c>
      <c r="F31">
        <v>1</v>
      </c>
      <c r="G31">
        <v>0</v>
      </c>
      <c r="H31" t="s">
        <v>83</v>
      </c>
      <c r="J31" t="s">
        <v>4349</v>
      </c>
      <c r="M31" t="s">
        <v>84</v>
      </c>
      <c r="O31">
        <v>1</v>
      </c>
      <c r="P31">
        <v>1</v>
      </c>
      <c r="S31">
        <v>0</v>
      </c>
      <c r="AA31">
        <v>1200</v>
      </c>
      <c r="AB31" t="s">
        <v>190</v>
      </c>
      <c r="AE31" t="s">
        <v>4350</v>
      </c>
    </row>
    <row r="32" spans="1:31" x14ac:dyDescent="0.25">
      <c r="A32">
        <v>18060</v>
      </c>
      <c r="B32" t="s">
        <v>92</v>
      </c>
      <c r="C32" t="s">
        <v>1544</v>
      </c>
      <c r="E32" t="s">
        <v>4292</v>
      </c>
      <c r="F32">
        <v>1</v>
      </c>
      <c r="G32">
        <v>0</v>
      </c>
      <c r="H32" t="s">
        <v>83</v>
      </c>
      <c r="J32" t="s">
        <v>4293</v>
      </c>
      <c r="M32" t="s">
        <v>84</v>
      </c>
      <c r="O32">
        <v>1</v>
      </c>
      <c r="P32">
        <v>1</v>
      </c>
      <c r="S32">
        <v>0</v>
      </c>
      <c r="Z32">
        <v>400</v>
      </c>
      <c r="AA32">
        <v>400</v>
      </c>
      <c r="AB32" t="s">
        <v>243</v>
      </c>
      <c r="AE32" t="s">
        <v>4144</v>
      </c>
    </row>
    <row r="33" spans="1:31" x14ac:dyDescent="0.25">
      <c r="A33">
        <v>18063</v>
      </c>
      <c r="B33" t="s">
        <v>92</v>
      </c>
      <c r="C33" t="s">
        <v>1538</v>
      </c>
      <c r="E33" t="s">
        <v>4294</v>
      </c>
      <c r="F33">
        <v>1</v>
      </c>
      <c r="G33">
        <v>0</v>
      </c>
      <c r="H33" t="s">
        <v>83</v>
      </c>
      <c r="J33" t="s">
        <v>4295</v>
      </c>
      <c r="M33" t="s">
        <v>84</v>
      </c>
      <c r="O33">
        <v>1</v>
      </c>
      <c r="P33">
        <v>1</v>
      </c>
      <c r="S33">
        <v>0</v>
      </c>
      <c r="Z33">
        <v>120</v>
      </c>
      <c r="AA33">
        <v>120</v>
      </c>
      <c r="AB33" t="s">
        <v>261</v>
      </c>
      <c r="AE33" t="s">
        <v>4296</v>
      </c>
    </row>
    <row r="34" spans="1:31" x14ac:dyDescent="0.25">
      <c r="A34">
        <v>18071</v>
      </c>
      <c r="B34" t="s">
        <v>92</v>
      </c>
      <c r="C34" t="s">
        <v>1541</v>
      </c>
      <c r="E34" t="s">
        <v>4297</v>
      </c>
      <c r="F34">
        <v>1</v>
      </c>
      <c r="G34">
        <v>0</v>
      </c>
      <c r="H34" t="s">
        <v>83</v>
      </c>
      <c r="J34" t="s">
        <v>4298</v>
      </c>
      <c r="M34" t="s">
        <v>84</v>
      </c>
      <c r="O34">
        <v>1</v>
      </c>
      <c r="P34">
        <v>1</v>
      </c>
      <c r="S34">
        <v>0</v>
      </c>
      <c r="Z34">
        <v>380</v>
      </c>
      <c r="AA34">
        <v>400</v>
      </c>
      <c r="AB34" t="s">
        <v>665</v>
      </c>
      <c r="AE34" t="s">
        <v>4141</v>
      </c>
    </row>
  </sheetData>
  <conditionalFormatting sqref="A2:CE3">
    <cfRule type="cellIs" dxfId="0" priority="1" operator="equal">
      <formula>A$1</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BDD7-8CD0-4A33-A04A-6009165BC6AC}">
  <dimension ref="A1:G3716"/>
  <sheetViews>
    <sheetView workbookViewId="0">
      <selection activeCell="C2" sqref="C2"/>
    </sheetView>
  </sheetViews>
  <sheetFormatPr defaultColWidth="11.42578125" defaultRowHeight="15" x14ac:dyDescent="0.25"/>
  <cols>
    <col min="6" max="6" width="17.85546875" bestFit="1" customWidth="1"/>
  </cols>
  <sheetData>
    <row r="1" spans="1:7" x14ac:dyDescent="0.25">
      <c r="A1" t="s">
        <v>92</v>
      </c>
      <c r="B1" t="s">
        <v>645</v>
      </c>
      <c r="C1" t="s">
        <v>1552</v>
      </c>
    </row>
    <row r="2" spans="1:7" x14ac:dyDescent="0.25">
      <c r="A2" t="s">
        <v>92</v>
      </c>
      <c r="B2" t="s">
        <v>180</v>
      </c>
      <c r="C2" t="s">
        <v>1553</v>
      </c>
    </row>
    <row r="3" spans="1:7" x14ac:dyDescent="0.25">
      <c r="A3" t="s">
        <v>82</v>
      </c>
      <c r="B3" t="s">
        <v>645</v>
      </c>
      <c r="C3" t="s">
        <v>1554</v>
      </c>
    </row>
    <row r="4" spans="1:7" x14ac:dyDescent="0.25">
      <c r="A4" t="s">
        <v>82</v>
      </c>
      <c r="B4" t="s">
        <v>180</v>
      </c>
      <c r="C4" t="s">
        <v>1555</v>
      </c>
    </row>
    <row r="6" spans="1:7" x14ac:dyDescent="0.25">
      <c r="E6" t="s">
        <v>4135</v>
      </c>
      <c r="F6" t="s">
        <v>4137</v>
      </c>
    </row>
    <row r="7" spans="1:7" x14ac:dyDescent="0.25">
      <c r="A7" t="s">
        <v>1558</v>
      </c>
      <c r="B7" t="s">
        <v>4129</v>
      </c>
      <c r="E7" t="s">
        <v>4136</v>
      </c>
      <c r="F7" t="s">
        <v>4137</v>
      </c>
      <c r="G7" t="s">
        <v>4138</v>
      </c>
    </row>
    <row r="8" spans="1:7" x14ac:dyDescent="0.25">
      <c r="A8" t="s">
        <v>1559</v>
      </c>
      <c r="B8" t="s">
        <v>4129</v>
      </c>
    </row>
    <row r="9" spans="1:7" x14ac:dyDescent="0.25">
      <c r="A9" t="s">
        <v>1560</v>
      </c>
      <c r="B9" t="s">
        <v>4129</v>
      </c>
    </row>
    <row r="10" spans="1:7" x14ac:dyDescent="0.25">
      <c r="A10" t="s">
        <v>1561</v>
      </c>
      <c r="B10" t="s">
        <v>4129</v>
      </c>
    </row>
    <row r="11" spans="1:7" x14ac:dyDescent="0.25">
      <c r="A11" t="s">
        <v>1562</v>
      </c>
      <c r="B11" t="s">
        <v>4129</v>
      </c>
    </row>
    <row r="12" spans="1:7" x14ac:dyDescent="0.25">
      <c r="A12" t="s">
        <v>1563</v>
      </c>
      <c r="B12" t="s">
        <v>4129</v>
      </c>
    </row>
    <row r="13" spans="1:7" x14ac:dyDescent="0.25">
      <c r="A13" t="s">
        <v>1564</v>
      </c>
      <c r="B13" t="s">
        <v>579</v>
      </c>
    </row>
    <row r="14" spans="1:7" x14ac:dyDescent="0.25">
      <c r="A14" t="s">
        <v>1565</v>
      </c>
      <c r="B14" t="s">
        <v>579</v>
      </c>
    </row>
    <row r="15" spans="1:7" x14ac:dyDescent="0.25">
      <c r="A15" t="s">
        <v>1566</v>
      </c>
      <c r="B15" t="s">
        <v>579</v>
      </c>
    </row>
    <row r="16" spans="1:7" x14ac:dyDescent="0.25">
      <c r="A16" t="s">
        <v>1567</v>
      </c>
      <c r="B16" t="s">
        <v>579</v>
      </c>
    </row>
    <row r="17" spans="1:2" x14ac:dyDescent="0.25">
      <c r="A17" t="s">
        <v>1568</v>
      </c>
      <c r="B17" t="s">
        <v>579</v>
      </c>
    </row>
    <row r="18" spans="1:2" x14ac:dyDescent="0.25">
      <c r="A18" t="s">
        <v>1569</v>
      </c>
      <c r="B18" t="s">
        <v>579</v>
      </c>
    </row>
    <row r="19" spans="1:2" x14ac:dyDescent="0.25">
      <c r="A19" t="s">
        <v>1570</v>
      </c>
      <c r="B19" t="s">
        <v>579</v>
      </c>
    </row>
    <row r="20" spans="1:2" x14ac:dyDescent="0.25">
      <c r="A20" t="s">
        <v>1571</v>
      </c>
      <c r="B20" t="s">
        <v>579</v>
      </c>
    </row>
    <row r="21" spans="1:2" x14ac:dyDescent="0.25">
      <c r="A21" t="s">
        <v>1572</v>
      </c>
      <c r="B21" t="s">
        <v>579</v>
      </c>
    </row>
    <row r="22" spans="1:2" x14ac:dyDescent="0.25">
      <c r="A22" t="s">
        <v>1573</v>
      </c>
      <c r="B22" t="s">
        <v>579</v>
      </c>
    </row>
    <row r="23" spans="1:2" x14ac:dyDescent="0.25">
      <c r="A23" t="s">
        <v>1574</v>
      </c>
      <c r="B23" t="s">
        <v>579</v>
      </c>
    </row>
    <row r="24" spans="1:2" x14ac:dyDescent="0.25">
      <c r="A24" t="s">
        <v>1575</v>
      </c>
      <c r="B24" t="s">
        <v>579</v>
      </c>
    </row>
    <row r="25" spans="1:2" x14ac:dyDescent="0.25">
      <c r="A25" t="s">
        <v>1576</v>
      </c>
      <c r="B25" t="s">
        <v>579</v>
      </c>
    </row>
    <row r="26" spans="1:2" x14ac:dyDescent="0.25">
      <c r="A26" t="s">
        <v>1577</v>
      </c>
      <c r="B26" t="s">
        <v>579</v>
      </c>
    </row>
    <row r="27" spans="1:2" x14ac:dyDescent="0.25">
      <c r="A27" t="s">
        <v>1578</v>
      </c>
      <c r="B27" t="s">
        <v>579</v>
      </c>
    </row>
    <row r="28" spans="1:2" x14ac:dyDescent="0.25">
      <c r="A28" t="s">
        <v>1579</v>
      </c>
      <c r="B28" t="s">
        <v>579</v>
      </c>
    </row>
    <row r="29" spans="1:2" x14ac:dyDescent="0.25">
      <c r="A29" t="s">
        <v>1580</v>
      </c>
      <c r="B29" t="s">
        <v>579</v>
      </c>
    </row>
    <row r="30" spans="1:2" x14ac:dyDescent="0.25">
      <c r="A30" t="s">
        <v>1581</v>
      </c>
      <c r="B30" t="s">
        <v>579</v>
      </c>
    </row>
    <row r="31" spans="1:2" x14ac:dyDescent="0.25">
      <c r="A31" t="s">
        <v>1582</v>
      </c>
      <c r="B31" t="s">
        <v>579</v>
      </c>
    </row>
    <row r="32" spans="1:2" x14ac:dyDescent="0.25">
      <c r="A32" t="s">
        <v>1583</v>
      </c>
      <c r="B32" t="s">
        <v>579</v>
      </c>
    </row>
    <row r="33" spans="1:2" x14ac:dyDescent="0.25">
      <c r="A33" t="s">
        <v>1584</v>
      </c>
      <c r="B33" t="s">
        <v>579</v>
      </c>
    </row>
    <row r="34" spans="1:2" x14ac:dyDescent="0.25">
      <c r="A34" t="s">
        <v>1585</v>
      </c>
      <c r="B34" t="s">
        <v>579</v>
      </c>
    </row>
    <row r="35" spans="1:2" x14ac:dyDescent="0.25">
      <c r="A35" t="s">
        <v>1586</v>
      </c>
      <c r="B35" t="s">
        <v>579</v>
      </c>
    </row>
    <row r="36" spans="1:2" x14ac:dyDescent="0.25">
      <c r="A36" t="s">
        <v>1587</v>
      </c>
      <c r="B36" t="s">
        <v>579</v>
      </c>
    </row>
    <row r="37" spans="1:2" x14ac:dyDescent="0.25">
      <c r="A37" t="s">
        <v>1588</v>
      </c>
      <c r="B37" t="s">
        <v>579</v>
      </c>
    </row>
    <row r="38" spans="1:2" x14ac:dyDescent="0.25">
      <c r="A38" t="s">
        <v>1589</v>
      </c>
      <c r="B38" t="s">
        <v>579</v>
      </c>
    </row>
    <row r="39" spans="1:2" x14ac:dyDescent="0.25">
      <c r="A39" t="s">
        <v>1590</v>
      </c>
      <c r="B39" t="s">
        <v>579</v>
      </c>
    </row>
    <row r="40" spans="1:2" x14ac:dyDescent="0.25">
      <c r="A40" t="s">
        <v>1591</v>
      </c>
      <c r="B40" t="s">
        <v>579</v>
      </c>
    </row>
    <row r="41" spans="1:2" x14ac:dyDescent="0.25">
      <c r="A41" t="s">
        <v>1592</v>
      </c>
      <c r="B41" t="s">
        <v>579</v>
      </c>
    </row>
    <row r="42" spans="1:2" x14ac:dyDescent="0.25">
      <c r="A42" t="s">
        <v>1593</v>
      </c>
      <c r="B42" t="s">
        <v>579</v>
      </c>
    </row>
    <row r="43" spans="1:2" x14ac:dyDescent="0.25">
      <c r="A43" t="s">
        <v>1594</v>
      </c>
      <c r="B43" t="s">
        <v>579</v>
      </c>
    </row>
    <row r="44" spans="1:2" x14ac:dyDescent="0.25">
      <c r="A44" t="s">
        <v>1595</v>
      </c>
      <c r="B44" t="s">
        <v>579</v>
      </c>
    </row>
    <row r="45" spans="1:2" x14ac:dyDescent="0.25">
      <c r="A45" t="s">
        <v>1596</v>
      </c>
      <c r="B45" t="s">
        <v>579</v>
      </c>
    </row>
    <row r="46" spans="1:2" x14ac:dyDescent="0.25">
      <c r="A46" t="s">
        <v>1597</v>
      </c>
      <c r="B46" t="s">
        <v>579</v>
      </c>
    </row>
    <row r="47" spans="1:2" x14ac:dyDescent="0.25">
      <c r="A47" t="s">
        <v>1598</v>
      </c>
      <c r="B47" t="s">
        <v>579</v>
      </c>
    </row>
    <row r="48" spans="1:2" x14ac:dyDescent="0.25">
      <c r="A48" t="s">
        <v>1599</v>
      </c>
      <c r="B48" t="s">
        <v>579</v>
      </c>
    </row>
    <row r="49" spans="1:2" x14ac:dyDescent="0.25">
      <c r="A49" t="s">
        <v>1600</v>
      </c>
      <c r="B49" t="s">
        <v>579</v>
      </c>
    </row>
    <row r="50" spans="1:2" x14ac:dyDescent="0.25">
      <c r="A50" t="s">
        <v>1601</v>
      </c>
      <c r="B50" t="s">
        <v>579</v>
      </c>
    </row>
    <row r="51" spans="1:2" x14ac:dyDescent="0.25">
      <c r="A51" t="s">
        <v>1602</v>
      </c>
      <c r="B51" t="s">
        <v>579</v>
      </c>
    </row>
    <row r="52" spans="1:2" x14ac:dyDescent="0.25">
      <c r="A52" t="s">
        <v>1603</v>
      </c>
      <c r="B52" t="s">
        <v>579</v>
      </c>
    </row>
    <row r="53" spans="1:2" x14ac:dyDescent="0.25">
      <c r="A53" t="s">
        <v>1604</v>
      </c>
      <c r="B53" t="s">
        <v>579</v>
      </c>
    </row>
    <row r="54" spans="1:2" x14ac:dyDescent="0.25">
      <c r="A54" t="s">
        <v>1605</v>
      </c>
      <c r="B54" t="s">
        <v>579</v>
      </c>
    </row>
    <row r="55" spans="1:2" x14ac:dyDescent="0.25">
      <c r="A55" t="s">
        <v>1606</v>
      </c>
      <c r="B55" t="s">
        <v>579</v>
      </c>
    </row>
    <row r="56" spans="1:2" x14ac:dyDescent="0.25">
      <c r="A56" t="s">
        <v>1607</v>
      </c>
      <c r="B56" t="s">
        <v>579</v>
      </c>
    </row>
    <row r="57" spans="1:2" x14ac:dyDescent="0.25">
      <c r="A57" t="s">
        <v>1608</v>
      </c>
      <c r="B57" t="s">
        <v>579</v>
      </c>
    </row>
    <row r="58" spans="1:2" x14ac:dyDescent="0.25">
      <c r="A58" t="s">
        <v>1609</v>
      </c>
      <c r="B58" t="s">
        <v>579</v>
      </c>
    </row>
    <row r="59" spans="1:2" x14ac:dyDescent="0.25">
      <c r="A59" t="s">
        <v>1610</v>
      </c>
      <c r="B59" t="s">
        <v>579</v>
      </c>
    </row>
    <row r="60" spans="1:2" x14ac:dyDescent="0.25">
      <c r="A60" t="s">
        <v>1611</v>
      </c>
      <c r="B60" t="s">
        <v>579</v>
      </c>
    </row>
    <row r="61" spans="1:2" x14ac:dyDescent="0.25">
      <c r="A61" t="s">
        <v>1612</v>
      </c>
      <c r="B61" t="s">
        <v>579</v>
      </c>
    </row>
    <row r="62" spans="1:2" x14ac:dyDescent="0.25">
      <c r="A62" t="s">
        <v>1613</v>
      </c>
      <c r="B62" t="s">
        <v>579</v>
      </c>
    </row>
    <row r="63" spans="1:2" x14ac:dyDescent="0.25">
      <c r="A63" t="s">
        <v>1614</v>
      </c>
      <c r="B63" t="s">
        <v>579</v>
      </c>
    </row>
    <row r="64" spans="1:2" x14ac:dyDescent="0.25">
      <c r="A64" t="s">
        <v>1615</v>
      </c>
      <c r="B64" t="s">
        <v>579</v>
      </c>
    </row>
    <row r="65" spans="1:2" x14ac:dyDescent="0.25">
      <c r="A65" t="s">
        <v>1616</v>
      </c>
      <c r="B65" t="s">
        <v>579</v>
      </c>
    </row>
    <row r="66" spans="1:2" x14ac:dyDescent="0.25">
      <c r="A66" t="s">
        <v>1617</v>
      </c>
      <c r="B66" t="s">
        <v>579</v>
      </c>
    </row>
    <row r="67" spans="1:2" x14ac:dyDescent="0.25">
      <c r="A67" t="s">
        <v>1618</v>
      </c>
      <c r="B67" t="s">
        <v>579</v>
      </c>
    </row>
    <row r="68" spans="1:2" x14ac:dyDescent="0.25">
      <c r="A68" t="s">
        <v>1619</v>
      </c>
      <c r="B68" t="s">
        <v>579</v>
      </c>
    </row>
    <row r="69" spans="1:2" x14ac:dyDescent="0.25">
      <c r="A69" t="s">
        <v>1620</v>
      </c>
      <c r="B69" t="s">
        <v>579</v>
      </c>
    </row>
    <row r="70" spans="1:2" x14ac:dyDescent="0.25">
      <c r="A70" t="s">
        <v>1621</v>
      </c>
      <c r="B70" t="s">
        <v>579</v>
      </c>
    </row>
    <row r="71" spans="1:2" x14ac:dyDescent="0.25">
      <c r="A71" t="s">
        <v>1622</v>
      </c>
      <c r="B71" t="s">
        <v>579</v>
      </c>
    </row>
    <row r="72" spans="1:2" x14ac:dyDescent="0.25">
      <c r="A72" t="s">
        <v>1623</v>
      </c>
      <c r="B72" t="s">
        <v>579</v>
      </c>
    </row>
    <row r="73" spans="1:2" x14ac:dyDescent="0.25">
      <c r="A73" t="s">
        <v>1624</v>
      </c>
      <c r="B73" t="s">
        <v>579</v>
      </c>
    </row>
    <row r="74" spans="1:2" x14ac:dyDescent="0.25">
      <c r="A74" t="s">
        <v>1625</v>
      </c>
      <c r="B74" t="s">
        <v>579</v>
      </c>
    </row>
    <row r="75" spans="1:2" x14ac:dyDescent="0.25">
      <c r="A75" t="s">
        <v>1626</v>
      </c>
      <c r="B75" t="s">
        <v>579</v>
      </c>
    </row>
    <row r="76" spans="1:2" x14ac:dyDescent="0.25">
      <c r="A76" t="s">
        <v>1627</v>
      </c>
      <c r="B76" t="s">
        <v>579</v>
      </c>
    </row>
    <row r="77" spans="1:2" x14ac:dyDescent="0.25">
      <c r="A77" t="s">
        <v>1628</v>
      </c>
      <c r="B77" t="s">
        <v>579</v>
      </c>
    </row>
    <row r="78" spans="1:2" x14ac:dyDescent="0.25">
      <c r="A78" t="s">
        <v>1629</v>
      </c>
      <c r="B78" t="s">
        <v>579</v>
      </c>
    </row>
    <row r="79" spans="1:2" x14ac:dyDescent="0.25">
      <c r="A79" t="s">
        <v>1630</v>
      </c>
      <c r="B79" t="s">
        <v>579</v>
      </c>
    </row>
    <row r="80" spans="1:2" x14ac:dyDescent="0.25">
      <c r="A80" t="s">
        <v>1631</v>
      </c>
      <c r="B80" t="s">
        <v>579</v>
      </c>
    </row>
    <row r="81" spans="1:2" x14ac:dyDescent="0.25">
      <c r="A81" t="s">
        <v>1632</v>
      </c>
      <c r="B81" t="s">
        <v>579</v>
      </c>
    </row>
    <row r="82" spans="1:2" x14ac:dyDescent="0.25">
      <c r="A82" t="s">
        <v>1633</v>
      </c>
      <c r="B82" t="s">
        <v>579</v>
      </c>
    </row>
    <row r="83" spans="1:2" x14ac:dyDescent="0.25">
      <c r="A83" t="s">
        <v>1634</v>
      </c>
      <c r="B83" t="s">
        <v>579</v>
      </c>
    </row>
    <row r="84" spans="1:2" x14ac:dyDescent="0.25">
      <c r="A84" t="s">
        <v>1635</v>
      </c>
      <c r="B84" t="s">
        <v>579</v>
      </c>
    </row>
    <row r="85" spans="1:2" x14ac:dyDescent="0.25">
      <c r="A85" t="s">
        <v>1636</v>
      </c>
      <c r="B85" t="s">
        <v>579</v>
      </c>
    </row>
    <row r="86" spans="1:2" x14ac:dyDescent="0.25">
      <c r="A86" t="s">
        <v>1637</v>
      </c>
      <c r="B86" t="s">
        <v>579</v>
      </c>
    </row>
    <row r="87" spans="1:2" x14ac:dyDescent="0.25">
      <c r="A87" t="s">
        <v>1638</v>
      </c>
      <c r="B87" t="s">
        <v>579</v>
      </c>
    </row>
    <row r="88" spans="1:2" x14ac:dyDescent="0.25">
      <c r="A88" t="s">
        <v>1639</v>
      </c>
      <c r="B88" t="s">
        <v>579</v>
      </c>
    </row>
    <row r="89" spans="1:2" x14ac:dyDescent="0.25">
      <c r="A89" t="s">
        <v>1640</v>
      </c>
      <c r="B89" t="s">
        <v>579</v>
      </c>
    </row>
    <row r="90" spans="1:2" x14ac:dyDescent="0.25">
      <c r="A90" t="s">
        <v>1641</v>
      </c>
      <c r="B90" t="s">
        <v>579</v>
      </c>
    </row>
    <row r="91" spans="1:2" x14ac:dyDescent="0.25">
      <c r="A91" t="s">
        <v>1642</v>
      </c>
      <c r="B91" t="s">
        <v>579</v>
      </c>
    </row>
    <row r="92" spans="1:2" x14ac:dyDescent="0.25">
      <c r="A92" t="s">
        <v>1643</v>
      </c>
      <c r="B92" t="s">
        <v>579</v>
      </c>
    </row>
    <row r="93" spans="1:2" x14ac:dyDescent="0.25">
      <c r="A93" t="s">
        <v>1644</v>
      </c>
      <c r="B93" t="s">
        <v>579</v>
      </c>
    </row>
    <row r="94" spans="1:2" x14ac:dyDescent="0.25">
      <c r="A94" t="s">
        <v>1645</v>
      </c>
      <c r="B94" t="s">
        <v>579</v>
      </c>
    </row>
    <row r="95" spans="1:2" x14ac:dyDescent="0.25">
      <c r="A95" t="s">
        <v>1646</v>
      </c>
      <c r="B95" t="s">
        <v>579</v>
      </c>
    </row>
    <row r="96" spans="1:2" x14ac:dyDescent="0.25">
      <c r="A96" t="s">
        <v>1647</v>
      </c>
      <c r="B96" t="s">
        <v>579</v>
      </c>
    </row>
    <row r="97" spans="1:2" x14ac:dyDescent="0.25">
      <c r="A97" t="s">
        <v>1648</v>
      </c>
      <c r="B97" t="s">
        <v>579</v>
      </c>
    </row>
    <row r="98" spans="1:2" x14ac:dyDescent="0.25">
      <c r="A98" t="s">
        <v>1649</v>
      </c>
      <c r="B98" t="s">
        <v>579</v>
      </c>
    </row>
    <row r="99" spans="1:2" x14ac:dyDescent="0.25">
      <c r="A99" t="s">
        <v>1650</v>
      </c>
      <c r="B99" t="s">
        <v>579</v>
      </c>
    </row>
    <row r="100" spans="1:2" x14ac:dyDescent="0.25">
      <c r="A100" t="s">
        <v>1236</v>
      </c>
      <c r="B100" t="s">
        <v>4130</v>
      </c>
    </row>
    <row r="101" spans="1:2" x14ac:dyDescent="0.25">
      <c r="A101" t="s">
        <v>1651</v>
      </c>
      <c r="B101" t="s">
        <v>579</v>
      </c>
    </row>
    <row r="102" spans="1:2" x14ac:dyDescent="0.25">
      <c r="A102" t="s">
        <v>1652</v>
      </c>
      <c r="B102" t="s">
        <v>579</v>
      </c>
    </row>
    <row r="103" spans="1:2" x14ac:dyDescent="0.25">
      <c r="A103" t="s">
        <v>1653</v>
      </c>
      <c r="B103" t="s">
        <v>579</v>
      </c>
    </row>
    <row r="104" spans="1:2" x14ac:dyDescent="0.25">
      <c r="A104" t="s">
        <v>1654</v>
      </c>
      <c r="B104" t="s">
        <v>579</v>
      </c>
    </row>
    <row r="105" spans="1:2" x14ac:dyDescent="0.25">
      <c r="A105" t="s">
        <v>1655</v>
      </c>
      <c r="B105" t="s">
        <v>579</v>
      </c>
    </row>
    <row r="106" spans="1:2" x14ac:dyDescent="0.25">
      <c r="A106" t="s">
        <v>1656</v>
      </c>
      <c r="B106" t="s">
        <v>579</v>
      </c>
    </row>
    <row r="107" spans="1:2" x14ac:dyDescent="0.25">
      <c r="A107" t="s">
        <v>1657</v>
      </c>
      <c r="B107" t="s">
        <v>579</v>
      </c>
    </row>
    <row r="108" spans="1:2" x14ac:dyDescent="0.25">
      <c r="A108" t="s">
        <v>1658</v>
      </c>
      <c r="B108" t="s">
        <v>579</v>
      </c>
    </row>
    <row r="109" spans="1:2" x14ac:dyDescent="0.25">
      <c r="A109" t="s">
        <v>1659</v>
      </c>
      <c r="B109" t="s">
        <v>579</v>
      </c>
    </row>
    <row r="110" spans="1:2" x14ac:dyDescent="0.25">
      <c r="A110" t="s">
        <v>1660</v>
      </c>
      <c r="B110" t="s">
        <v>579</v>
      </c>
    </row>
    <row r="111" spans="1:2" x14ac:dyDescent="0.25">
      <c r="A111" t="s">
        <v>1661</v>
      </c>
      <c r="B111" t="s">
        <v>579</v>
      </c>
    </row>
    <row r="112" spans="1:2" x14ac:dyDescent="0.25">
      <c r="A112" t="s">
        <v>1662</v>
      </c>
      <c r="B112" t="s">
        <v>579</v>
      </c>
    </row>
    <row r="113" spans="1:2" x14ac:dyDescent="0.25">
      <c r="A113" t="s">
        <v>1663</v>
      </c>
      <c r="B113" t="s">
        <v>579</v>
      </c>
    </row>
    <row r="114" spans="1:2" x14ac:dyDescent="0.25">
      <c r="A114" t="s">
        <v>1664</v>
      </c>
      <c r="B114" t="s">
        <v>579</v>
      </c>
    </row>
    <row r="115" spans="1:2" x14ac:dyDescent="0.25">
      <c r="A115" t="s">
        <v>1665</v>
      </c>
      <c r="B115" t="s">
        <v>579</v>
      </c>
    </row>
    <row r="116" spans="1:2" x14ac:dyDescent="0.25">
      <c r="A116" t="s">
        <v>1666</v>
      </c>
      <c r="B116" t="s">
        <v>579</v>
      </c>
    </row>
    <row r="117" spans="1:2" x14ac:dyDescent="0.25">
      <c r="A117" t="s">
        <v>1667</v>
      </c>
      <c r="B117" t="s">
        <v>579</v>
      </c>
    </row>
    <row r="118" spans="1:2" x14ac:dyDescent="0.25">
      <c r="A118" t="s">
        <v>1668</v>
      </c>
      <c r="B118" t="s">
        <v>579</v>
      </c>
    </row>
    <row r="119" spans="1:2" x14ac:dyDescent="0.25">
      <c r="A119" t="s">
        <v>1669</v>
      </c>
      <c r="B119" t="s">
        <v>579</v>
      </c>
    </row>
    <row r="120" spans="1:2" x14ac:dyDescent="0.25">
      <c r="A120" t="s">
        <v>1670</v>
      </c>
      <c r="B120" t="s">
        <v>579</v>
      </c>
    </row>
    <row r="121" spans="1:2" x14ac:dyDescent="0.25">
      <c r="A121" t="s">
        <v>1671</v>
      </c>
      <c r="B121" t="s">
        <v>579</v>
      </c>
    </row>
    <row r="122" spans="1:2" x14ac:dyDescent="0.25">
      <c r="A122" t="s">
        <v>1672</v>
      </c>
      <c r="B122" t="s">
        <v>579</v>
      </c>
    </row>
    <row r="123" spans="1:2" x14ac:dyDescent="0.25">
      <c r="A123" t="s">
        <v>1673</v>
      </c>
      <c r="B123" t="s">
        <v>579</v>
      </c>
    </row>
    <row r="124" spans="1:2" x14ac:dyDescent="0.25">
      <c r="A124" t="s">
        <v>1674</v>
      </c>
      <c r="B124" t="s">
        <v>579</v>
      </c>
    </row>
    <row r="125" spans="1:2" x14ac:dyDescent="0.25">
      <c r="A125" t="s">
        <v>1675</v>
      </c>
      <c r="B125" t="s">
        <v>579</v>
      </c>
    </row>
    <row r="126" spans="1:2" x14ac:dyDescent="0.25">
      <c r="A126" t="s">
        <v>1676</v>
      </c>
      <c r="B126" t="s">
        <v>579</v>
      </c>
    </row>
    <row r="127" spans="1:2" x14ac:dyDescent="0.25">
      <c r="A127" t="s">
        <v>1677</v>
      </c>
      <c r="B127" t="s">
        <v>579</v>
      </c>
    </row>
    <row r="128" spans="1:2" x14ac:dyDescent="0.25">
      <c r="A128" t="s">
        <v>1678</v>
      </c>
      <c r="B128" t="s">
        <v>579</v>
      </c>
    </row>
    <row r="129" spans="1:2" x14ac:dyDescent="0.25">
      <c r="A129" t="s">
        <v>1679</v>
      </c>
      <c r="B129" t="s">
        <v>579</v>
      </c>
    </row>
    <row r="130" spans="1:2" x14ac:dyDescent="0.25">
      <c r="A130" t="s">
        <v>1680</v>
      </c>
      <c r="B130" t="s">
        <v>579</v>
      </c>
    </row>
    <row r="131" spans="1:2" x14ac:dyDescent="0.25">
      <c r="A131" t="s">
        <v>1681</v>
      </c>
      <c r="B131" t="s">
        <v>579</v>
      </c>
    </row>
    <row r="132" spans="1:2" x14ac:dyDescent="0.25">
      <c r="A132" t="s">
        <v>1682</v>
      </c>
      <c r="B132" t="s">
        <v>579</v>
      </c>
    </row>
    <row r="133" spans="1:2" x14ac:dyDescent="0.25">
      <c r="A133" t="s">
        <v>1683</v>
      </c>
      <c r="B133" t="s">
        <v>579</v>
      </c>
    </row>
    <row r="134" spans="1:2" x14ac:dyDescent="0.25">
      <c r="A134" t="s">
        <v>1684</v>
      </c>
      <c r="B134" t="s">
        <v>579</v>
      </c>
    </row>
    <row r="135" spans="1:2" x14ac:dyDescent="0.25">
      <c r="A135" t="s">
        <v>1685</v>
      </c>
      <c r="B135" t="s">
        <v>579</v>
      </c>
    </row>
    <row r="136" spans="1:2" x14ac:dyDescent="0.25">
      <c r="A136" t="s">
        <v>1686</v>
      </c>
      <c r="B136" t="s">
        <v>579</v>
      </c>
    </row>
    <row r="137" spans="1:2" x14ac:dyDescent="0.25">
      <c r="A137" t="s">
        <v>1687</v>
      </c>
      <c r="B137" t="s">
        <v>579</v>
      </c>
    </row>
    <row r="138" spans="1:2" x14ac:dyDescent="0.25">
      <c r="A138" t="s">
        <v>1688</v>
      </c>
      <c r="B138" t="s">
        <v>579</v>
      </c>
    </row>
    <row r="139" spans="1:2" x14ac:dyDescent="0.25">
      <c r="A139" t="s">
        <v>1689</v>
      </c>
      <c r="B139" t="s">
        <v>579</v>
      </c>
    </row>
    <row r="140" spans="1:2" x14ac:dyDescent="0.25">
      <c r="A140" t="s">
        <v>1690</v>
      </c>
      <c r="B140" t="s">
        <v>579</v>
      </c>
    </row>
    <row r="141" spans="1:2" x14ac:dyDescent="0.25">
      <c r="A141" t="s">
        <v>1691</v>
      </c>
      <c r="B141" t="s">
        <v>579</v>
      </c>
    </row>
    <row r="142" spans="1:2" x14ac:dyDescent="0.25">
      <c r="A142" t="s">
        <v>1692</v>
      </c>
      <c r="B142" t="s">
        <v>579</v>
      </c>
    </row>
    <row r="143" spans="1:2" x14ac:dyDescent="0.25">
      <c r="A143" t="s">
        <v>1693</v>
      </c>
      <c r="B143" t="s">
        <v>579</v>
      </c>
    </row>
    <row r="144" spans="1:2" x14ac:dyDescent="0.25">
      <c r="A144" t="s">
        <v>1694</v>
      </c>
      <c r="B144" t="s">
        <v>579</v>
      </c>
    </row>
    <row r="145" spans="1:2" x14ac:dyDescent="0.25">
      <c r="A145" t="s">
        <v>1695</v>
      </c>
      <c r="B145" t="s">
        <v>579</v>
      </c>
    </row>
    <row r="146" spans="1:2" x14ac:dyDescent="0.25">
      <c r="A146" t="s">
        <v>1696</v>
      </c>
      <c r="B146" t="s">
        <v>579</v>
      </c>
    </row>
    <row r="147" spans="1:2" x14ac:dyDescent="0.25">
      <c r="A147" t="s">
        <v>1697</v>
      </c>
      <c r="B147" t="s">
        <v>579</v>
      </c>
    </row>
    <row r="148" spans="1:2" x14ac:dyDescent="0.25">
      <c r="A148" t="s">
        <v>1698</v>
      </c>
      <c r="B148" t="s">
        <v>579</v>
      </c>
    </row>
    <row r="149" spans="1:2" x14ac:dyDescent="0.25">
      <c r="A149" t="s">
        <v>1699</v>
      </c>
      <c r="B149" t="s">
        <v>579</v>
      </c>
    </row>
    <row r="150" spans="1:2" x14ac:dyDescent="0.25">
      <c r="A150" t="s">
        <v>1700</v>
      </c>
      <c r="B150" t="s">
        <v>579</v>
      </c>
    </row>
    <row r="151" spans="1:2" x14ac:dyDescent="0.25">
      <c r="A151" t="s">
        <v>1701</v>
      </c>
      <c r="B151" t="s">
        <v>579</v>
      </c>
    </row>
    <row r="152" spans="1:2" x14ac:dyDescent="0.25">
      <c r="A152" t="s">
        <v>1702</v>
      </c>
      <c r="B152" t="s">
        <v>579</v>
      </c>
    </row>
    <row r="153" spans="1:2" x14ac:dyDescent="0.25">
      <c r="A153" t="s">
        <v>1703</v>
      </c>
      <c r="B153" t="s">
        <v>579</v>
      </c>
    </row>
    <row r="154" spans="1:2" x14ac:dyDescent="0.25">
      <c r="A154" t="s">
        <v>1704</v>
      </c>
      <c r="B154" t="s">
        <v>579</v>
      </c>
    </row>
    <row r="155" spans="1:2" x14ac:dyDescent="0.25">
      <c r="A155" t="s">
        <v>1705</v>
      </c>
      <c r="B155" t="s">
        <v>579</v>
      </c>
    </row>
    <row r="156" spans="1:2" x14ac:dyDescent="0.25">
      <c r="A156" t="s">
        <v>1706</v>
      </c>
      <c r="B156" t="s">
        <v>579</v>
      </c>
    </row>
    <row r="157" spans="1:2" x14ac:dyDescent="0.25">
      <c r="A157" t="s">
        <v>1707</v>
      </c>
      <c r="B157" t="s">
        <v>579</v>
      </c>
    </row>
    <row r="158" spans="1:2" x14ac:dyDescent="0.25">
      <c r="A158" t="s">
        <v>1708</v>
      </c>
      <c r="B158" t="s">
        <v>579</v>
      </c>
    </row>
    <row r="159" spans="1:2" x14ac:dyDescent="0.25">
      <c r="A159" t="s">
        <v>1709</v>
      </c>
      <c r="B159" t="s">
        <v>579</v>
      </c>
    </row>
    <row r="160" spans="1:2" x14ac:dyDescent="0.25">
      <c r="A160" t="s">
        <v>1710</v>
      </c>
      <c r="B160" t="s">
        <v>579</v>
      </c>
    </row>
    <row r="161" spans="1:2" x14ac:dyDescent="0.25">
      <c r="A161" t="s">
        <v>1711</v>
      </c>
      <c r="B161" t="s">
        <v>579</v>
      </c>
    </row>
    <row r="162" spans="1:2" x14ac:dyDescent="0.25">
      <c r="A162" t="s">
        <v>1712</v>
      </c>
      <c r="B162" t="s">
        <v>579</v>
      </c>
    </row>
    <row r="163" spans="1:2" x14ac:dyDescent="0.25">
      <c r="A163" t="s">
        <v>1713</v>
      </c>
      <c r="B163" t="s">
        <v>579</v>
      </c>
    </row>
    <row r="164" spans="1:2" x14ac:dyDescent="0.25">
      <c r="A164" t="s">
        <v>1714</v>
      </c>
      <c r="B164" t="s">
        <v>579</v>
      </c>
    </row>
    <row r="165" spans="1:2" x14ac:dyDescent="0.25">
      <c r="A165" t="s">
        <v>1715</v>
      </c>
      <c r="B165" t="s">
        <v>579</v>
      </c>
    </row>
    <row r="166" spans="1:2" x14ac:dyDescent="0.25">
      <c r="A166" t="s">
        <v>1716</v>
      </c>
      <c r="B166" t="s">
        <v>579</v>
      </c>
    </row>
    <row r="167" spans="1:2" x14ac:dyDescent="0.25">
      <c r="A167" t="s">
        <v>1717</v>
      </c>
      <c r="B167" t="s">
        <v>579</v>
      </c>
    </row>
    <row r="168" spans="1:2" x14ac:dyDescent="0.25">
      <c r="A168" t="s">
        <v>1718</v>
      </c>
      <c r="B168" t="s">
        <v>579</v>
      </c>
    </row>
    <row r="169" spans="1:2" x14ac:dyDescent="0.25">
      <c r="A169" t="s">
        <v>1719</v>
      </c>
      <c r="B169" t="s">
        <v>579</v>
      </c>
    </row>
    <row r="170" spans="1:2" x14ac:dyDescent="0.25">
      <c r="A170" t="s">
        <v>1720</v>
      </c>
      <c r="B170" t="s">
        <v>579</v>
      </c>
    </row>
    <row r="171" spans="1:2" x14ac:dyDescent="0.25">
      <c r="A171" t="s">
        <v>1721</v>
      </c>
      <c r="B171" t="s">
        <v>579</v>
      </c>
    </row>
    <row r="172" spans="1:2" x14ac:dyDescent="0.25">
      <c r="A172" t="s">
        <v>1722</v>
      </c>
      <c r="B172" t="s">
        <v>579</v>
      </c>
    </row>
    <row r="173" spans="1:2" x14ac:dyDescent="0.25">
      <c r="A173" t="s">
        <v>1723</v>
      </c>
      <c r="B173" t="s">
        <v>579</v>
      </c>
    </row>
    <row r="174" spans="1:2" x14ac:dyDescent="0.25">
      <c r="A174" t="s">
        <v>1724</v>
      </c>
      <c r="B174" t="s">
        <v>579</v>
      </c>
    </row>
    <row r="175" spans="1:2" x14ac:dyDescent="0.25">
      <c r="A175" t="s">
        <v>1725</v>
      </c>
      <c r="B175" t="s">
        <v>579</v>
      </c>
    </row>
    <row r="176" spans="1:2" x14ac:dyDescent="0.25">
      <c r="A176" t="s">
        <v>1726</v>
      </c>
      <c r="B176" t="s">
        <v>579</v>
      </c>
    </row>
    <row r="177" spans="1:2" x14ac:dyDescent="0.25">
      <c r="A177" t="s">
        <v>1727</v>
      </c>
      <c r="B177" t="s">
        <v>579</v>
      </c>
    </row>
    <row r="178" spans="1:2" x14ac:dyDescent="0.25">
      <c r="A178" t="s">
        <v>1728</v>
      </c>
      <c r="B178" t="s">
        <v>579</v>
      </c>
    </row>
    <row r="179" spans="1:2" x14ac:dyDescent="0.25">
      <c r="A179" t="s">
        <v>1729</v>
      </c>
      <c r="B179" t="s">
        <v>579</v>
      </c>
    </row>
    <row r="180" spans="1:2" x14ac:dyDescent="0.25">
      <c r="A180" t="s">
        <v>1730</v>
      </c>
      <c r="B180" t="s">
        <v>579</v>
      </c>
    </row>
    <row r="181" spans="1:2" x14ac:dyDescent="0.25">
      <c r="A181" t="s">
        <v>1731</v>
      </c>
      <c r="B181" t="s">
        <v>579</v>
      </c>
    </row>
    <row r="182" spans="1:2" x14ac:dyDescent="0.25">
      <c r="A182" t="s">
        <v>1732</v>
      </c>
      <c r="B182" t="s">
        <v>579</v>
      </c>
    </row>
    <row r="183" spans="1:2" x14ac:dyDescent="0.25">
      <c r="A183" t="s">
        <v>1733</v>
      </c>
      <c r="B183" t="s">
        <v>579</v>
      </c>
    </row>
    <row r="184" spans="1:2" x14ac:dyDescent="0.25">
      <c r="A184" t="s">
        <v>1734</v>
      </c>
      <c r="B184" t="s">
        <v>579</v>
      </c>
    </row>
    <row r="185" spans="1:2" x14ac:dyDescent="0.25">
      <c r="A185" t="s">
        <v>1735</v>
      </c>
      <c r="B185" t="s">
        <v>579</v>
      </c>
    </row>
    <row r="186" spans="1:2" x14ac:dyDescent="0.25">
      <c r="A186" t="s">
        <v>1736</v>
      </c>
      <c r="B186" t="s">
        <v>579</v>
      </c>
    </row>
    <row r="187" spans="1:2" x14ac:dyDescent="0.25">
      <c r="A187" t="s">
        <v>1737</v>
      </c>
      <c r="B187" t="s">
        <v>579</v>
      </c>
    </row>
    <row r="188" spans="1:2" x14ac:dyDescent="0.25">
      <c r="A188" t="s">
        <v>1738</v>
      </c>
      <c r="B188" t="s">
        <v>579</v>
      </c>
    </row>
    <row r="189" spans="1:2" x14ac:dyDescent="0.25">
      <c r="A189" t="s">
        <v>1739</v>
      </c>
      <c r="B189" t="s">
        <v>579</v>
      </c>
    </row>
    <row r="190" spans="1:2" x14ac:dyDescent="0.25">
      <c r="A190" t="s">
        <v>1740</v>
      </c>
      <c r="B190" t="s">
        <v>579</v>
      </c>
    </row>
    <row r="191" spans="1:2" x14ac:dyDescent="0.25">
      <c r="A191" t="s">
        <v>1741</v>
      </c>
      <c r="B191" t="s">
        <v>579</v>
      </c>
    </row>
    <row r="192" spans="1:2" x14ac:dyDescent="0.25">
      <c r="A192" t="s">
        <v>1742</v>
      </c>
      <c r="B192" t="s">
        <v>579</v>
      </c>
    </row>
    <row r="193" spans="1:2" x14ac:dyDescent="0.25">
      <c r="A193" t="s">
        <v>1743</v>
      </c>
      <c r="B193" t="s">
        <v>579</v>
      </c>
    </row>
    <row r="194" spans="1:2" x14ac:dyDescent="0.25">
      <c r="A194" t="s">
        <v>1744</v>
      </c>
      <c r="B194" t="s">
        <v>579</v>
      </c>
    </row>
    <row r="195" spans="1:2" x14ac:dyDescent="0.25">
      <c r="A195" t="s">
        <v>1745</v>
      </c>
      <c r="B195" t="s">
        <v>579</v>
      </c>
    </row>
    <row r="196" spans="1:2" x14ac:dyDescent="0.25">
      <c r="A196" t="s">
        <v>1746</v>
      </c>
      <c r="B196" t="s">
        <v>579</v>
      </c>
    </row>
    <row r="197" spans="1:2" x14ac:dyDescent="0.25">
      <c r="A197" t="s">
        <v>1747</v>
      </c>
      <c r="B197" t="s">
        <v>579</v>
      </c>
    </row>
    <row r="198" spans="1:2" x14ac:dyDescent="0.25">
      <c r="A198" t="s">
        <v>1748</v>
      </c>
      <c r="B198" t="s">
        <v>579</v>
      </c>
    </row>
    <row r="199" spans="1:2" x14ac:dyDescent="0.25">
      <c r="A199" t="s">
        <v>1749</v>
      </c>
      <c r="B199" t="s">
        <v>579</v>
      </c>
    </row>
    <row r="200" spans="1:2" x14ac:dyDescent="0.25">
      <c r="A200" t="s">
        <v>1750</v>
      </c>
      <c r="B200" t="s">
        <v>579</v>
      </c>
    </row>
    <row r="201" spans="1:2" x14ac:dyDescent="0.25">
      <c r="A201" t="s">
        <v>1751</v>
      </c>
      <c r="B201" t="s">
        <v>579</v>
      </c>
    </row>
    <row r="202" spans="1:2" x14ac:dyDescent="0.25">
      <c r="A202" t="s">
        <v>1752</v>
      </c>
      <c r="B202" t="s">
        <v>579</v>
      </c>
    </row>
    <row r="203" spans="1:2" x14ac:dyDescent="0.25">
      <c r="A203" t="s">
        <v>1753</v>
      </c>
      <c r="B203" t="s">
        <v>579</v>
      </c>
    </row>
    <row r="204" spans="1:2" x14ac:dyDescent="0.25">
      <c r="A204" t="s">
        <v>1754</v>
      </c>
      <c r="B204" t="s">
        <v>579</v>
      </c>
    </row>
    <row r="205" spans="1:2" x14ac:dyDescent="0.25">
      <c r="A205" t="s">
        <v>1755</v>
      </c>
      <c r="B205" t="s">
        <v>579</v>
      </c>
    </row>
    <row r="206" spans="1:2" x14ac:dyDescent="0.25">
      <c r="A206" t="s">
        <v>1756</v>
      </c>
      <c r="B206" t="s">
        <v>579</v>
      </c>
    </row>
    <row r="207" spans="1:2" x14ac:dyDescent="0.25">
      <c r="A207" t="s">
        <v>1757</v>
      </c>
      <c r="B207" t="s">
        <v>579</v>
      </c>
    </row>
    <row r="208" spans="1:2" x14ac:dyDescent="0.25">
      <c r="A208" t="s">
        <v>1758</v>
      </c>
      <c r="B208" t="s">
        <v>579</v>
      </c>
    </row>
    <row r="209" spans="1:2" x14ac:dyDescent="0.25">
      <c r="A209" t="s">
        <v>1759</v>
      </c>
      <c r="B209" t="s">
        <v>579</v>
      </c>
    </row>
    <row r="210" spans="1:2" x14ac:dyDescent="0.25">
      <c r="A210" t="s">
        <v>1760</v>
      </c>
      <c r="B210" t="s">
        <v>579</v>
      </c>
    </row>
    <row r="211" spans="1:2" x14ac:dyDescent="0.25">
      <c r="A211" t="s">
        <v>1761</v>
      </c>
      <c r="B211" t="s">
        <v>579</v>
      </c>
    </row>
    <row r="212" spans="1:2" x14ac:dyDescent="0.25">
      <c r="A212" t="s">
        <v>1762</v>
      </c>
      <c r="B212" t="s">
        <v>579</v>
      </c>
    </row>
    <row r="213" spans="1:2" x14ac:dyDescent="0.25">
      <c r="A213" t="s">
        <v>659</v>
      </c>
      <c r="B213" t="s">
        <v>660</v>
      </c>
    </row>
    <row r="214" spans="1:2" x14ac:dyDescent="0.25">
      <c r="A214" t="s">
        <v>661</v>
      </c>
      <c r="B214" t="s">
        <v>663</v>
      </c>
    </row>
    <row r="215" spans="1:2" x14ac:dyDescent="0.25">
      <c r="A215" t="s">
        <v>274</v>
      </c>
      <c r="B215" t="s">
        <v>275</v>
      </c>
    </row>
    <row r="216" spans="1:2" x14ac:dyDescent="0.25">
      <c r="A216" t="s">
        <v>664</v>
      </c>
      <c r="B216" t="s">
        <v>666</v>
      </c>
    </row>
    <row r="217" spans="1:2" x14ac:dyDescent="0.25">
      <c r="A217" t="s">
        <v>669</v>
      </c>
      <c r="B217" t="s">
        <v>585</v>
      </c>
    </row>
    <row r="218" spans="1:2" x14ac:dyDescent="0.25">
      <c r="A218" t="s">
        <v>584</v>
      </c>
      <c r="B218" t="s">
        <v>585</v>
      </c>
    </row>
    <row r="219" spans="1:2" x14ac:dyDescent="0.25">
      <c r="A219" t="s">
        <v>1763</v>
      </c>
      <c r="B219" t="s">
        <v>585</v>
      </c>
    </row>
    <row r="220" spans="1:2" x14ac:dyDescent="0.25">
      <c r="A220" t="s">
        <v>1764</v>
      </c>
      <c r="B220" t="s">
        <v>585</v>
      </c>
    </row>
    <row r="221" spans="1:2" x14ac:dyDescent="0.25">
      <c r="A221" t="s">
        <v>586</v>
      </c>
      <c r="B221" t="s">
        <v>585</v>
      </c>
    </row>
    <row r="222" spans="1:2" x14ac:dyDescent="0.25">
      <c r="A222" t="s">
        <v>1765</v>
      </c>
      <c r="B222" t="s">
        <v>585</v>
      </c>
    </row>
    <row r="223" spans="1:2" x14ac:dyDescent="0.25">
      <c r="A223" t="s">
        <v>1766</v>
      </c>
      <c r="B223" t="s">
        <v>585</v>
      </c>
    </row>
    <row r="224" spans="1:2" x14ac:dyDescent="0.25">
      <c r="A224" t="s">
        <v>587</v>
      </c>
      <c r="B224" t="s">
        <v>585</v>
      </c>
    </row>
    <row r="225" spans="1:2" x14ac:dyDescent="0.25">
      <c r="A225" t="s">
        <v>1767</v>
      </c>
      <c r="B225" t="s">
        <v>585</v>
      </c>
    </row>
    <row r="226" spans="1:2" x14ac:dyDescent="0.25">
      <c r="A226" t="s">
        <v>1768</v>
      </c>
      <c r="B226" t="s">
        <v>585</v>
      </c>
    </row>
    <row r="227" spans="1:2" x14ac:dyDescent="0.25">
      <c r="A227" t="s">
        <v>1769</v>
      </c>
      <c r="B227" t="s">
        <v>4131</v>
      </c>
    </row>
    <row r="228" spans="1:2" x14ac:dyDescent="0.25">
      <c r="A228" t="s">
        <v>1770</v>
      </c>
      <c r="B228" t="s">
        <v>4131</v>
      </c>
    </row>
    <row r="229" spans="1:2" x14ac:dyDescent="0.25">
      <c r="A229" t="s">
        <v>1771</v>
      </c>
      <c r="B229" t="s">
        <v>4131</v>
      </c>
    </row>
    <row r="230" spans="1:2" x14ac:dyDescent="0.25">
      <c r="A230" t="s">
        <v>1772</v>
      </c>
      <c r="B230" t="s">
        <v>4131</v>
      </c>
    </row>
    <row r="231" spans="1:2" x14ac:dyDescent="0.25">
      <c r="A231" t="s">
        <v>523</v>
      </c>
      <c r="B231" t="s">
        <v>522</v>
      </c>
    </row>
    <row r="232" spans="1:2" x14ac:dyDescent="0.25">
      <c r="A232" t="s">
        <v>1295</v>
      </c>
      <c r="B232" t="s">
        <v>522</v>
      </c>
    </row>
    <row r="233" spans="1:2" x14ac:dyDescent="0.25">
      <c r="A233" t="s">
        <v>667</v>
      </c>
      <c r="B233" t="s">
        <v>522</v>
      </c>
    </row>
    <row r="234" spans="1:2" x14ac:dyDescent="0.25">
      <c r="A234" t="s">
        <v>1773</v>
      </c>
      <c r="B234" t="s">
        <v>522</v>
      </c>
    </row>
    <row r="235" spans="1:2" x14ac:dyDescent="0.25">
      <c r="A235" t="s">
        <v>1774</v>
      </c>
      <c r="B235" t="s">
        <v>522</v>
      </c>
    </row>
    <row r="236" spans="1:2" x14ac:dyDescent="0.25">
      <c r="A236" t="s">
        <v>524</v>
      </c>
      <c r="B236" t="s">
        <v>522</v>
      </c>
    </row>
    <row r="237" spans="1:2" x14ac:dyDescent="0.25">
      <c r="A237" t="s">
        <v>1775</v>
      </c>
      <c r="B237" t="s">
        <v>522</v>
      </c>
    </row>
    <row r="238" spans="1:2" x14ac:dyDescent="0.25">
      <c r="A238" t="s">
        <v>1776</v>
      </c>
      <c r="B238" t="s">
        <v>522</v>
      </c>
    </row>
    <row r="239" spans="1:2" x14ac:dyDescent="0.25">
      <c r="A239" t="s">
        <v>668</v>
      </c>
      <c r="B239" t="s">
        <v>522</v>
      </c>
    </row>
    <row r="240" spans="1:2" x14ac:dyDescent="0.25">
      <c r="A240" t="s">
        <v>1777</v>
      </c>
      <c r="B240" t="s">
        <v>522</v>
      </c>
    </row>
    <row r="241" spans="1:2" x14ac:dyDescent="0.25">
      <c r="A241" t="s">
        <v>1778</v>
      </c>
      <c r="B241" t="s">
        <v>522</v>
      </c>
    </row>
    <row r="242" spans="1:2" x14ac:dyDescent="0.25">
      <c r="A242" t="s">
        <v>520</v>
      </c>
      <c r="B242" t="s">
        <v>522</v>
      </c>
    </row>
    <row r="243" spans="1:2" x14ac:dyDescent="0.25">
      <c r="A243" t="s">
        <v>1779</v>
      </c>
      <c r="B243" t="s">
        <v>522</v>
      </c>
    </row>
    <row r="244" spans="1:2" x14ac:dyDescent="0.25">
      <c r="A244" t="s">
        <v>1780</v>
      </c>
      <c r="B244" t="s">
        <v>522</v>
      </c>
    </row>
    <row r="245" spans="1:2" x14ac:dyDescent="0.25">
      <c r="A245" t="s">
        <v>1781</v>
      </c>
      <c r="B245" t="s">
        <v>522</v>
      </c>
    </row>
    <row r="246" spans="1:2" x14ac:dyDescent="0.25">
      <c r="A246" t="s">
        <v>1782</v>
      </c>
      <c r="B246" t="s">
        <v>522</v>
      </c>
    </row>
    <row r="247" spans="1:2" x14ac:dyDescent="0.25">
      <c r="A247" t="s">
        <v>670</v>
      </c>
      <c r="B247" t="s">
        <v>671</v>
      </c>
    </row>
    <row r="248" spans="1:2" x14ac:dyDescent="0.25">
      <c r="A248" t="s">
        <v>93</v>
      </c>
      <c r="B248" t="s">
        <v>94</v>
      </c>
    </row>
    <row r="249" spans="1:2" x14ac:dyDescent="0.25">
      <c r="A249" t="s">
        <v>672</v>
      </c>
      <c r="B249" t="s">
        <v>94</v>
      </c>
    </row>
    <row r="250" spans="1:2" x14ac:dyDescent="0.25">
      <c r="A250" t="s">
        <v>673</v>
      </c>
      <c r="B250" t="s">
        <v>94</v>
      </c>
    </row>
    <row r="251" spans="1:2" x14ac:dyDescent="0.25">
      <c r="A251" t="s">
        <v>1783</v>
      </c>
      <c r="B251" t="s">
        <v>674</v>
      </c>
    </row>
    <row r="252" spans="1:2" x14ac:dyDescent="0.25">
      <c r="A252" t="s">
        <v>675</v>
      </c>
      <c r="B252" t="s">
        <v>676</v>
      </c>
    </row>
    <row r="253" spans="1:2" x14ac:dyDescent="0.25">
      <c r="A253" t="s">
        <v>677</v>
      </c>
      <c r="B253" t="s">
        <v>676</v>
      </c>
    </row>
    <row r="254" spans="1:2" x14ac:dyDescent="0.25">
      <c r="A254" t="s">
        <v>1784</v>
      </c>
      <c r="B254" t="s">
        <v>96</v>
      </c>
    </row>
    <row r="255" spans="1:2" x14ac:dyDescent="0.25">
      <c r="A255" t="s">
        <v>1296</v>
      </c>
      <c r="B255" t="s">
        <v>1298</v>
      </c>
    </row>
    <row r="256" spans="1:2" x14ac:dyDescent="0.25">
      <c r="A256" t="s">
        <v>678</v>
      </c>
      <c r="B256" t="s">
        <v>679</v>
      </c>
    </row>
    <row r="257" spans="1:2" x14ac:dyDescent="0.25">
      <c r="A257" t="s">
        <v>1299</v>
      </c>
      <c r="B257" t="s">
        <v>679</v>
      </c>
    </row>
    <row r="258" spans="1:2" x14ac:dyDescent="0.25">
      <c r="A258" t="s">
        <v>680</v>
      </c>
      <c r="B258" t="s">
        <v>679</v>
      </c>
    </row>
    <row r="259" spans="1:2" x14ac:dyDescent="0.25">
      <c r="A259" t="s">
        <v>1300</v>
      </c>
      <c r="B259" t="s">
        <v>679</v>
      </c>
    </row>
    <row r="260" spans="1:2" x14ac:dyDescent="0.25">
      <c r="A260" t="s">
        <v>681</v>
      </c>
      <c r="B260" t="s">
        <v>679</v>
      </c>
    </row>
    <row r="261" spans="1:2" x14ac:dyDescent="0.25">
      <c r="A261" t="s">
        <v>1301</v>
      </c>
      <c r="B261" t="s">
        <v>679</v>
      </c>
    </row>
    <row r="262" spans="1:2" x14ac:dyDescent="0.25">
      <c r="A262" t="s">
        <v>682</v>
      </c>
      <c r="B262" t="s">
        <v>679</v>
      </c>
    </row>
    <row r="263" spans="1:2" x14ac:dyDescent="0.25">
      <c r="A263" t="s">
        <v>683</v>
      </c>
      <c r="B263" t="s">
        <v>679</v>
      </c>
    </row>
    <row r="264" spans="1:2" x14ac:dyDescent="0.25">
      <c r="A264" t="s">
        <v>684</v>
      </c>
      <c r="B264" t="s">
        <v>679</v>
      </c>
    </row>
    <row r="265" spans="1:2" x14ac:dyDescent="0.25">
      <c r="A265" t="s">
        <v>685</v>
      </c>
      <c r="B265" t="s">
        <v>679</v>
      </c>
    </row>
    <row r="266" spans="1:2" x14ac:dyDescent="0.25">
      <c r="A266" t="s">
        <v>686</v>
      </c>
      <c r="B266" t="s">
        <v>679</v>
      </c>
    </row>
    <row r="267" spans="1:2" x14ac:dyDescent="0.25">
      <c r="A267" t="s">
        <v>1302</v>
      </c>
      <c r="B267" t="s">
        <v>679</v>
      </c>
    </row>
    <row r="268" spans="1:2" x14ac:dyDescent="0.25">
      <c r="A268" t="s">
        <v>1303</v>
      </c>
      <c r="B268" t="s">
        <v>679</v>
      </c>
    </row>
    <row r="269" spans="1:2" x14ac:dyDescent="0.25">
      <c r="A269" t="s">
        <v>687</v>
      </c>
      <c r="B269" t="s">
        <v>688</v>
      </c>
    </row>
    <row r="270" spans="1:2" x14ac:dyDescent="0.25">
      <c r="A270" t="s">
        <v>689</v>
      </c>
      <c r="B270" t="s">
        <v>688</v>
      </c>
    </row>
    <row r="271" spans="1:2" x14ac:dyDescent="0.25">
      <c r="A271" t="s">
        <v>1304</v>
      </c>
      <c r="B271" t="s">
        <v>1305</v>
      </c>
    </row>
    <row r="272" spans="1:2" x14ac:dyDescent="0.25">
      <c r="A272" t="s">
        <v>1306</v>
      </c>
      <c r="B272" t="s">
        <v>1305</v>
      </c>
    </row>
    <row r="273" spans="1:2" x14ac:dyDescent="0.25">
      <c r="A273" t="s">
        <v>1785</v>
      </c>
      <c r="B273" t="s">
        <v>98</v>
      </c>
    </row>
    <row r="274" spans="1:2" x14ac:dyDescent="0.25">
      <c r="A274" t="s">
        <v>1786</v>
      </c>
      <c r="B274" t="s">
        <v>98</v>
      </c>
    </row>
    <row r="275" spans="1:2" x14ac:dyDescent="0.25">
      <c r="A275" t="s">
        <v>1787</v>
      </c>
      <c r="B275" t="s">
        <v>98</v>
      </c>
    </row>
    <row r="276" spans="1:2" x14ac:dyDescent="0.25">
      <c r="A276" t="s">
        <v>690</v>
      </c>
      <c r="B276" t="s">
        <v>691</v>
      </c>
    </row>
    <row r="277" spans="1:2" x14ac:dyDescent="0.25">
      <c r="A277" t="s">
        <v>1788</v>
      </c>
      <c r="B277" t="s">
        <v>693</v>
      </c>
    </row>
    <row r="278" spans="1:2" x14ac:dyDescent="0.25">
      <c r="A278" t="s">
        <v>694</v>
      </c>
      <c r="B278" t="s">
        <v>100</v>
      </c>
    </row>
    <row r="279" spans="1:2" x14ac:dyDescent="0.25">
      <c r="A279" t="s">
        <v>99</v>
      </c>
      <c r="B279" t="s">
        <v>100</v>
      </c>
    </row>
    <row r="280" spans="1:2" x14ac:dyDescent="0.25">
      <c r="A280" t="s">
        <v>101</v>
      </c>
      <c r="B280" t="s">
        <v>100</v>
      </c>
    </row>
    <row r="281" spans="1:2" x14ac:dyDescent="0.25">
      <c r="A281" t="s">
        <v>102</v>
      </c>
      <c r="B281" t="s">
        <v>100</v>
      </c>
    </row>
    <row r="282" spans="1:2" x14ac:dyDescent="0.25">
      <c r="A282" t="s">
        <v>695</v>
      </c>
      <c r="B282" t="s">
        <v>100</v>
      </c>
    </row>
    <row r="283" spans="1:2" x14ac:dyDescent="0.25">
      <c r="A283" t="s">
        <v>1307</v>
      </c>
      <c r="B283" t="s">
        <v>100</v>
      </c>
    </row>
    <row r="284" spans="1:2" x14ac:dyDescent="0.25">
      <c r="A284" t="s">
        <v>276</v>
      </c>
      <c r="B284" t="s">
        <v>100</v>
      </c>
    </row>
    <row r="285" spans="1:2" x14ac:dyDescent="0.25">
      <c r="A285" t="s">
        <v>696</v>
      </c>
      <c r="B285" t="s">
        <v>100</v>
      </c>
    </row>
    <row r="286" spans="1:2" x14ac:dyDescent="0.25">
      <c r="A286" t="s">
        <v>277</v>
      </c>
      <c r="B286" t="s">
        <v>100</v>
      </c>
    </row>
    <row r="287" spans="1:2" x14ac:dyDescent="0.25">
      <c r="A287" t="s">
        <v>1308</v>
      </c>
      <c r="B287" t="s">
        <v>100</v>
      </c>
    </row>
    <row r="288" spans="1:2" x14ac:dyDescent="0.25">
      <c r="A288" t="s">
        <v>697</v>
      </c>
      <c r="B288" t="s">
        <v>100</v>
      </c>
    </row>
    <row r="289" spans="1:2" x14ac:dyDescent="0.25">
      <c r="A289" t="s">
        <v>1789</v>
      </c>
      <c r="B289" t="s">
        <v>105</v>
      </c>
    </row>
    <row r="290" spans="1:2" x14ac:dyDescent="0.25">
      <c r="A290" t="s">
        <v>699</v>
      </c>
      <c r="B290" t="s">
        <v>105</v>
      </c>
    </row>
    <row r="291" spans="1:2" x14ac:dyDescent="0.25">
      <c r="A291" t="s">
        <v>1790</v>
      </c>
      <c r="B291" t="s">
        <v>105</v>
      </c>
    </row>
    <row r="292" spans="1:2" x14ac:dyDescent="0.25">
      <c r="A292" t="s">
        <v>700</v>
      </c>
      <c r="B292" t="s">
        <v>105</v>
      </c>
    </row>
    <row r="293" spans="1:2" x14ac:dyDescent="0.25">
      <c r="A293" t="s">
        <v>1791</v>
      </c>
      <c r="B293" t="s">
        <v>105</v>
      </c>
    </row>
    <row r="294" spans="1:2" x14ac:dyDescent="0.25">
      <c r="A294" t="s">
        <v>104</v>
      </c>
      <c r="B294" t="s">
        <v>105</v>
      </c>
    </row>
    <row r="295" spans="1:2" x14ac:dyDescent="0.25">
      <c r="A295" t="s">
        <v>539</v>
      </c>
      <c r="B295" t="s">
        <v>105</v>
      </c>
    </row>
    <row r="296" spans="1:2" x14ac:dyDescent="0.25">
      <c r="A296" t="s">
        <v>533</v>
      </c>
      <c r="B296" t="s">
        <v>105</v>
      </c>
    </row>
    <row r="297" spans="1:2" x14ac:dyDescent="0.25">
      <c r="A297" t="s">
        <v>515</v>
      </c>
      <c r="B297" t="s">
        <v>105</v>
      </c>
    </row>
    <row r="298" spans="1:2" x14ac:dyDescent="0.25">
      <c r="A298" t="s">
        <v>279</v>
      </c>
      <c r="B298" t="s">
        <v>105</v>
      </c>
    </row>
    <row r="299" spans="1:2" x14ac:dyDescent="0.25">
      <c r="A299" t="s">
        <v>106</v>
      </c>
      <c r="B299" t="s">
        <v>105</v>
      </c>
    </row>
    <row r="300" spans="1:2" x14ac:dyDescent="0.25">
      <c r="A300" t="s">
        <v>701</v>
      </c>
      <c r="B300" t="s">
        <v>105</v>
      </c>
    </row>
    <row r="301" spans="1:2" x14ac:dyDescent="0.25">
      <c r="A301" t="s">
        <v>468</v>
      </c>
      <c r="B301" t="s">
        <v>105</v>
      </c>
    </row>
    <row r="302" spans="1:2" x14ac:dyDescent="0.25">
      <c r="A302" t="s">
        <v>280</v>
      </c>
      <c r="B302" t="s">
        <v>105</v>
      </c>
    </row>
    <row r="303" spans="1:2" x14ac:dyDescent="0.25">
      <c r="A303" t="s">
        <v>702</v>
      </c>
      <c r="B303" t="s">
        <v>105</v>
      </c>
    </row>
    <row r="304" spans="1:2" x14ac:dyDescent="0.25">
      <c r="A304" t="s">
        <v>107</v>
      </c>
      <c r="B304" t="s">
        <v>105</v>
      </c>
    </row>
    <row r="305" spans="1:2" x14ac:dyDescent="0.25">
      <c r="A305" t="s">
        <v>703</v>
      </c>
      <c r="B305" t="s">
        <v>105</v>
      </c>
    </row>
    <row r="306" spans="1:2" x14ac:dyDescent="0.25">
      <c r="A306" t="s">
        <v>704</v>
      </c>
      <c r="B306" t="s">
        <v>105</v>
      </c>
    </row>
    <row r="307" spans="1:2" x14ac:dyDescent="0.25">
      <c r="A307" t="s">
        <v>705</v>
      </c>
      <c r="B307" t="s">
        <v>105</v>
      </c>
    </row>
    <row r="308" spans="1:2" x14ac:dyDescent="0.25">
      <c r="A308" t="s">
        <v>706</v>
      </c>
      <c r="B308" t="s">
        <v>105</v>
      </c>
    </row>
    <row r="309" spans="1:2" x14ac:dyDescent="0.25">
      <c r="A309" t="s">
        <v>1309</v>
      </c>
      <c r="B309" t="s">
        <v>105</v>
      </c>
    </row>
    <row r="310" spans="1:2" x14ac:dyDescent="0.25">
      <c r="A310" t="s">
        <v>707</v>
      </c>
      <c r="B310" t="s">
        <v>105</v>
      </c>
    </row>
    <row r="311" spans="1:2" x14ac:dyDescent="0.25">
      <c r="A311" t="s">
        <v>481</v>
      </c>
      <c r="B311" t="s">
        <v>105</v>
      </c>
    </row>
    <row r="312" spans="1:2" x14ac:dyDescent="0.25">
      <c r="A312" t="s">
        <v>708</v>
      </c>
      <c r="B312" t="s">
        <v>105</v>
      </c>
    </row>
    <row r="313" spans="1:2" x14ac:dyDescent="0.25">
      <c r="A313" t="s">
        <v>709</v>
      </c>
      <c r="B313" t="s">
        <v>109</v>
      </c>
    </row>
    <row r="314" spans="1:2" x14ac:dyDescent="0.25">
      <c r="A314" t="s">
        <v>108</v>
      </c>
      <c r="B314" t="s">
        <v>109</v>
      </c>
    </row>
    <row r="315" spans="1:2" x14ac:dyDescent="0.25">
      <c r="A315" t="s">
        <v>710</v>
      </c>
      <c r="B315" t="s">
        <v>712</v>
      </c>
    </row>
    <row r="316" spans="1:2" x14ac:dyDescent="0.25">
      <c r="A316" t="s">
        <v>713</v>
      </c>
      <c r="B316" t="s">
        <v>714</v>
      </c>
    </row>
    <row r="317" spans="1:2" x14ac:dyDescent="0.25">
      <c r="A317" t="s">
        <v>1792</v>
      </c>
      <c r="B317" t="s">
        <v>716</v>
      </c>
    </row>
    <row r="318" spans="1:2" x14ac:dyDescent="0.25">
      <c r="A318" t="s">
        <v>1310</v>
      </c>
      <c r="B318" t="s">
        <v>1311</v>
      </c>
    </row>
    <row r="319" spans="1:2" x14ac:dyDescent="0.25">
      <c r="A319" t="s">
        <v>1312</v>
      </c>
      <c r="B319" t="s">
        <v>112</v>
      </c>
    </row>
    <row r="320" spans="1:2" x14ac:dyDescent="0.25">
      <c r="A320" t="s">
        <v>1313</v>
      </c>
      <c r="B320" t="s">
        <v>112</v>
      </c>
    </row>
    <row r="321" spans="1:2" x14ac:dyDescent="0.25">
      <c r="A321" t="s">
        <v>110</v>
      </c>
      <c r="B321" t="s">
        <v>112</v>
      </c>
    </row>
    <row r="322" spans="1:2" x14ac:dyDescent="0.25">
      <c r="A322" t="s">
        <v>717</v>
      </c>
      <c r="B322" t="s">
        <v>112</v>
      </c>
    </row>
    <row r="323" spans="1:2" x14ac:dyDescent="0.25">
      <c r="A323" t="s">
        <v>1314</v>
      </c>
      <c r="B323" t="s">
        <v>112</v>
      </c>
    </row>
    <row r="324" spans="1:2" x14ac:dyDescent="0.25">
      <c r="A324" t="s">
        <v>1315</v>
      </c>
      <c r="B324" t="s">
        <v>112</v>
      </c>
    </row>
    <row r="325" spans="1:2" x14ac:dyDescent="0.25">
      <c r="A325" t="s">
        <v>1316</v>
      </c>
      <c r="B325" t="s">
        <v>112</v>
      </c>
    </row>
    <row r="326" spans="1:2" x14ac:dyDescent="0.25">
      <c r="A326" t="s">
        <v>1317</v>
      </c>
      <c r="B326" t="s">
        <v>112</v>
      </c>
    </row>
    <row r="327" spans="1:2" x14ac:dyDescent="0.25">
      <c r="A327" t="s">
        <v>718</v>
      </c>
      <c r="B327" t="s">
        <v>112</v>
      </c>
    </row>
    <row r="328" spans="1:2" x14ac:dyDescent="0.25">
      <c r="A328" t="s">
        <v>719</v>
      </c>
      <c r="B328" t="s">
        <v>112</v>
      </c>
    </row>
    <row r="329" spans="1:2" x14ac:dyDescent="0.25">
      <c r="A329" t="s">
        <v>1318</v>
      </c>
      <c r="B329" t="s">
        <v>112</v>
      </c>
    </row>
    <row r="330" spans="1:2" x14ac:dyDescent="0.25">
      <c r="A330" t="s">
        <v>532</v>
      </c>
      <c r="B330" t="s">
        <v>112</v>
      </c>
    </row>
    <row r="331" spans="1:2" x14ac:dyDescent="0.25">
      <c r="A331" t="s">
        <v>1319</v>
      </c>
      <c r="B331" t="s">
        <v>112</v>
      </c>
    </row>
    <row r="332" spans="1:2" x14ac:dyDescent="0.25">
      <c r="A332" t="s">
        <v>1793</v>
      </c>
      <c r="B332" t="s">
        <v>87</v>
      </c>
    </row>
    <row r="333" spans="1:2" x14ac:dyDescent="0.25">
      <c r="A333" t="s">
        <v>1794</v>
      </c>
      <c r="B333" t="s">
        <v>87</v>
      </c>
    </row>
    <row r="334" spans="1:2" x14ac:dyDescent="0.25">
      <c r="A334" t="s">
        <v>1795</v>
      </c>
      <c r="B334" t="s">
        <v>87</v>
      </c>
    </row>
    <row r="335" spans="1:2" x14ac:dyDescent="0.25">
      <c r="A335" t="s">
        <v>1796</v>
      </c>
      <c r="B335" t="s">
        <v>87</v>
      </c>
    </row>
    <row r="336" spans="1:2" x14ac:dyDescent="0.25">
      <c r="A336" t="s">
        <v>1797</v>
      </c>
      <c r="B336" t="s">
        <v>87</v>
      </c>
    </row>
    <row r="337" spans="1:2" x14ac:dyDescent="0.25">
      <c r="A337" t="s">
        <v>1798</v>
      </c>
      <c r="B337" t="s">
        <v>87</v>
      </c>
    </row>
    <row r="338" spans="1:2" x14ac:dyDescent="0.25">
      <c r="A338" t="s">
        <v>1799</v>
      </c>
      <c r="B338" t="s">
        <v>87</v>
      </c>
    </row>
    <row r="339" spans="1:2" x14ac:dyDescent="0.25">
      <c r="A339" t="s">
        <v>1800</v>
      </c>
      <c r="B339" t="s">
        <v>87</v>
      </c>
    </row>
    <row r="340" spans="1:2" x14ac:dyDescent="0.25">
      <c r="A340" t="s">
        <v>1801</v>
      </c>
      <c r="B340" t="s">
        <v>87</v>
      </c>
    </row>
    <row r="341" spans="1:2" x14ac:dyDescent="0.25">
      <c r="A341" t="s">
        <v>1802</v>
      </c>
      <c r="B341" t="s">
        <v>87</v>
      </c>
    </row>
    <row r="342" spans="1:2" x14ac:dyDescent="0.25">
      <c r="A342" t="s">
        <v>1803</v>
      </c>
      <c r="B342" t="s">
        <v>87</v>
      </c>
    </row>
    <row r="343" spans="1:2" x14ac:dyDescent="0.25">
      <c r="A343" t="s">
        <v>1804</v>
      </c>
      <c r="B343" t="s">
        <v>87</v>
      </c>
    </row>
    <row r="344" spans="1:2" x14ac:dyDescent="0.25">
      <c r="A344" t="s">
        <v>1805</v>
      </c>
      <c r="B344" t="s">
        <v>87</v>
      </c>
    </row>
    <row r="345" spans="1:2" x14ac:dyDescent="0.25">
      <c r="A345" t="s">
        <v>1806</v>
      </c>
      <c r="B345" t="s">
        <v>87</v>
      </c>
    </row>
    <row r="346" spans="1:2" x14ac:dyDescent="0.25">
      <c r="A346" t="s">
        <v>1807</v>
      </c>
      <c r="B346" t="s">
        <v>87</v>
      </c>
    </row>
    <row r="347" spans="1:2" x14ac:dyDescent="0.25">
      <c r="A347" t="s">
        <v>1808</v>
      </c>
      <c r="B347" t="s">
        <v>87</v>
      </c>
    </row>
    <row r="348" spans="1:2" x14ac:dyDescent="0.25">
      <c r="A348" t="s">
        <v>1809</v>
      </c>
      <c r="B348" t="s">
        <v>87</v>
      </c>
    </row>
    <row r="349" spans="1:2" x14ac:dyDescent="0.25">
      <c r="A349" t="s">
        <v>1810</v>
      </c>
      <c r="B349" t="s">
        <v>87</v>
      </c>
    </row>
    <row r="350" spans="1:2" x14ac:dyDescent="0.25">
      <c r="A350" t="s">
        <v>1811</v>
      </c>
      <c r="B350" t="s">
        <v>87</v>
      </c>
    </row>
    <row r="351" spans="1:2" x14ac:dyDescent="0.25">
      <c r="A351" t="s">
        <v>1812</v>
      </c>
      <c r="B351" t="s">
        <v>87</v>
      </c>
    </row>
    <row r="352" spans="1:2" x14ac:dyDescent="0.25">
      <c r="A352" t="s">
        <v>1813</v>
      </c>
      <c r="B352" t="s">
        <v>87</v>
      </c>
    </row>
    <row r="353" spans="1:2" x14ac:dyDescent="0.25">
      <c r="A353" t="s">
        <v>1814</v>
      </c>
      <c r="B353" t="s">
        <v>87</v>
      </c>
    </row>
    <row r="354" spans="1:2" x14ac:dyDescent="0.25">
      <c r="A354" t="s">
        <v>1815</v>
      </c>
      <c r="B354" t="s">
        <v>87</v>
      </c>
    </row>
    <row r="355" spans="1:2" x14ac:dyDescent="0.25">
      <c r="A355" t="s">
        <v>1816</v>
      </c>
      <c r="B355" t="s">
        <v>87</v>
      </c>
    </row>
    <row r="356" spans="1:2" x14ac:dyDescent="0.25">
      <c r="A356" t="s">
        <v>1817</v>
      </c>
      <c r="B356" t="s">
        <v>87</v>
      </c>
    </row>
    <row r="357" spans="1:2" x14ac:dyDescent="0.25">
      <c r="A357" t="s">
        <v>1818</v>
      </c>
      <c r="B357" t="s">
        <v>87</v>
      </c>
    </row>
    <row r="358" spans="1:2" x14ac:dyDescent="0.25">
      <c r="A358" t="s">
        <v>1819</v>
      </c>
      <c r="B358" t="s">
        <v>87</v>
      </c>
    </row>
    <row r="359" spans="1:2" x14ac:dyDescent="0.25">
      <c r="A359" t="s">
        <v>1820</v>
      </c>
      <c r="B359" t="s">
        <v>87</v>
      </c>
    </row>
    <row r="360" spans="1:2" x14ac:dyDescent="0.25">
      <c r="A360" t="s">
        <v>1821</v>
      </c>
      <c r="B360" t="s">
        <v>87</v>
      </c>
    </row>
    <row r="361" spans="1:2" x14ac:dyDescent="0.25">
      <c r="A361" t="s">
        <v>1822</v>
      </c>
      <c r="B361" t="s">
        <v>87</v>
      </c>
    </row>
    <row r="362" spans="1:2" x14ac:dyDescent="0.25">
      <c r="A362" t="s">
        <v>1823</v>
      </c>
      <c r="B362" t="s">
        <v>87</v>
      </c>
    </row>
    <row r="363" spans="1:2" x14ac:dyDescent="0.25">
      <c r="A363" t="s">
        <v>1824</v>
      </c>
      <c r="B363" t="s">
        <v>87</v>
      </c>
    </row>
    <row r="364" spans="1:2" x14ac:dyDescent="0.25">
      <c r="A364" t="s">
        <v>1825</v>
      </c>
      <c r="B364" t="s">
        <v>87</v>
      </c>
    </row>
    <row r="365" spans="1:2" x14ac:dyDescent="0.25">
      <c r="A365" t="s">
        <v>1826</v>
      </c>
      <c r="B365" t="s">
        <v>87</v>
      </c>
    </row>
    <row r="366" spans="1:2" x14ac:dyDescent="0.25">
      <c r="A366" t="s">
        <v>1827</v>
      </c>
      <c r="B366" t="s">
        <v>87</v>
      </c>
    </row>
    <row r="367" spans="1:2" x14ac:dyDescent="0.25">
      <c r="A367" t="s">
        <v>1828</v>
      </c>
      <c r="B367" t="s">
        <v>87</v>
      </c>
    </row>
    <row r="368" spans="1:2" x14ac:dyDescent="0.25">
      <c r="A368" t="s">
        <v>1829</v>
      </c>
      <c r="B368" t="s">
        <v>87</v>
      </c>
    </row>
    <row r="369" spans="1:2" x14ac:dyDescent="0.25">
      <c r="A369" t="s">
        <v>1830</v>
      </c>
      <c r="B369" t="s">
        <v>87</v>
      </c>
    </row>
    <row r="370" spans="1:2" x14ac:dyDescent="0.25">
      <c r="A370" t="s">
        <v>1831</v>
      </c>
      <c r="B370" t="s">
        <v>87</v>
      </c>
    </row>
    <row r="371" spans="1:2" x14ac:dyDescent="0.25">
      <c r="A371" t="s">
        <v>1832</v>
      </c>
      <c r="B371" t="s">
        <v>87</v>
      </c>
    </row>
    <row r="372" spans="1:2" x14ac:dyDescent="0.25">
      <c r="A372" t="s">
        <v>1833</v>
      </c>
      <c r="B372" t="s">
        <v>87</v>
      </c>
    </row>
    <row r="373" spans="1:2" x14ac:dyDescent="0.25">
      <c r="A373" t="s">
        <v>1834</v>
      </c>
      <c r="B373" t="s">
        <v>87</v>
      </c>
    </row>
    <row r="374" spans="1:2" x14ac:dyDescent="0.25">
      <c r="A374" t="s">
        <v>1835</v>
      </c>
      <c r="B374" t="s">
        <v>87</v>
      </c>
    </row>
    <row r="375" spans="1:2" x14ac:dyDescent="0.25">
      <c r="A375" t="s">
        <v>1836</v>
      </c>
      <c r="B375" t="s">
        <v>87</v>
      </c>
    </row>
    <row r="376" spans="1:2" x14ac:dyDescent="0.25">
      <c r="A376" t="s">
        <v>1837</v>
      </c>
      <c r="B376" t="s">
        <v>87</v>
      </c>
    </row>
    <row r="377" spans="1:2" x14ac:dyDescent="0.25">
      <c r="A377" t="s">
        <v>1838</v>
      </c>
      <c r="B377" t="s">
        <v>87</v>
      </c>
    </row>
    <row r="378" spans="1:2" x14ac:dyDescent="0.25">
      <c r="A378" t="s">
        <v>1839</v>
      </c>
      <c r="B378" t="s">
        <v>87</v>
      </c>
    </row>
    <row r="379" spans="1:2" x14ac:dyDescent="0.25">
      <c r="A379" t="s">
        <v>1840</v>
      </c>
      <c r="B379" t="s">
        <v>87</v>
      </c>
    </row>
    <row r="380" spans="1:2" x14ac:dyDescent="0.25">
      <c r="A380" t="s">
        <v>1841</v>
      </c>
      <c r="B380" t="s">
        <v>87</v>
      </c>
    </row>
    <row r="381" spans="1:2" x14ac:dyDescent="0.25">
      <c r="A381" t="s">
        <v>1842</v>
      </c>
      <c r="B381" t="s">
        <v>87</v>
      </c>
    </row>
    <row r="382" spans="1:2" x14ac:dyDescent="0.25">
      <c r="A382" t="s">
        <v>1843</v>
      </c>
      <c r="B382" t="s">
        <v>87</v>
      </c>
    </row>
    <row r="383" spans="1:2" x14ac:dyDescent="0.25">
      <c r="A383" t="s">
        <v>1844</v>
      </c>
      <c r="B383" t="s">
        <v>4132</v>
      </c>
    </row>
    <row r="384" spans="1:2" x14ac:dyDescent="0.25">
      <c r="A384" t="s">
        <v>1845</v>
      </c>
      <c r="B384" t="s">
        <v>4132</v>
      </c>
    </row>
    <row r="385" spans="1:2" x14ac:dyDescent="0.25">
      <c r="A385" t="s">
        <v>1846</v>
      </c>
      <c r="B385" t="s">
        <v>4132</v>
      </c>
    </row>
    <row r="386" spans="1:2" x14ac:dyDescent="0.25">
      <c r="A386" t="s">
        <v>1847</v>
      </c>
      <c r="B386" t="s">
        <v>4132</v>
      </c>
    </row>
    <row r="387" spans="1:2" x14ac:dyDescent="0.25">
      <c r="A387" t="s">
        <v>1848</v>
      </c>
      <c r="B387" t="s">
        <v>4132</v>
      </c>
    </row>
    <row r="388" spans="1:2" x14ac:dyDescent="0.25">
      <c r="A388" t="s">
        <v>1849</v>
      </c>
      <c r="B388" t="s">
        <v>4132</v>
      </c>
    </row>
    <row r="389" spans="1:2" x14ac:dyDescent="0.25">
      <c r="A389" t="s">
        <v>1850</v>
      </c>
      <c r="B389" t="s">
        <v>4132</v>
      </c>
    </row>
    <row r="390" spans="1:2" x14ac:dyDescent="0.25">
      <c r="A390" t="s">
        <v>1851</v>
      </c>
      <c r="B390" t="s">
        <v>4132</v>
      </c>
    </row>
    <row r="391" spans="1:2" x14ac:dyDescent="0.25">
      <c r="A391" t="s">
        <v>1852</v>
      </c>
      <c r="B391" t="s">
        <v>4132</v>
      </c>
    </row>
    <row r="392" spans="1:2" x14ac:dyDescent="0.25">
      <c r="A392" t="s">
        <v>1853</v>
      </c>
      <c r="B392" t="s">
        <v>4132</v>
      </c>
    </row>
    <row r="393" spans="1:2" x14ac:dyDescent="0.25">
      <c r="A393" t="s">
        <v>1854</v>
      </c>
      <c r="B393" t="s">
        <v>4132</v>
      </c>
    </row>
    <row r="394" spans="1:2" x14ac:dyDescent="0.25">
      <c r="A394" t="s">
        <v>1855</v>
      </c>
      <c r="B394" t="s">
        <v>4132</v>
      </c>
    </row>
    <row r="395" spans="1:2" x14ac:dyDescent="0.25">
      <c r="A395" t="s">
        <v>1856</v>
      </c>
      <c r="B395" t="s">
        <v>4132</v>
      </c>
    </row>
    <row r="396" spans="1:2" x14ac:dyDescent="0.25">
      <c r="A396" t="s">
        <v>1857</v>
      </c>
      <c r="B396" t="s">
        <v>4132</v>
      </c>
    </row>
    <row r="397" spans="1:2" x14ac:dyDescent="0.25">
      <c r="A397" t="s">
        <v>1858</v>
      </c>
      <c r="B397" t="s">
        <v>4132</v>
      </c>
    </row>
    <row r="398" spans="1:2" x14ac:dyDescent="0.25">
      <c r="A398" t="s">
        <v>1859</v>
      </c>
      <c r="B398" t="s">
        <v>4132</v>
      </c>
    </row>
    <row r="399" spans="1:2" x14ac:dyDescent="0.25">
      <c r="A399" t="s">
        <v>1860</v>
      </c>
      <c r="B399" t="s">
        <v>4132</v>
      </c>
    </row>
    <row r="400" spans="1:2" x14ac:dyDescent="0.25">
      <c r="A400" t="s">
        <v>1861</v>
      </c>
      <c r="B400" t="s">
        <v>4132</v>
      </c>
    </row>
    <row r="401" spans="1:2" x14ac:dyDescent="0.25">
      <c r="A401" t="s">
        <v>1862</v>
      </c>
      <c r="B401" t="s">
        <v>4132</v>
      </c>
    </row>
    <row r="402" spans="1:2" x14ac:dyDescent="0.25">
      <c r="A402" t="s">
        <v>1863</v>
      </c>
      <c r="B402" t="s">
        <v>4132</v>
      </c>
    </row>
    <row r="403" spans="1:2" x14ac:dyDescent="0.25">
      <c r="A403" t="s">
        <v>1864</v>
      </c>
      <c r="B403" t="s">
        <v>4132</v>
      </c>
    </row>
    <row r="404" spans="1:2" x14ac:dyDescent="0.25">
      <c r="A404" t="s">
        <v>1865</v>
      </c>
      <c r="B404" t="s">
        <v>4132</v>
      </c>
    </row>
    <row r="405" spans="1:2" x14ac:dyDescent="0.25">
      <c r="A405" t="s">
        <v>1866</v>
      </c>
      <c r="B405" t="s">
        <v>4132</v>
      </c>
    </row>
    <row r="406" spans="1:2" x14ac:dyDescent="0.25">
      <c r="A406" t="s">
        <v>1867</v>
      </c>
      <c r="B406" t="s">
        <v>4132</v>
      </c>
    </row>
    <row r="407" spans="1:2" x14ac:dyDescent="0.25">
      <c r="A407" t="s">
        <v>1868</v>
      </c>
      <c r="B407" t="s">
        <v>4132</v>
      </c>
    </row>
    <row r="408" spans="1:2" x14ac:dyDescent="0.25">
      <c r="A408" t="s">
        <v>1869</v>
      </c>
      <c r="B408" t="s">
        <v>4132</v>
      </c>
    </row>
    <row r="409" spans="1:2" x14ac:dyDescent="0.25">
      <c r="A409" t="s">
        <v>1870</v>
      </c>
      <c r="B409" t="s">
        <v>4132</v>
      </c>
    </row>
    <row r="410" spans="1:2" x14ac:dyDescent="0.25">
      <c r="A410" t="s">
        <v>1871</v>
      </c>
      <c r="B410" t="s">
        <v>4132</v>
      </c>
    </row>
    <row r="411" spans="1:2" x14ac:dyDescent="0.25">
      <c r="A411" t="s">
        <v>1872</v>
      </c>
      <c r="B411" t="s">
        <v>4132</v>
      </c>
    </row>
    <row r="412" spans="1:2" x14ac:dyDescent="0.25">
      <c r="A412" t="s">
        <v>1873</v>
      </c>
      <c r="B412" t="s">
        <v>4132</v>
      </c>
    </row>
    <row r="413" spans="1:2" x14ac:dyDescent="0.25">
      <c r="A413" t="s">
        <v>1874</v>
      </c>
      <c r="B413" t="s">
        <v>4132</v>
      </c>
    </row>
    <row r="414" spans="1:2" x14ac:dyDescent="0.25">
      <c r="A414" t="s">
        <v>1875</v>
      </c>
      <c r="B414" t="s">
        <v>4132</v>
      </c>
    </row>
    <row r="415" spans="1:2" x14ac:dyDescent="0.25">
      <c r="A415" t="s">
        <v>1876</v>
      </c>
      <c r="B415" t="s">
        <v>4132</v>
      </c>
    </row>
    <row r="416" spans="1:2" x14ac:dyDescent="0.25">
      <c r="A416" t="s">
        <v>1877</v>
      </c>
      <c r="B416" t="s">
        <v>4132</v>
      </c>
    </row>
    <row r="417" spans="1:2" x14ac:dyDescent="0.25">
      <c r="A417" t="s">
        <v>1878</v>
      </c>
      <c r="B417" t="s">
        <v>4132</v>
      </c>
    </row>
    <row r="418" spans="1:2" x14ac:dyDescent="0.25">
      <c r="A418" t="s">
        <v>1879</v>
      </c>
      <c r="B418" t="s">
        <v>4132</v>
      </c>
    </row>
    <row r="419" spans="1:2" x14ac:dyDescent="0.25">
      <c r="A419" t="s">
        <v>1880</v>
      </c>
      <c r="B419" t="s">
        <v>4132</v>
      </c>
    </row>
    <row r="420" spans="1:2" x14ac:dyDescent="0.25">
      <c r="A420" t="s">
        <v>1881</v>
      </c>
      <c r="B420" t="s">
        <v>4132</v>
      </c>
    </row>
    <row r="421" spans="1:2" x14ac:dyDescent="0.25">
      <c r="A421" t="s">
        <v>1882</v>
      </c>
      <c r="B421" t="s">
        <v>4132</v>
      </c>
    </row>
    <row r="422" spans="1:2" x14ac:dyDescent="0.25">
      <c r="A422" t="s">
        <v>1883</v>
      </c>
      <c r="B422" t="s">
        <v>4132</v>
      </c>
    </row>
    <row r="423" spans="1:2" x14ac:dyDescent="0.25">
      <c r="A423" t="s">
        <v>1884</v>
      </c>
      <c r="B423" t="s">
        <v>4132</v>
      </c>
    </row>
    <row r="424" spans="1:2" x14ac:dyDescent="0.25">
      <c r="A424" t="s">
        <v>1885</v>
      </c>
      <c r="B424" t="s">
        <v>4132</v>
      </c>
    </row>
    <row r="425" spans="1:2" x14ac:dyDescent="0.25">
      <c r="A425" t="s">
        <v>1886</v>
      </c>
      <c r="B425" t="s">
        <v>4132</v>
      </c>
    </row>
    <row r="426" spans="1:2" x14ac:dyDescent="0.25">
      <c r="A426" t="s">
        <v>1887</v>
      </c>
      <c r="B426" t="s">
        <v>4132</v>
      </c>
    </row>
    <row r="427" spans="1:2" x14ac:dyDescent="0.25">
      <c r="A427" t="s">
        <v>1888</v>
      </c>
      <c r="B427" t="s">
        <v>4132</v>
      </c>
    </row>
    <row r="428" spans="1:2" x14ac:dyDescent="0.25">
      <c r="A428" t="s">
        <v>1889</v>
      </c>
      <c r="B428" t="s">
        <v>4132</v>
      </c>
    </row>
    <row r="429" spans="1:2" x14ac:dyDescent="0.25">
      <c r="A429" t="s">
        <v>1890</v>
      </c>
      <c r="B429" t="s">
        <v>4132</v>
      </c>
    </row>
    <row r="430" spans="1:2" x14ac:dyDescent="0.25">
      <c r="A430" t="s">
        <v>1891</v>
      </c>
      <c r="B430" t="s">
        <v>4132</v>
      </c>
    </row>
    <row r="431" spans="1:2" x14ac:dyDescent="0.25">
      <c r="A431" t="s">
        <v>1892</v>
      </c>
      <c r="B431" t="s">
        <v>4132</v>
      </c>
    </row>
    <row r="432" spans="1:2" x14ac:dyDescent="0.25">
      <c r="A432" t="s">
        <v>1893</v>
      </c>
      <c r="B432" t="s">
        <v>4132</v>
      </c>
    </row>
    <row r="433" spans="1:2" x14ac:dyDescent="0.25">
      <c r="A433" t="s">
        <v>1894</v>
      </c>
      <c r="B433" t="s">
        <v>4132</v>
      </c>
    </row>
    <row r="434" spans="1:2" x14ac:dyDescent="0.25">
      <c r="A434" t="s">
        <v>1895</v>
      </c>
      <c r="B434" t="s">
        <v>4132</v>
      </c>
    </row>
    <row r="435" spans="1:2" x14ac:dyDescent="0.25">
      <c r="A435" t="s">
        <v>1896</v>
      </c>
      <c r="B435" t="s">
        <v>4132</v>
      </c>
    </row>
    <row r="436" spans="1:2" x14ac:dyDescent="0.25">
      <c r="A436" t="s">
        <v>1897</v>
      </c>
      <c r="B436" t="s">
        <v>4132</v>
      </c>
    </row>
    <row r="437" spans="1:2" x14ac:dyDescent="0.25">
      <c r="A437" t="s">
        <v>1898</v>
      </c>
      <c r="B437" t="s">
        <v>4132</v>
      </c>
    </row>
    <row r="438" spans="1:2" x14ac:dyDescent="0.25">
      <c r="A438" t="s">
        <v>1899</v>
      </c>
      <c r="B438" t="s">
        <v>4132</v>
      </c>
    </row>
    <row r="439" spans="1:2" x14ac:dyDescent="0.25">
      <c r="A439" t="s">
        <v>1900</v>
      </c>
      <c r="B439" t="s">
        <v>4132</v>
      </c>
    </row>
    <row r="440" spans="1:2" x14ac:dyDescent="0.25">
      <c r="A440" t="s">
        <v>1901</v>
      </c>
      <c r="B440" t="s">
        <v>4132</v>
      </c>
    </row>
    <row r="441" spans="1:2" x14ac:dyDescent="0.25">
      <c r="A441" t="s">
        <v>1902</v>
      </c>
      <c r="B441" t="s">
        <v>4132</v>
      </c>
    </row>
    <row r="442" spans="1:2" x14ac:dyDescent="0.25">
      <c r="A442" t="s">
        <v>1903</v>
      </c>
      <c r="B442" t="s">
        <v>4132</v>
      </c>
    </row>
    <row r="443" spans="1:2" x14ac:dyDescent="0.25">
      <c r="A443" t="s">
        <v>1904</v>
      </c>
      <c r="B443" t="s">
        <v>4132</v>
      </c>
    </row>
    <row r="444" spans="1:2" x14ac:dyDescent="0.25">
      <c r="A444" t="s">
        <v>1905</v>
      </c>
      <c r="B444" t="s">
        <v>4132</v>
      </c>
    </row>
    <row r="445" spans="1:2" x14ac:dyDescent="0.25">
      <c r="A445" t="s">
        <v>1906</v>
      </c>
      <c r="B445" t="s">
        <v>4132</v>
      </c>
    </row>
    <row r="446" spans="1:2" x14ac:dyDescent="0.25">
      <c r="A446" t="s">
        <v>1907</v>
      </c>
      <c r="B446" t="s">
        <v>4132</v>
      </c>
    </row>
    <row r="447" spans="1:2" x14ac:dyDescent="0.25">
      <c r="A447" t="s">
        <v>1908</v>
      </c>
      <c r="B447" t="s">
        <v>4132</v>
      </c>
    </row>
    <row r="448" spans="1:2" x14ac:dyDescent="0.25">
      <c r="A448" t="s">
        <v>1909</v>
      </c>
      <c r="B448" t="s">
        <v>4132</v>
      </c>
    </row>
    <row r="449" spans="1:2" x14ac:dyDescent="0.25">
      <c r="A449" t="s">
        <v>1910</v>
      </c>
      <c r="B449" t="s">
        <v>4132</v>
      </c>
    </row>
    <row r="450" spans="1:2" x14ac:dyDescent="0.25">
      <c r="A450" t="s">
        <v>1911</v>
      </c>
      <c r="B450" t="s">
        <v>4132</v>
      </c>
    </row>
    <row r="451" spans="1:2" x14ac:dyDescent="0.25">
      <c r="A451" t="s">
        <v>1912</v>
      </c>
      <c r="B451" t="s">
        <v>4132</v>
      </c>
    </row>
    <row r="452" spans="1:2" x14ac:dyDescent="0.25">
      <c r="A452" t="s">
        <v>1913</v>
      </c>
      <c r="B452" t="s">
        <v>4132</v>
      </c>
    </row>
    <row r="453" spans="1:2" x14ac:dyDescent="0.25">
      <c r="A453" t="s">
        <v>1914</v>
      </c>
      <c r="B453" t="s">
        <v>4132</v>
      </c>
    </row>
    <row r="454" spans="1:2" x14ac:dyDescent="0.25">
      <c r="A454" t="s">
        <v>1915</v>
      </c>
      <c r="B454" t="s">
        <v>4132</v>
      </c>
    </row>
    <row r="455" spans="1:2" x14ac:dyDescent="0.25">
      <c r="A455" t="s">
        <v>1916</v>
      </c>
      <c r="B455" t="s">
        <v>4132</v>
      </c>
    </row>
    <row r="456" spans="1:2" x14ac:dyDescent="0.25">
      <c r="A456" t="s">
        <v>1917</v>
      </c>
      <c r="B456" t="s">
        <v>4132</v>
      </c>
    </row>
    <row r="457" spans="1:2" x14ac:dyDescent="0.25">
      <c r="A457" t="s">
        <v>1918</v>
      </c>
      <c r="B457" t="s">
        <v>4132</v>
      </c>
    </row>
    <row r="458" spans="1:2" x14ac:dyDescent="0.25">
      <c r="A458" t="s">
        <v>1919</v>
      </c>
      <c r="B458" t="s">
        <v>4132</v>
      </c>
    </row>
    <row r="459" spans="1:2" x14ac:dyDescent="0.25">
      <c r="A459" t="s">
        <v>1920</v>
      </c>
      <c r="B459" t="s">
        <v>4132</v>
      </c>
    </row>
    <row r="460" spans="1:2" x14ac:dyDescent="0.25">
      <c r="A460" t="s">
        <v>1921</v>
      </c>
      <c r="B460" t="s">
        <v>4132</v>
      </c>
    </row>
    <row r="461" spans="1:2" x14ac:dyDescent="0.25">
      <c r="A461" t="s">
        <v>1922</v>
      </c>
      <c r="B461" t="s">
        <v>4132</v>
      </c>
    </row>
    <row r="462" spans="1:2" x14ac:dyDescent="0.25">
      <c r="A462" t="s">
        <v>1923</v>
      </c>
      <c r="B462" t="s">
        <v>4132</v>
      </c>
    </row>
    <row r="463" spans="1:2" x14ac:dyDescent="0.25">
      <c r="A463" t="s">
        <v>1924</v>
      </c>
      <c r="B463" t="s">
        <v>4132</v>
      </c>
    </row>
    <row r="464" spans="1:2" x14ac:dyDescent="0.25">
      <c r="A464" t="s">
        <v>1925</v>
      </c>
      <c r="B464" t="s">
        <v>4132</v>
      </c>
    </row>
    <row r="465" spans="1:2" x14ac:dyDescent="0.25">
      <c r="A465" t="s">
        <v>1926</v>
      </c>
      <c r="B465" t="s">
        <v>4132</v>
      </c>
    </row>
    <row r="466" spans="1:2" x14ac:dyDescent="0.25">
      <c r="A466" t="s">
        <v>1927</v>
      </c>
      <c r="B466" t="s">
        <v>4132</v>
      </c>
    </row>
    <row r="467" spans="1:2" x14ac:dyDescent="0.25">
      <c r="A467" t="s">
        <v>1928</v>
      </c>
      <c r="B467" t="s">
        <v>4132</v>
      </c>
    </row>
    <row r="468" spans="1:2" x14ac:dyDescent="0.25">
      <c r="A468" t="s">
        <v>1929</v>
      </c>
      <c r="B468" t="s">
        <v>4132</v>
      </c>
    </row>
    <row r="469" spans="1:2" x14ac:dyDescent="0.25">
      <c r="A469" t="s">
        <v>1930</v>
      </c>
      <c r="B469" t="s">
        <v>4132</v>
      </c>
    </row>
    <row r="470" spans="1:2" x14ac:dyDescent="0.25">
      <c r="A470" t="s">
        <v>1931</v>
      </c>
      <c r="B470" t="s">
        <v>4132</v>
      </c>
    </row>
    <row r="471" spans="1:2" x14ac:dyDescent="0.25">
      <c r="A471" t="s">
        <v>1932</v>
      </c>
      <c r="B471" t="s">
        <v>4132</v>
      </c>
    </row>
    <row r="472" spans="1:2" x14ac:dyDescent="0.25">
      <c r="A472" t="s">
        <v>1933</v>
      </c>
      <c r="B472" t="s">
        <v>4132</v>
      </c>
    </row>
    <row r="473" spans="1:2" x14ac:dyDescent="0.25">
      <c r="A473" t="s">
        <v>1934</v>
      </c>
      <c r="B473" t="s">
        <v>4132</v>
      </c>
    </row>
    <row r="474" spans="1:2" x14ac:dyDescent="0.25">
      <c r="A474" t="s">
        <v>1935</v>
      </c>
      <c r="B474" t="s">
        <v>4132</v>
      </c>
    </row>
    <row r="475" spans="1:2" x14ac:dyDescent="0.25">
      <c r="A475" t="s">
        <v>1936</v>
      </c>
      <c r="B475" t="s">
        <v>4132</v>
      </c>
    </row>
    <row r="476" spans="1:2" x14ac:dyDescent="0.25">
      <c r="A476" t="s">
        <v>1937</v>
      </c>
      <c r="B476" t="s">
        <v>4132</v>
      </c>
    </row>
    <row r="477" spans="1:2" x14ac:dyDescent="0.25">
      <c r="A477" t="s">
        <v>1938</v>
      </c>
      <c r="B477" t="s">
        <v>4132</v>
      </c>
    </row>
    <row r="478" spans="1:2" x14ac:dyDescent="0.25">
      <c r="A478" t="s">
        <v>1939</v>
      </c>
      <c r="B478" t="s">
        <v>4132</v>
      </c>
    </row>
    <row r="479" spans="1:2" x14ac:dyDescent="0.25">
      <c r="A479" t="s">
        <v>1940</v>
      </c>
      <c r="B479" t="s">
        <v>4132</v>
      </c>
    </row>
    <row r="480" spans="1:2" x14ac:dyDescent="0.25">
      <c r="A480" t="s">
        <v>1941</v>
      </c>
      <c r="B480" t="s">
        <v>4132</v>
      </c>
    </row>
    <row r="481" spans="1:2" x14ac:dyDescent="0.25">
      <c r="A481" t="s">
        <v>1942</v>
      </c>
      <c r="B481" t="s">
        <v>4132</v>
      </c>
    </row>
    <row r="482" spans="1:2" x14ac:dyDescent="0.25">
      <c r="A482" t="s">
        <v>1943</v>
      </c>
      <c r="B482" t="s">
        <v>4132</v>
      </c>
    </row>
    <row r="483" spans="1:2" x14ac:dyDescent="0.25">
      <c r="A483" t="s">
        <v>1944</v>
      </c>
      <c r="B483" t="s">
        <v>4132</v>
      </c>
    </row>
    <row r="484" spans="1:2" x14ac:dyDescent="0.25">
      <c r="A484" t="s">
        <v>1945</v>
      </c>
      <c r="B484" t="s">
        <v>4132</v>
      </c>
    </row>
    <row r="485" spans="1:2" x14ac:dyDescent="0.25">
      <c r="A485" t="s">
        <v>1946</v>
      </c>
      <c r="B485" t="s">
        <v>4132</v>
      </c>
    </row>
    <row r="486" spans="1:2" x14ac:dyDescent="0.25">
      <c r="A486" t="s">
        <v>1947</v>
      </c>
      <c r="B486" t="s">
        <v>4132</v>
      </c>
    </row>
    <row r="487" spans="1:2" x14ac:dyDescent="0.25">
      <c r="A487" t="s">
        <v>1948</v>
      </c>
      <c r="B487" t="s">
        <v>4132</v>
      </c>
    </row>
    <row r="488" spans="1:2" x14ac:dyDescent="0.25">
      <c r="A488" t="s">
        <v>1949</v>
      </c>
      <c r="B488" t="s">
        <v>4132</v>
      </c>
    </row>
    <row r="489" spans="1:2" x14ac:dyDescent="0.25">
      <c r="A489" t="s">
        <v>1950</v>
      </c>
      <c r="B489" t="s">
        <v>4132</v>
      </c>
    </row>
    <row r="490" spans="1:2" x14ac:dyDescent="0.25">
      <c r="A490" t="s">
        <v>1951</v>
      </c>
      <c r="B490" t="s">
        <v>4132</v>
      </c>
    </row>
    <row r="491" spans="1:2" x14ac:dyDescent="0.25">
      <c r="A491" t="s">
        <v>1952</v>
      </c>
      <c r="B491" t="s">
        <v>4132</v>
      </c>
    </row>
    <row r="492" spans="1:2" x14ac:dyDescent="0.25">
      <c r="A492" t="s">
        <v>1953</v>
      </c>
      <c r="B492" t="s">
        <v>4132</v>
      </c>
    </row>
    <row r="493" spans="1:2" x14ac:dyDescent="0.25">
      <c r="A493" t="s">
        <v>1954</v>
      </c>
      <c r="B493" t="s">
        <v>4132</v>
      </c>
    </row>
    <row r="494" spans="1:2" x14ac:dyDescent="0.25">
      <c r="A494" t="s">
        <v>1955</v>
      </c>
      <c r="B494" t="s">
        <v>4132</v>
      </c>
    </row>
    <row r="495" spans="1:2" x14ac:dyDescent="0.25">
      <c r="A495" t="s">
        <v>1956</v>
      </c>
      <c r="B495" t="s">
        <v>4132</v>
      </c>
    </row>
    <row r="496" spans="1:2" x14ac:dyDescent="0.25">
      <c r="A496" t="s">
        <v>1957</v>
      </c>
      <c r="B496" t="s">
        <v>4132</v>
      </c>
    </row>
    <row r="497" spans="1:2" x14ac:dyDescent="0.25">
      <c r="A497" t="s">
        <v>1958</v>
      </c>
      <c r="B497" t="s">
        <v>4132</v>
      </c>
    </row>
    <row r="498" spans="1:2" x14ac:dyDescent="0.25">
      <c r="A498" t="s">
        <v>1959</v>
      </c>
      <c r="B498" t="s">
        <v>4132</v>
      </c>
    </row>
    <row r="499" spans="1:2" x14ac:dyDescent="0.25">
      <c r="A499" t="s">
        <v>1960</v>
      </c>
      <c r="B499" t="s">
        <v>4132</v>
      </c>
    </row>
    <row r="500" spans="1:2" x14ac:dyDescent="0.25">
      <c r="A500" t="s">
        <v>1961</v>
      </c>
      <c r="B500" t="s">
        <v>4132</v>
      </c>
    </row>
    <row r="501" spans="1:2" x14ac:dyDescent="0.25">
      <c r="A501" t="s">
        <v>1962</v>
      </c>
      <c r="B501" t="s">
        <v>4132</v>
      </c>
    </row>
    <row r="502" spans="1:2" x14ac:dyDescent="0.25">
      <c r="A502" t="s">
        <v>1963</v>
      </c>
      <c r="B502" t="s">
        <v>4132</v>
      </c>
    </row>
    <row r="503" spans="1:2" x14ac:dyDescent="0.25">
      <c r="A503" t="s">
        <v>1964</v>
      </c>
      <c r="B503" t="s">
        <v>4132</v>
      </c>
    </row>
    <row r="504" spans="1:2" x14ac:dyDescent="0.25">
      <c r="A504" t="s">
        <v>1965</v>
      </c>
      <c r="B504" t="s">
        <v>4132</v>
      </c>
    </row>
    <row r="505" spans="1:2" x14ac:dyDescent="0.25">
      <c r="A505" t="s">
        <v>1966</v>
      </c>
      <c r="B505" t="s">
        <v>4132</v>
      </c>
    </row>
    <row r="506" spans="1:2" x14ac:dyDescent="0.25">
      <c r="A506" t="s">
        <v>1967</v>
      </c>
      <c r="B506" t="s">
        <v>4132</v>
      </c>
    </row>
    <row r="507" spans="1:2" x14ac:dyDescent="0.25">
      <c r="A507" t="s">
        <v>1968</v>
      </c>
      <c r="B507" t="s">
        <v>4132</v>
      </c>
    </row>
    <row r="508" spans="1:2" x14ac:dyDescent="0.25">
      <c r="A508" t="s">
        <v>1969</v>
      </c>
      <c r="B508" t="s">
        <v>4132</v>
      </c>
    </row>
    <row r="509" spans="1:2" x14ac:dyDescent="0.25">
      <c r="A509" t="s">
        <v>1970</v>
      </c>
      <c r="B509" t="s">
        <v>4132</v>
      </c>
    </row>
    <row r="510" spans="1:2" x14ac:dyDescent="0.25">
      <c r="A510" t="s">
        <v>1971</v>
      </c>
      <c r="B510" t="s">
        <v>4132</v>
      </c>
    </row>
    <row r="511" spans="1:2" x14ac:dyDescent="0.25">
      <c r="A511" t="s">
        <v>1972</v>
      </c>
      <c r="B511" t="s">
        <v>4132</v>
      </c>
    </row>
    <row r="512" spans="1:2" x14ac:dyDescent="0.25">
      <c r="A512" t="s">
        <v>1973</v>
      </c>
      <c r="B512" t="s">
        <v>4132</v>
      </c>
    </row>
    <row r="513" spans="1:2" x14ac:dyDescent="0.25">
      <c r="A513" t="s">
        <v>1974</v>
      </c>
      <c r="B513" t="s">
        <v>4132</v>
      </c>
    </row>
    <row r="514" spans="1:2" x14ac:dyDescent="0.25">
      <c r="A514" t="s">
        <v>1975</v>
      </c>
      <c r="B514" t="s">
        <v>4132</v>
      </c>
    </row>
    <row r="515" spans="1:2" x14ac:dyDescent="0.25">
      <c r="A515" t="s">
        <v>1976</v>
      </c>
      <c r="B515" t="s">
        <v>4132</v>
      </c>
    </row>
    <row r="516" spans="1:2" x14ac:dyDescent="0.25">
      <c r="A516" t="s">
        <v>1977</v>
      </c>
      <c r="B516" t="s">
        <v>4132</v>
      </c>
    </row>
    <row r="517" spans="1:2" x14ac:dyDescent="0.25">
      <c r="A517" t="s">
        <v>1978</v>
      </c>
      <c r="B517" t="s">
        <v>4132</v>
      </c>
    </row>
    <row r="518" spans="1:2" x14ac:dyDescent="0.25">
      <c r="A518" t="s">
        <v>1979</v>
      </c>
      <c r="B518" t="s">
        <v>4132</v>
      </c>
    </row>
    <row r="519" spans="1:2" x14ac:dyDescent="0.25">
      <c r="A519" t="s">
        <v>1980</v>
      </c>
      <c r="B519" t="s">
        <v>4132</v>
      </c>
    </row>
    <row r="520" spans="1:2" x14ac:dyDescent="0.25">
      <c r="A520" t="s">
        <v>1981</v>
      </c>
      <c r="B520" t="s">
        <v>4132</v>
      </c>
    </row>
    <row r="521" spans="1:2" x14ac:dyDescent="0.25">
      <c r="A521" t="s">
        <v>1982</v>
      </c>
      <c r="B521" t="s">
        <v>4132</v>
      </c>
    </row>
    <row r="522" spans="1:2" x14ac:dyDescent="0.25">
      <c r="A522" t="s">
        <v>1983</v>
      </c>
      <c r="B522" t="s">
        <v>4132</v>
      </c>
    </row>
    <row r="523" spans="1:2" x14ac:dyDescent="0.25">
      <c r="A523" t="s">
        <v>1984</v>
      </c>
      <c r="B523" t="s">
        <v>4132</v>
      </c>
    </row>
    <row r="524" spans="1:2" x14ac:dyDescent="0.25">
      <c r="A524" t="s">
        <v>1985</v>
      </c>
      <c r="B524" t="s">
        <v>4132</v>
      </c>
    </row>
    <row r="525" spans="1:2" x14ac:dyDescent="0.25">
      <c r="A525" t="s">
        <v>1986</v>
      </c>
      <c r="B525" t="s">
        <v>4132</v>
      </c>
    </row>
    <row r="526" spans="1:2" x14ac:dyDescent="0.25">
      <c r="A526" t="s">
        <v>1987</v>
      </c>
      <c r="B526" t="s">
        <v>4132</v>
      </c>
    </row>
    <row r="527" spans="1:2" x14ac:dyDescent="0.25">
      <c r="A527" t="s">
        <v>1988</v>
      </c>
      <c r="B527" t="s">
        <v>4132</v>
      </c>
    </row>
    <row r="528" spans="1:2" x14ac:dyDescent="0.25">
      <c r="A528" t="s">
        <v>1989</v>
      </c>
      <c r="B528" t="s">
        <v>4132</v>
      </c>
    </row>
    <row r="529" spans="1:2" x14ac:dyDescent="0.25">
      <c r="A529" t="s">
        <v>1990</v>
      </c>
      <c r="B529" t="s">
        <v>4132</v>
      </c>
    </row>
    <row r="530" spans="1:2" x14ac:dyDescent="0.25">
      <c r="A530" t="s">
        <v>1991</v>
      </c>
      <c r="B530" t="s">
        <v>4132</v>
      </c>
    </row>
    <row r="531" spans="1:2" x14ac:dyDescent="0.25">
      <c r="A531" t="s">
        <v>1992</v>
      </c>
      <c r="B531" t="s">
        <v>4132</v>
      </c>
    </row>
    <row r="532" spans="1:2" x14ac:dyDescent="0.25">
      <c r="A532" t="s">
        <v>1993</v>
      </c>
      <c r="B532" t="s">
        <v>4132</v>
      </c>
    </row>
    <row r="533" spans="1:2" x14ac:dyDescent="0.25">
      <c r="A533" t="s">
        <v>1994</v>
      </c>
      <c r="B533" t="s">
        <v>4132</v>
      </c>
    </row>
    <row r="534" spans="1:2" x14ac:dyDescent="0.25">
      <c r="A534" t="s">
        <v>1995</v>
      </c>
      <c r="B534" t="s">
        <v>4132</v>
      </c>
    </row>
    <row r="535" spans="1:2" x14ac:dyDescent="0.25">
      <c r="A535" t="s">
        <v>1996</v>
      </c>
      <c r="B535" t="s">
        <v>4132</v>
      </c>
    </row>
    <row r="536" spans="1:2" x14ac:dyDescent="0.25">
      <c r="A536" t="s">
        <v>1997</v>
      </c>
      <c r="B536" t="s">
        <v>4132</v>
      </c>
    </row>
    <row r="537" spans="1:2" x14ac:dyDescent="0.25">
      <c r="A537" t="s">
        <v>1998</v>
      </c>
      <c r="B537" t="s">
        <v>4132</v>
      </c>
    </row>
    <row r="538" spans="1:2" x14ac:dyDescent="0.25">
      <c r="A538" t="s">
        <v>1999</v>
      </c>
      <c r="B538" t="s">
        <v>4132</v>
      </c>
    </row>
    <row r="539" spans="1:2" x14ac:dyDescent="0.25">
      <c r="A539" t="s">
        <v>2000</v>
      </c>
      <c r="B539" t="s">
        <v>4132</v>
      </c>
    </row>
    <row r="540" spans="1:2" x14ac:dyDescent="0.25">
      <c r="A540" t="s">
        <v>2001</v>
      </c>
      <c r="B540" t="s">
        <v>4132</v>
      </c>
    </row>
    <row r="541" spans="1:2" x14ac:dyDescent="0.25">
      <c r="A541" t="s">
        <v>2002</v>
      </c>
      <c r="B541" t="s">
        <v>4132</v>
      </c>
    </row>
    <row r="542" spans="1:2" x14ac:dyDescent="0.25">
      <c r="A542" t="s">
        <v>2003</v>
      </c>
      <c r="B542" t="s">
        <v>4132</v>
      </c>
    </row>
    <row r="543" spans="1:2" x14ac:dyDescent="0.25">
      <c r="A543" t="s">
        <v>2004</v>
      </c>
      <c r="B543" t="s">
        <v>4132</v>
      </c>
    </row>
    <row r="544" spans="1:2" x14ac:dyDescent="0.25">
      <c r="A544" t="s">
        <v>2005</v>
      </c>
      <c r="B544" t="s">
        <v>4132</v>
      </c>
    </row>
    <row r="545" spans="1:2" x14ac:dyDescent="0.25">
      <c r="A545" t="s">
        <v>2006</v>
      </c>
      <c r="B545" t="s">
        <v>4132</v>
      </c>
    </row>
    <row r="546" spans="1:2" x14ac:dyDescent="0.25">
      <c r="A546" t="s">
        <v>2007</v>
      </c>
      <c r="B546" t="s">
        <v>4132</v>
      </c>
    </row>
    <row r="547" spans="1:2" x14ac:dyDescent="0.25">
      <c r="A547" t="s">
        <v>2008</v>
      </c>
      <c r="B547" t="s">
        <v>4132</v>
      </c>
    </row>
    <row r="548" spans="1:2" x14ac:dyDescent="0.25">
      <c r="A548" t="s">
        <v>2009</v>
      </c>
      <c r="B548" t="s">
        <v>4132</v>
      </c>
    </row>
    <row r="549" spans="1:2" x14ac:dyDescent="0.25">
      <c r="A549" t="s">
        <v>2010</v>
      </c>
      <c r="B549" t="s">
        <v>4132</v>
      </c>
    </row>
    <row r="550" spans="1:2" x14ac:dyDescent="0.25">
      <c r="A550" t="s">
        <v>2011</v>
      </c>
      <c r="B550" t="s">
        <v>4132</v>
      </c>
    </row>
    <row r="551" spans="1:2" x14ac:dyDescent="0.25">
      <c r="A551" t="s">
        <v>2012</v>
      </c>
      <c r="B551" t="s">
        <v>4132</v>
      </c>
    </row>
    <row r="552" spans="1:2" x14ac:dyDescent="0.25">
      <c r="A552" t="s">
        <v>2013</v>
      </c>
      <c r="B552" t="s">
        <v>4132</v>
      </c>
    </row>
    <row r="553" spans="1:2" x14ac:dyDescent="0.25">
      <c r="A553" t="s">
        <v>2014</v>
      </c>
      <c r="B553" t="s">
        <v>4132</v>
      </c>
    </row>
    <row r="554" spans="1:2" x14ac:dyDescent="0.25">
      <c r="A554" t="s">
        <v>2015</v>
      </c>
      <c r="B554" t="s">
        <v>4132</v>
      </c>
    </row>
    <row r="555" spans="1:2" x14ac:dyDescent="0.25">
      <c r="A555" t="s">
        <v>2016</v>
      </c>
      <c r="B555" t="s">
        <v>4132</v>
      </c>
    </row>
    <row r="556" spans="1:2" x14ac:dyDescent="0.25">
      <c r="A556" t="s">
        <v>2017</v>
      </c>
      <c r="B556" t="s">
        <v>4132</v>
      </c>
    </row>
    <row r="557" spans="1:2" x14ac:dyDescent="0.25">
      <c r="A557" t="s">
        <v>2018</v>
      </c>
      <c r="B557" t="s">
        <v>4132</v>
      </c>
    </row>
    <row r="558" spans="1:2" x14ac:dyDescent="0.25">
      <c r="A558" t="s">
        <v>2019</v>
      </c>
      <c r="B558" t="s">
        <v>4132</v>
      </c>
    </row>
    <row r="559" spans="1:2" x14ac:dyDescent="0.25">
      <c r="A559" t="s">
        <v>2020</v>
      </c>
      <c r="B559" t="s">
        <v>4132</v>
      </c>
    </row>
    <row r="560" spans="1:2" x14ac:dyDescent="0.25">
      <c r="A560" t="s">
        <v>2021</v>
      </c>
      <c r="B560" t="s">
        <v>4132</v>
      </c>
    </row>
    <row r="561" spans="1:2" x14ac:dyDescent="0.25">
      <c r="A561" t="s">
        <v>2022</v>
      </c>
      <c r="B561" t="s">
        <v>4132</v>
      </c>
    </row>
    <row r="562" spans="1:2" x14ac:dyDescent="0.25">
      <c r="A562" t="s">
        <v>2023</v>
      </c>
      <c r="B562" t="s">
        <v>4132</v>
      </c>
    </row>
    <row r="563" spans="1:2" x14ac:dyDescent="0.25">
      <c r="A563" t="s">
        <v>2024</v>
      </c>
      <c r="B563" t="s">
        <v>4132</v>
      </c>
    </row>
    <row r="564" spans="1:2" x14ac:dyDescent="0.25">
      <c r="A564" t="s">
        <v>2025</v>
      </c>
      <c r="B564" t="s">
        <v>4132</v>
      </c>
    </row>
    <row r="565" spans="1:2" x14ac:dyDescent="0.25">
      <c r="A565" t="s">
        <v>2026</v>
      </c>
      <c r="B565" t="s">
        <v>4132</v>
      </c>
    </row>
    <row r="566" spans="1:2" x14ac:dyDescent="0.25">
      <c r="A566" t="s">
        <v>2027</v>
      </c>
      <c r="B566" t="s">
        <v>4132</v>
      </c>
    </row>
    <row r="567" spans="1:2" x14ac:dyDescent="0.25">
      <c r="A567" t="s">
        <v>2028</v>
      </c>
      <c r="B567" t="s">
        <v>4132</v>
      </c>
    </row>
    <row r="568" spans="1:2" x14ac:dyDescent="0.25">
      <c r="A568" t="s">
        <v>2029</v>
      </c>
      <c r="B568" t="s">
        <v>4132</v>
      </c>
    </row>
    <row r="569" spans="1:2" x14ac:dyDescent="0.25">
      <c r="A569" t="s">
        <v>2030</v>
      </c>
      <c r="B569" t="s">
        <v>4132</v>
      </c>
    </row>
    <row r="570" spans="1:2" x14ac:dyDescent="0.25">
      <c r="A570" t="s">
        <v>2031</v>
      </c>
      <c r="B570" t="s">
        <v>4132</v>
      </c>
    </row>
    <row r="571" spans="1:2" x14ac:dyDescent="0.25">
      <c r="A571" t="s">
        <v>2032</v>
      </c>
      <c r="B571" t="s">
        <v>4132</v>
      </c>
    </row>
    <row r="572" spans="1:2" x14ac:dyDescent="0.25">
      <c r="A572" t="s">
        <v>2033</v>
      </c>
      <c r="B572" t="s">
        <v>4132</v>
      </c>
    </row>
    <row r="573" spans="1:2" x14ac:dyDescent="0.25">
      <c r="A573" t="s">
        <v>2034</v>
      </c>
      <c r="B573" t="s">
        <v>4132</v>
      </c>
    </row>
    <row r="574" spans="1:2" x14ac:dyDescent="0.25">
      <c r="A574" t="s">
        <v>2035</v>
      </c>
      <c r="B574" t="s">
        <v>4132</v>
      </c>
    </row>
    <row r="575" spans="1:2" x14ac:dyDescent="0.25">
      <c r="A575" t="s">
        <v>2036</v>
      </c>
      <c r="B575" t="s">
        <v>4132</v>
      </c>
    </row>
    <row r="576" spans="1:2" x14ac:dyDescent="0.25">
      <c r="A576" t="s">
        <v>2037</v>
      </c>
      <c r="B576" t="s">
        <v>4132</v>
      </c>
    </row>
    <row r="577" spans="1:2" x14ac:dyDescent="0.25">
      <c r="A577" t="s">
        <v>2038</v>
      </c>
      <c r="B577" t="s">
        <v>4132</v>
      </c>
    </row>
    <row r="578" spans="1:2" x14ac:dyDescent="0.25">
      <c r="A578" t="s">
        <v>2039</v>
      </c>
      <c r="B578" t="s">
        <v>4132</v>
      </c>
    </row>
    <row r="579" spans="1:2" x14ac:dyDescent="0.25">
      <c r="A579" t="s">
        <v>2040</v>
      </c>
      <c r="B579" t="s">
        <v>4132</v>
      </c>
    </row>
    <row r="580" spans="1:2" x14ac:dyDescent="0.25">
      <c r="A580" t="s">
        <v>2041</v>
      </c>
      <c r="B580" t="s">
        <v>4132</v>
      </c>
    </row>
    <row r="581" spans="1:2" x14ac:dyDescent="0.25">
      <c r="A581" t="s">
        <v>2042</v>
      </c>
      <c r="B581" t="s">
        <v>4132</v>
      </c>
    </row>
    <row r="582" spans="1:2" x14ac:dyDescent="0.25">
      <c r="A582" t="s">
        <v>2043</v>
      </c>
      <c r="B582" t="s">
        <v>4132</v>
      </c>
    </row>
    <row r="583" spans="1:2" x14ac:dyDescent="0.25">
      <c r="A583" t="s">
        <v>2044</v>
      </c>
      <c r="B583" t="s">
        <v>4132</v>
      </c>
    </row>
    <row r="584" spans="1:2" x14ac:dyDescent="0.25">
      <c r="A584" t="s">
        <v>2045</v>
      </c>
      <c r="B584" t="s">
        <v>4132</v>
      </c>
    </row>
    <row r="585" spans="1:2" x14ac:dyDescent="0.25">
      <c r="A585" t="s">
        <v>2046</v>
      </c>
      <c r="B585" t="s">
        <v>4132</v>
      </c>
    </row>
    <row r="586" spans="1:2" x14ac:dyDescent="0.25">
      <c r="A586" t="s">
        <v>2047</v>
      </c>
      <c r="B586" t="s">
        <v>4132</v>
      </c>
    </row>
    <row r="587" spans="1:2" x14ac:dyDescent="0.25">
      <c r="A587" t="s">
        <v>2048</v>
      </c>
      <c r="B587" t="s">
        <v>4132</v>
      </c>
    </row>
    <row r="588" spans="1:2" x14ac:dyDescent="0.25">
      <c r="A588" t="s">
        <v>2049</v>
      </c>
      <c r="B588" t="s">
        <v>4132</v>
      </c>
    </row>
    <row r="589" spans="1:2" x14ac:dyDescent="0.25">
      <c r="A589" t="s">
        <v>2050</v>
      </c>
      <c r="B589" t="s">
        <v>4132</v>
      </c>
    </row>
    <row r="590" spans="1:2" x14ac:dyDescent="0.25">
      <c r="A590" t="s">
        <v>2051</v>
      </c>
      <c r="B590" t="s">
        <v>4132</v>
      </c>
    </row>
    <row r="591" spans="1:2" x14ac:dyDescent="0.25">
      <c r="A591" t="s">
        <v>2052</v>
      </c>
      <c r="B591" t="s">
        <v>4132</v>
      </c>
    </row>
    <row r="592" spans="1:2" x14ac:dyDescent="0.25">
      <c r="A592" t="s">
        <v>2053</v>
      </c>
      <c r="B592" t="s">
        <v>4132</v>
      </c>
    </row>
    <row r="593" spans="1:2" x14ac:dyDescent="0.25">
      <c r="A593" t="s">
        <v>2054</v>
      </c>
      <c r="B593" t="s">
        <v>4132</v>
      </c>
    </row>
    <row r="594" spans="1:2" x14ac:dyDescent="0.25">
      <c r="A594" t="s">
        <v>2055</v>
      </c>
      <c r="B594" t="s">
        <v>4132</v>
      </c>
    </row>
    <row r="595" spans="1:2" x14ac:dyDescent="0.25">
      <c r="A595" t="s">
        <v>2056</v>
      </c>
      <c r="B595" t="s">
        <v>4132</v>
      </c>
    </row>
    <row r="596" spans="1:2" x14ac:dyDescent="0.25">
      <c r="A596" t="s">
        <v>2057</v>
      </c>
      <c r="B596" t="s">
        <v>4132</v>
      </c>
    </row>
    <row r="597" spans="1:2" x14ac:dyDescent="0.25">
      <c r="A597" t="s">
        <v>2058</v>
      </c>
      <c r="B597" t="s">
        <v>4132</v>
      </c>
    </row>
    <row r="598" spans="1:2" x14ac:dyDescent="0.25">
      <c r="A598" t="s">
        <v>2059</v>
      </c>
      <c r="B598" t="s">
        <v>4132</v>
      </c>
    </row>
    <row r="599" spans="1:2" x14ac:dyDescent="0.25">
      <c r="A599" t="s">
        <v>2060</v>
      </c>
      <c r="B599" t="s">
        <v>4132</v>
      </c>
    </row>
    <row r="600" spans="1:2" x14ac:dyDescent="0.25">
      <c r="A600" t="s">
        <v>2061</v>
      </c>
      <c r="B600" t="s">
        <v>4132</v>
      </c>
    </row>
    <row r="601" spans="1:2" x14ac:dyDescent="0.25">
      <c r="A601" t="s">
        <v>2062</v>
      </c>
      <c r="B601" t="s">
        <v>4132</v>
      </c>
    </row>
    <row r="602" spans="1:2" x14ac:dyDescent="0.25">
      <c r="A602" t="s">
        <v>2063</v>
      </c>
      <c r="B602" t="s">
        <v>4132</v>
      </c>
    </row>
    <row r="603" spans="1:2" x14ac:dyDescent="0.25">
      <c r="A603" t="s">
        <v>2064</v>
      </c>
      <c r="B603" t="s">
        <v>4132</v>
      </c>
    </row>
    <row r="604" spans="1:2" x14ac:dyDescent="0.25">
      <c r="A604" t="s">
        <v>2065</v>
      </c>
      <c r="B604" t="s">
        <v>4132</v>
      </c>
    </row>
    <row r="605" spans="1:2" x14ac:dyDescent="0.25">
      <c r="A605" t="s">
        <v>2066</v>
      </c>
      <c r="B605" t="s">
        <v>4132</v>
      </c>
    </row>
    <row r="606" spans="1:2" x14ac:dyDescent="0.25">
      <c r="A606" t="s">
        <v>2067</v>
      </c>
      <c r="B606" t="s">
        <v>4132</v>
      </c>
    </row>
    <row r="607" spans="1:2" x14ac:dyDescent="0.25">
      <c r="A607" t="s">
        <v>2068</v>
      </c>
      <c r="B607" t="s">
        <v>4132</v>
      </c>
    </row>
    <row r="608" spans="1:2" x14ac:dyDescent="0.25">
      <c r="A608" t="s">
        <v>2069</v>
      </c>
      <c r="B608" t="s">
        <v>4132</v>
      </c>
    </row>
    <row r="609" spans="1:2" x14ac:dyDescent="0.25">
      <c r="A609" t="s">
        <v>2070</v>
      </c>
      <c r="B609" t="s">
        <v>4132</v>
      </c>
    </row>
    <row r="610" spans="1:2" x14ac:dyDescent="0.25">
      <c r="A610" t="s">
        <v>2071</v>
      </c>
      <c r="B610" t="s">
        <v>4132</v>
      </c>
    </row>
    <row r="611" spans="1:2" x14ac:dyDescent="0.25">
      <c r="A611" t="s">
        <v>2072</v>
      </c>
      <c r="B611" t="s">
        <v>4132</v>
      </c>
    </row>
    <row r="612" spans="1:2" x14ac:dyDescent="0.25">
      <c r="A612" t="s">
        <v>720</v>
      </c>
      <c r="B612" t="s">
        <v>4132</v>
      </c>
    </row>
    <row r="613" spans="1:2" x14ac:dyDescent="0.25">
      <c r="A613" t="s">
        <v>646</v>
      </c>
      <c r="B613" t="s">
        <v>4132</v>
      </c>
    </row>
    <row r="614" spans="1:2" x14ac:dyDescent="0.25">
      <c r="A614" t="s">
        <v>2073</v>
      </c>
      <c r="B614" t="s">
        <v>4132</v>
      </c>
    </row>
    <row r="615" spans="1:2" x14ac:dyDescent="0.25">
      <c r="A615" t="s">
        <v>2074</v>
      </c>
      <c r="B615" t="s">
        <v>4132</v>
      </c>
    </row>
    <row r="616" spans="1:2" x14ac:dyDescent="0.25">
      <c r="A616" t="s">
        <v>2075</v>
      </c>
      <c r="B616" t="s">
        <v>4132</v>
      </c>
    </row>
    <row r="617" spans="1:2" x14ac:dyDescent="0.25">
      <c r="A617" t="s">
        <v>2076</v>
      </c>
      <c r="B617" t="s">
        <v>4132</v>
      </c>
    </row>
    <row r="618" spans="1:2" x14ac:dyDescent="0.25">
      <c r="A618" t="s">
        <v>2077</v>
      </c>
      <c r="B618" t="s">
        <v>4132</v>
      </c>
    </row>
    <row r="619" spans="1:2" x14ac:dyDescent="0.25">
      <c r="A619" t="s">
        <v>2078</v>
      </c>
      <c r="B619" t="s">
        <v>4132</v>
      </c>
    </row>
    <row r="620" spans="1:2" x14ac:dyDescent="0.25">
      <c r="A620" t="s">
        <v>2079</v>
      </c>
      <c r="B620" t="s">
        <v>4132</v>
      </c>
    </row>
    <row r="621" spans="1:2" x14ac:dyDescent="0.25">
      <c r="A621" t="s">
        <v>2080</v>
      </c>
      <c r="B621" t="s">
        <v>4132</v>
      </c>
    </row>
    <row r="622" spans="1:2" x14ac:dyDescent="0.25">
      <c r="A622" t="s">
        <v>2081</v>
      </c>
      <c r="B622" t="s">
        <v>4132</v>
      </c>
    </row>
    <row r="623" spans="1:2" x14ac:dyDescent="0.25">
      <c r="A623" t="s">
        <v>2082</v>
      </c>
      <c r="B623" t="s">
        <v>4132</v>
      </c>
    </row>
    <row r="624" spans="1:2" x14ac:dyDescent="0.25">
      <c r="A624" t="s">
        <v>2083</v>
      </c>
      <c r="B624" t="s">
        <v>4132</v>
      </c>
    </row>
    <row r="625" spans="1:2" x14ac:dyDescent="0.25">
      <c r="A625" t="s">
        <v>2084</v>
      </c>
      <c r="B625" t="s">
        <v>4132</v>
      </c>
    </row>
    <row r="626" spans="1:2" x14ac:dyDescent="0.25">
      <c r="A626" t="s">
        <v>2085</v>
      </c>
      <c r="B626" t="s">
        <v>4132</v>
      </c>
    </row>
    <row r="627" spans="1:2" x14ac:dyDescent="0.25">
      <c r="A627" t="s">
        <v>2086</v>
      </c>
      <c r="B627" t="s">
        <v>4132</v>
      </c>
    </row>
    <row r="628" spans="1:2" x14ac:dyDescent="0.25">
      <c r="A628" t="s">
        <v>2087</v>
      </c>
      <c r="B628" t="s">
        <v>4132</v>
      </c>
    </row>
    <row r="629" spans="1:2" x14ac:dyDescent="0.25">
      <c r="A629" t="s">
        <v>2088</v>
      </c>
      <c r="B629" t="s">
        <v>4132</v>
      </c>
    </row>
    <row r="630" spans="1:2" x14ac:dyDescent="0.25">
      <c r="A630" t="s">
        <v>2089</v>
      </c>
      <c r="B630" t="s">
        <v>4132</v>
      </c>
    </row>
    <row r="631" spans="1:2" x14ac:dyDescent="0.25">
      <c r="A631" t="s">
        <v>2090</v>
      </c>
      <c r="B631" t="s">
        <v>4132</v>
      </c>
    </row>
    <row r="632" spans="1:2" x14ac:dyDescent="0.25">
      <c r="A632" t="s">
        <v>2091</v>
      </c>
      <c r="B632" t="s">
        <v>4132</v>
      </c>
    </row>
    <row r="633" spans="1:2" x14ac:dyDescent="0.25">
      <c r="A633" t="s">
        <v>2092</v>
      </c>
      <c r="B633" t="s">
        <v>4132</v>
      </c>
    </row>
    <row r="634" spans="1:2" x14ac:dyDescent="0.25">
      <c r="A634" t="s">
        <v>2093</v>
      </c>
      <c r="B634" t="s">
        <v>4132</v>
      </c>
    </row>
    <row r="635" spans="1:2" x14ac:dyDescent="0.25">
      <c r="A635" t="s">
        <v>2094</v>
      </c>
      <c r="B635" t="s">
        <v>4132</v>
      </c>
    </row>
    <row r="636" spans="1:2" x14ac:dyDescent="0.25">
      <c r="A636" t="s">
        <v>2095</v>
      </c>
      <c r="B636" t="s">
        <v>4132</v>
      </c>
    </row>
    <row r="637" spans="1:2" x14ac:dyDescent="0.25">
      <c r="A637" t="s">
        <v>2096</v>
      </c>
      <c r="B637" t="s">
        <v>4132</v>
      </c>
    </row>
    <row r="638" spans="1:2" x14ac:dyDescent="0.25">
      <c r="A638" t="s">
        <v>2097</v>
      </c>
      <c r="B638" t="s">
        <v>4132</v>
      </c>
    </row>
    <row r="639" spans="1:2" x14ac:dyDescent="0.25">
      <c r="A639" t="s">
        <v>2098</v>
      </c>
      <c r="B639" t="s">
        <v>4132</v>
      </c>
    </row>
    <row r="640" spans="1:2" x14ac:dyDescent="0.25">
      <c r="A640" t="s">
        <v>2099</v>
      </c>
      <c r="B640" t="s">
        <v>4132</v>
      </c>
    </row>
    <row r="641" spans="1:2" x14ac:dyDescent="0.25">
      <c r="A641" t="s">
        <v>2100</v>
      </c>
      <c r="B641" t="s">
        <v>4132</v>
      </c>
    </row>
    <row r="642" spans="1:2" x14ac:dyDescent="0.25">
      <c r="A642" t="s">
        <v>2101</v>
      </c>
      <c r="B642" t="s">
        <v>4132</v>
      </c>
    </row>
    <row r="643" spans="1:2" x14ac:dyDescent="0.25">
      <c r="A643" t="s">
        <v>2102</v>
      </c>
      <c r="B643" t="s">
        <v>4132</v>
      </c>
    </row>
    <row r="644" spans="1:2" x14ac:dyDescent="0.25">
      <c r="A644" t="s">
        <v>2103</v>
      </c>
      <c r="B644" t="s">
        <v>4132</v>
      </c>
    </row>
    <row r="645" spans="1:2" x14ac:dyDescent="0.25">
      <c r="A645" t="s">
        <v>722</v>
      </c>
      <c r="B645" t="s">
        <v>723</v>
      </c>
    </row>
    <row r="646" spans="1:2" x14ac:dyDescent="0.25">
      <c r="A646" t="s">
        <v>724</v>
      </c>
      <c r="B646" t="s">
        <v>723</v>
      </c>
    </row>
    <row r="647" spans="1:2" x14ac:dyDescent="0.25">
      <c r="A647" t="s">
        <v>2104</v>
      </c>
      <c r="B647" t="s">
        <v>281</v>
      </c>
    </row>
    <row r="648" spans="1:2" x14ac:dyDescent="0.25">
      <c r="A648" t="s">
        <v>2105</v>
      </c>
      <c r="B648" t="s">
        <v>725</v>
      </c>
    </row>
    <row r="649" spans="1:2" x14ac:dyDescent="0.25">
      <c r="A649" t="s">
        <v>2106</v>
      </c>
      <c r="B649" t="s">
        <v>725</v>
      </c>
    </row>
    <row r="650" spans="1:2" x14ac:dyDescent="0.25">
      <c r="A650" t="s">
        <v>2107</v>
      </c>
      <c r="B650" t="s">
        <v>726</v>
      </c>
    </row>
    <row r="651" spans="1:2" x14ac:dyDescent="0.25">
      <c r="A651" t="s">
        <v>727</v>
      </c>
      <c r="B651" t="s">
        <v>728</v>
      </c>
    </row>
    <row r="652" spans="1:2" x14ac:dyDescent="0.25">
      <c r="A652" t="s">
        <v>729</v>
      </c>
      <c r="B652" t="s">
        <v>728</v>
      </c>
    </row>
    <row r="653" spans="1:2" x14ac:dyDescent="0.25">
      <c r="A653" t="s">
        <v>126</v>
      </c>
      <c r="B653" t="s">
        <v>127</v>
      </c>
    </row>
    <row r="654" spans="1:2" x14ac:dyDescent="0.25">
      <c r="A654" t="s">
        <v>1320</v>
      </c>
      <c r="B654" t="s">
        <v>129</v>
      </c>
    </row>
    <row r="655" spans="1:2" x14ac:dyDescent="0.25">
      <c r="A655" t="s">
        <v>1321</v>
      </c>
      <c r="B655" t="s">
        <v>129</v>
      </c>
    </row>
    <row r="656" spans="1:2" x14ac:dyDescent="0.25">
      <c r="A656" t="s">
        <v>1322</v>
      </c>
      <c r="B656" t="s">
        <v>129</v>
      </c>
    </row>
    <row r="657" spans="1:2" x14ac:dyDescent="0.25">
      <c r="A657" t="s">
        <v>128</v>
      </c>
      <c r="B657" t="s">
        <v>129</v>
      </c>
    </row>
    <row r="658" spans="1:2" x14ac:dyDescent="0.25">
      <c r="A658" t="s">
        <v>730</v>
      </c>
      <c r="B658" t="s">
        <v>129</v>
      </c>
    </row>
    <row r="659" spans="1:2" x14ac:dyDescent="0.25">
      <c r="A659" t="s">
        <v>731</v>
      </c>
      <c r="B659" t="s">
        <v>129</v>
      </c>
    </row>
    <row r="660" spans="1:2" x14ac:dyDescent="0.25">
      <c r="A660" t="s">
        <v>732</v>
      </c>
      <c r="B660" t="s">
        <v>129</v>
      </c>
    </row>
    <row r="661" spans="1:2" x14ac:dyDescent="0.25">
      <c r="A661" t="s">
        <v>733</v>
      </c>
      <c r="B661" t="s">
        <v>129</v>
      </c>
    </row>
    <row r="662" spans="1:2" x14ac:dyDescent="0.25">
      <c r="A662" t="s">
        <v>1323</v>
      </c>
      <c r="B662" t="s">
        <v>129</v>
      </c>
    </row>
    <row r="663" spans="1:2" x14ac:dyDescent="0.25">
      <c r="A663" t="s">
        <v>734</v>
      </c>
      <c r="B663" t="s">
        <v>129</v>
      </c>
    </row>
    <row r="664" spans="1:2" x14ac:dyDescent="0.25">
      <c r="A664" t="s">
        <v>1324</v>
      </c>
      <c r="B664" t="s">
        <v>129</v>
      </c>
    </row>
    <row r="665" spans="1:2" x14ac:dyDescent="0.25">
      <c r="A665" t="s">
        <v>1325</v>
      </c>
      <c r="B665" t="s">
        <v>129</v>
      </c>
    </row>
    <row r="666" spans="1:2" x14ac:dyDescent="0.25">
      <c r="A666" t="s">
        <v>2108</v>
      </c>
      <c r="B666" t="s">
        <v>129</v>
      </c>
    </row>
    <row r="667" spans="1:2" x14ac:dyDescent="0.25">
      <c r="A667" t="s">
        <v>1326</v>
      </c>
      <c r="B667" t="s">
        <v>129</v>
      </c>
    </row>
    <row r="668" spans="1:2" x14ac:dyDescent="0.25">
      <c r="A668" t="s">
        <v>735</v>
      </c>
      <c r="B668" t="s">
        <v>736</v>
      </c>
    </row>
    <row r="669" spans="1:2" x14ac:dyDescent="0.25">
      <c r="A669" t="s">
        <v>737</v>
      </c>
      <c r="B669" t="s">
        <v>736</v>
      </c>
    </row>
    <row r="670" spans="1:2" x14ac:dyDescent="0.25">
      <c r="A670" t="s">
        <v>2109</v>
      </c>
      <c r="B670" t="s">
        <v>130</v>
      </c>
    </row>
    <row r="671" spans="1:2" x14ac:dyDescent="0.25">
      <c r="A671" t="s">
        <v>2110</v>
      </c>
      <c r="B671" t="s">
        <v>130</v>
      </c>
    </row>
    <row r="672" spans="1:2" x14ac:dyDescent="0.25">
      <c r="A672" t="s">
        <v>2111</v>
      </c>
      <c r="B672" t="s">
        <v>130</v>
      </c>
    </row>
    <row r="673" spans="1:2" x14ac:dyDescent="0.25">
      <c r="A673" t="s">
        <v>2112</v>
      </c>
      <c r="B673" t="s">
        <v>130</v>
      </c>
    </row>
    <row r="674" spans="1:2" x14ac:dyDescent="0.25">
      <c r="A674" t="s">
        <v>2113</v>
      </c>
      <c r="B674" t="s">
        <v>130</v>
      </c>
    </row>
    <row r="675" spans="1:2" x14ac:dyDescent="0.25">
      <c r="A675" t="s">
        <v>2114</v>
      </c>
      <c r="B675" t="s">
        <v>130</v>
      </c>
    </row>
    <row r="676" spans="1:2" x14ac:dyDescent="0.25">
      <c r="A676" t="s">
        <v>2115</v>
      </c>
      <c r="B676" t="s">
        <v>130</v>
      </c>
    </row>
    <row r="677" spans="1:2" x14ac:dyDescent="0.25">
      <c r="A677" t="s">
        <v>2116</v>
      </c>
      <c r="B677" t="s">
        <v>130</v>
      </c>
    </row>
    <row r="678" spans="1:2" x14ac:dyDescent="0.25">
      <c r="A678" t="s">
        <v>2117</v>
      </c>
      <c r="B678" t="s">
        <v>130</v>
      </c>
    </row>
    <row r="679" spans="1:2" x14ac:dyDescent="0.25">
      <c r="A679" t="s">
        <v>2118</v>
      </c>
      <c r="B679" t="s">
        <v>130</v>
      </c>
    </row>
    <row r="680" spans="1:2" x14ac:dyDescent="0.25">
      <c r="A680" t="s">
        <v>590</v>
      </c>
      <c r="B680" t="s">
        <v>591</v>
      </c>
    </row>
    <row r="681" spans="1:2" x14ac:dyDescent="0.25">
      <c r="A681" t="s">
        <v>2119</v>
      </c>
      <c r="B681" t="s">
        <v>591</v>
      </c>
    </row>
    <row r="682" spans="1:2" x14ac:dyDescent="0.25">
      <c r="A682" t="s">
        <v>2120</v>
      </c>
      <c r="B682" t="s">
        <v>591</v>
      </c>
    </row>
    <row r="683" spans="1:2" x14ac:dyDescent="0.25">
      <c r="A683" t="s">
        <v>2121</v>
      </c>
      <c r="B683" t="s">
        <v>591</v>
      </c>
    </row>
    <row r="684" spans="1:2" x14ac:dyDescent="0.25">
      <c r="A684" t="s">
        <v>2122</v>
      </c>
      <c r="B684" t="s">
        <v>591</v>
      </c>
    </row>
    <row r="685" spans="1:2" x14ac:dyDescent="0.25">
      <c r="A685" t="s">
        <v>2123</v>
      </c>
      <c r="B685" t="s">
        <v>591</v>
      </c>
    </row>
    <row r="686" spans="1:2" x14ac:dyDescent="0.25">
      <c r="A686" t="s">
        <v>2124</v>
      </c>
      <c r="B686" t="s">
        <v>591</v>
      </c>
    </row>
    <row r="687" spans="1:2" x14ac:dyDescent="0.25">
      <c r="A687" t="s">
        <v>2125</v>
      </c>
      <c r="B687" t="s">
        <v>591</v>
      </c>
    </row>
    <row r="688" spans="1:2" x14ac:dyDescent="0.25">
      <c r="A688" t="s">
        <v>2126</v>
      </c>
      <c r="B688" t="s">
        <v>591</v>
      </c>
    </row>
    <row r="689" spans="1:2" x14ac:dyDescent="0.25">
      <c r="A689" t="s">
        <v>2127</v>
      </c>
      <c r="B689" t="s">
        <v>591</v>
      </c>
    </row>
    <row r="690" spans="1:2" x14ac:dyDescent="0.25">
      <c r="A690" t="s">
        <v>2128</v>
      </c>
      <c r="B690" t="s">
        <v>591</v>
      </c>
    </row>
    <row r="691" spans="1:2" x14ac:dyDescent="0.25">
      <c r="A691" t="s">
        <v>2129</v>
      </c>
      <c r="B691" t="s">
        <v>591</v>
      </c>
    </row>
    <row r="692" spans="1:2" x14ac:dyDescent="0.25">
      <c r="A692" t="s">
        <v>2130</v>
      </c>
      <c r="B692" t="s">
        <v>591</v>
      </c>
    </row>
    <row r="693" spans="1:2" x14ac:dyDescent="0.25">
      <c r="A693" t="s">
        <v>2131</v>
      </c>
      <c r="B693" t="s">
        <v>591</v>
      </c>
    </row>
    <row r="694" spans="1:2" x14ac:dyDescent="0.25">
      <c r="A694" t="s">
        <v>2132</v>
      </c>
      <c r="B694" t="s">
        <v>591</v>
      </c>
    </row>
    <row r="695" spans="1:2" x14ac:dyDescent="0.25">
      <c r="A695" t="s">
        <v>2133</v>
      </c>
      <c r="B695" t="s">
        <v>591</v>
      </c>
    </row>
    <row r="696" spans="1:2" x14ac:dyDescent="0.25">
      <c r="A696" t="s">
        <v>2134</v>
      </c>
      <c r="B696" t="s">
        <v>591</v>
      </c>
    </row>
    <row r="697" spans="1:2" x14ac:dyDescent="0.25">
      <c r="A697" t="s">
        <v>2135</v>
      </c>
      <c r="B697" t="s">
        <v>591</v>
      </c>
    </row>
    <row r="698" spans="1:2" x14ac:dyDescent="0.25">
      <c r="A698" t="s">
        <v>2136</v>
      </c>
      <c r="B698" t="s">
        <v>591</v>
      </c>
    </row>
    <row r="699" spans="1:2" x14ac:dyDescent="0.25">
      <c r="A699" t="s">
        <v>592</v>
      </c>
      <c r="B699" t="s">
        <v>591</v>
      </c>
    </row>
    <row r="700" spans="1:2" x14ac:dyDescent="0.25">
      <c r="A700" t="s">
        <v>2137</v>
      </c>
      <c r="B700" t="s">
        <v>591</v>
      </c>
    </row>
    <row r="701" spans="1:2" x14ac:dyDescent="0.25">
      <c r="A701" t="s">
        <v>2138</v>
      </c>
      <c r="B701" t="s">
        <v>591</v>
      </c>
    </row>
    <row r="702" spans="1:2" x14ac:dyDescent="0.25">
      <c r="A702" t="s">
        <v>593</v>
      </c>
      <c r="B702" t="s">
        <v>591</v>
      </c>
    </row>
    <row r="703" spans="1:2" x14ac:dyDescent="0.25">
      <c r="A703" t="s">
        <v>2139</v>
      </c>
      <c r="B703" t="s">
        <v>591</v>
      </c>
    </row>
    <row r="704" spans="1:2" x14ac:dyDescent="0.25">
      <c r="A704" t="s">
        <v>594</v>
      </c>
      <c r="B704" t="s">
        <v>591</v>
      </c>
    </row>
    <row r="705" spans="1:2" x14ac:dyDescent="0.25">
      <c r="A705" t="s">
        <v>2140</v>
      </c>
      <c r="B705" t="s">
        <v>591</v>
      </c>
    </row>
    <row r="706" spans="1:2" x14ac:dyDescent="0.25">
      <c r="A706" t="s">
        <v>2141</v>
      </c>
      <c r="B706" t="s">
        <v>591</v>
      </c>
    </row>
    <row r="707" spans="1:2" x14ac:dyDescent="0.25">
      <c r="A707" t="s">
        <v>2142</v>
      </c>
      <c r="B707" t="s">
        <v>591</v>
      </c>
    </row>
    <row r="708" spans="1:2" x14ac:dyDescent="0.25">
      <c r="A708" t="s">
        <v>2143</v>
      </c>
      <c r="B708" t="s">
        <v>591</v>
      </c>
    </row>
    <row r="709" spans="1:2" x14ac:dyDescent="0.25">
      <c r="A709" t="s">
        <v>2144</v>
      </c>
      <c r="B709" t="s">
        <v>591</v>
      </c>
    </row>
    <row r="710" spans="1:2" x14ac:dyDescent="0.25">
      <c r="A710" t="s">
        <v>2145</v>
      </c>
      <c r="B710" t="s">
        <v>591</v>
      </c>
    </row>
    <row r="711" spans="1:2" x14ac:dyDescent="0.25">
      <c r="A711" t="s">
        <v>2146</v>
      </c>
      <c r="B711" t="s">
        <v>591</v>
      </c>
    </row>
    <row r="712" spans="1:2" x14ac:dyDescent="0.25">
      <c r="A712" t="s">
        <v>595</v>
      </c>
      <c r="B712" t="s">
        <v>591</v>
      </c>
    </row>
    <row r="713" spans="1:2" x14ac:dyDescent="0.25">
      <c r="A713" t="s">
        <v>2147</v>
      </c>
      <c r="B713" t="s">
        <v>591</v>
      </c>
    </row>
    <row r="714" spans="1:2" x14ac:dyDescent="0.25">
      <c r="A714" t="s">
        <v>2148</v>
      </c>
      <c r="B714" t="s">
        <v>591</v>
      </c>
    </row>
    <row r="715" spans="1:2" x14ac:dyDescent="0.25">
      <c r="A715" t="s">
        <v>2149</v>
      </c>
      <c r="B715" t="s">
        <v>591</v>
      </c>
    </row>
    <row r="716" spans="1:2" x14ac:dyDescent="0.25">
      <c r="A716" t="s">
        <v>2150</v>
      </c>
      <c r="B716" t="s">
        <v>591</v>
      </c>
    </row>
    <row r="717" spans="1:2" x14ac:dyDescent="0.25">
      <c r="A717" t="s">
        <v>2151</v>
      </c>
      <c r="B717" t="s">
        <v>591</v>
      </c>
    </row>
    <row r="718" spans="1:2" x14ac:dyDescent="0.25">
      <c r="A718" t="s">
        <v>2152</v>
      </c>
      <c r="B718" t="s">
        <v>591</v>
      </c>
    </row>
    <row r="719" spans="1:2" x14ac:dyDescent="0.25">
      <c r="A719" t="s">
        <v>2153</v>
      </c>
      <c r="B719" t="s">
        <v>591</v>
      </c>
    </row>
    <row r="720" spans="1:2" x14ac:dyDescent="0.25">
      <c r="A720" t="s">
        <v>596</v>
      </c>
      <c r="B720" t="s">
        <v>591</v>
      </c>
    </row>
    <row r="721" spans="1:2" x14ac:dyDescent="0.25">
      <c r="A721" t="s">
        <v>2154</v>
      </c>
      <c r="B721" t="s">
        <v>591</v>
      </c>
    </row>
    <row r="722" spans="1:2" x14ac:dyDescent="0.25">
      <c r="A722" t="s">
        <v>2155</v>
      </c>
      <c r="B722" t="s">
        <v>591</v>
      </c>
    </row>
    <row r="723" spans="1:2" x14ac:dyDescent="0.25">
      <c r="A723" t="s">
        <v>2156</v>
      </c>
      <c r="B723" t="s">
        <v>591</v>
      </c>
    </row>
    <row r="724" spans="1:2" x14ac:dyDescent="0.25">
      <c r="A724" t="s">
        <v>2157</v>
      </c>
      <c r="B724" t="s">
        <v>591</v>
      </c>
    </row>
    <row r="725" spans="1:2" x14ac:dyDescent="0.25">
      <c r="A725" t="s">
        <v>2158</v>
      </c>
      <c r="B725" t="s">
        <v>591</v>
      </c>
    </row>
    <row r="726" spans="1:2" x14ac:dyDescent="0.25">
      <c r="A726" t="s">
        <v>2159</v>
      </c>
      <c r="B726" t="s">
        <v>591</v>
      </c>
    </row>
    <row r="727" spans="1:2" x14ac:dyDescent="0.25">
      <c r="A727" t="s">
        <v>2160</v>
      </c>
      <c r="B727" t="s">
        <v>591</v>
      </c>
    </row>
    <row r="728" spans="1:2" x14ac:dyDescent="0.25">
      <c r="A728" t="s">
        <v>597</v>
      </c>
      <c r="B728" t="s">
        <v>591</v>
      </c>
    </row>
    <row r="729" spans="1:2" x14ac:dyDescent="0.25">
      <c r="A729" t="s">
        <v>2161</v>
      </c>
      <c r="B729" t="s">
        <v>591</v>
      </c>
    </row>
    <row r="730" spans="1:2" x14ac:dyDescent="0.25">
      <c r="A730" t="s">
        <v>2162</v>
      </c>
      <c r="B730" t="s">
        <v>591</v>
      </c>
    </row>
    <row r="731" spans="1:2" x14ac:dyDescent="0.25">
      <c r="A731" t="s">
        <v>2163</v>
      </c>
      <c r="B731" t="s">
        <v>591</v>
      </c>
    </row>
    <row r="732" spans="1:2" x14ac:dyDescent="0.25">
      <c r="A732" t="s">
        <v>2164</v>
      </c>
      <c r="B732" t="s">
        <v>591</v>
      </c>
    </row>
    <row r="733" spans="1:2" x14ac:dyDescent="0.25">
      <c r="A733" t="s">
        <v>2165</v>
      </c>
      <c r="B733" t="s">
        <v>591</v>
      </c>
    </row>
    <row r="734" spans="1:2" x14ac:dyDescent="0.25">
      <c r="A734" t="s">
        <v>2166</v>
      </c>
      <c r="B734" t="s">
        <v>591</v>
      </c>
    </row>
    <row r="735" spans="1:2" x14ac:dyDescent="0.25">
      <c r="A735" t="s">
        <v>2167</v>
      </c>
      <c r="B735" t="s">
        <v>591</v>
      </c>
    </row>
    <row r="736" spans="1:2" x14ac:dyDescent="0.25">
      <c r="A736" t="s">
        <v>598</v>
      </c>
      <c r="B736" t="s">
        <v>591</v>
      </c>
    </row>
    <row r="737" spans="1:2" x14ac:dyDescent="0.25">
      <c r="A737" t="s">
        <v>2168</v>
      </c>
      <c r="B737" t="s">
        <v>591</v>
      </c>
    </row>
    <row r="738" spans="1:2" x14ac:dyDescent="0.25">
      <c r="A738" t="s">
        <v>2169</v>
      </c>
      <c r="B738" t="s">
        <v>591</v>
      </c>
    </row>
    <row r="739" spans="1:2" x14ac:dyDescent="0.25">
      <c r="A739" t="s">
        <v>2170</v>
      </c>
      <c r="B739" t="s">
        <v>591</v>
      </c>
    </row>
    <row r="740" spans="1:2" x14ac:dyDescent="0.25">
      <c r="A740" t="s">
        <v>2171</v>
      </c>
      <c r="B740" t="s">
        <v>591</v>
      </c>
    </row>
    <row r="741" spans="1:2" x14ac:dyDescent="0.25">
      <c r="A741" t="s">
        <v>2172</v>
      </c>
      <c r="B741" t="s">
        <v>591</v>
      </c>
    </row>
    <row r="742" spans="1:2" x14ac:dyDescent="0.25">
      <c r="A742" t="s">
        <v>2173</v>
      </c>
      <c r="B742" t="s">
        <v>591</v>
      </c>
    </row>
    <row r="743" spans="1:2" x14ac:dyDescent="0.25">
      <c r="A743" t="s">
        <v>2174</v>
      </c>
      <c r="B743" t="s">
        <v>591</v>
      </c>
    </row>
    <row r="744" spans="1:2" x14ac:dyDescent="0.25">
      <c r="A744" t="s">
        <v>599</v>
      </c>
      <c r="B744" t="s">
        <v>591</v>
      </c>
    </row>
    <row r="745" spans="1:2" x14ac:dyDescent="0.25">
      <c r="A745" t="s">
        <v>2175</v>
      </c>
      <c r="B745" t="s">
        <v>591</v>
      </c>
    </row>
    <row r="746" spans="1:2" x14ac:dyDescent="0.25">
      <c r="A746" t="s">
        <v>2176</v>
      </c>
      <c r="B746" t="s">
        <v>591</v>
      </c>
    </row>
    <row r="747" spans="1:2" x14ac:dyDescent="0.25">
      <c r="A747" t="s">
        <v>2177</v>
      </c>
      <c r="B747" t="s">
        <v>591</v>
      </c>
    </row>
    <row r="748" spans="1:2" x14ac:dyDescent="0.25">
      <c r="A748" t="s">
        <v>2178</v>
      </c>
      <c r="B748" t="s">
        <v>591</v>
      </c>
    </row>
    <row r="749" spans="1:2" x14ac:dyDescent="0.25">
      <c r="A749" t="s">
        <v>2179</v>
      </c>
      <c r="B749" t="s">
        <v>591</v>
      </c>
    </row>
    <row r="750" spans="1:2" x14ac:dyDescent="0.25">
      <c r="A750" t="s">
        <v>2180</v>
      </c>
      <c r="B750" t="s">
        <v>591</v>
      </c>
    </row>
    <row r="751" spans="1:2" x14ac:dyDescent="0.25">
      <c r="A751" t="s">
        <v>2181</v>
      </c>
      <c r="B751" t="s">
        <v>591</v>
      </c>
    </row>
    <row r="752" spans="1:2" x14ac:dyDescent="0.25">
      <c r="A752" t="s">
        <v>741</v>
      </c>
      <c r="B752" t="s">
        <v>591</v>
      </c>
    </row>
    <row r="753" spans="1:2" x14ac:dyDescent="0.25">
      <c r="A753" t="s">
        <v>743</v>
      </c>
      <c r="B753" t="s">
        <v>591</v>
      </c>
    </row>
    <row r="754" spans="1:2" x14ac:dyDescent="0.25">
      <c r="A754" t="s">
        <v>744</v>
      </c>
      <c r="B754" t="s">
        <v>591</v>
      </c>
    </row>
    <row r="755" spans="1:2" x14ac:dyDescent="0.25">
      <c r="A755" t="s">
        <v>745</v>
      </c>
      <c r="B755" t="s">
        <v>591</v>
      </c>
    </row>
    <row r="756" spans="1:2" x14ac:dyDescent="0.25">
      <c r="A756" t="s">
        <v>746</v>
      </c>
      <c r="B756" t="s">
        <v>591</v>
      </c>
    </row>
    <row r="757" spans="1:2" x14ac:dyDescent="0.25">
      <c r="A757" t="s">
        <v>747</v>
      </c>
      <c r="B757" t="s">
        <v>591</v>
      </c>
    </row>
    <row r="758" spans="1:2" x14ac:dyDescent="0.25">
      <c r="A758" t="s">
        <v>748</v>
      </c>
      <c r="B758" t="s">
        <v>591</v>
      </c>
    </row>
    <row r="759" spans="1:2" x14ac:dyDescent="0.25">
      <c r="A759" t="s">
        <v>749</v>
      </c>
      <c r="B759" t="s">
        <v>591</v>
      </c>
    </row>
    <row r="760" spans="1:2" x14ac:dyDescent="0.25">
      <c r="A760" t="s">
        <v>750</v>
      </c>
      <c r="B760" t="s">
        <v>591</v>
      </c>
    </row>
    <row r="761" spans="1:2" x14ac:dyDescent="0.25">
      <c r="A761" t="s">
        <v>2182</v>
      </c>
      <c r="B761" t="s">
        <v>591</v>
      </c>
    </row>
    <row r="762" spans="1:2" x14ac:dyDescent="0.25">
      <c r="A762" t="s">
        <v>2183</v>
      </c>
      <c r="B762" t="s">
        <v>591</v>
      </c>
    </row>
    <row r="763" spans="1:2" x14ac:dyDescent="0.25">
      <c r="A763" t="s">
        <v>2184</v>
      </c>
      <c r="B763" t="s">
        <v>591</v>
      </c>
    </row>
    <row r="764" spans="1:2" x14ac:dyDescent="0.25">
      <c r="A764" t="s">
        <v>2185</v>
      </c>
      <c r="B764" t="s">
        <v>591</v>
      </c>
    </row>
    <row r="765" spans="1:2" x14ac:dyDescent="0.25">
      <c r="A765" t="s">
        <v>2186</v>
      </c>
      <c r="B765" t="s">
        <v>591</v>
      </c>
    </row>
    <row r="766" spans="1:2" x14ac:dyDescent="0.25">
      <c r="A766" t="s">
        <v>2187</v>
      </c>
      <c r="B766" t="s">
        <v>591</v>
      </c>
    </row>
    <row r="767" spans="1:2" x14ac:dyDescent="0.25">
      <c r="A767" t="s">
        <v>2188</v>
      </c>
      <c r="B767" t="s">
        <v>591</v>
      </c>
    </row>
    <row r="768" spans="1:2" x14ac:dyDescent="0.25">
      <c r="A768" t="s">
        <v>2189</v>
      </c>
      <c r="B768" t="s">
        <v>591</v>
      </c>
    </row>
    <row r="769" spans="1:2" x14ac:dyDescent="0.25">
      <c r="A769" t="s">
        <v>2190</v>
      </c>
      <c r="B769" t="s">
        <v>591</v>
      </c>
    </row>
    <row r="770" spans="1:2" x14ac:dyDescent="0.25">
      <c r="A770" t="s">
        <v>2191</v>
      </c>
      <c r="B770" t="s">
        <v>591</v>
      </c>
    </row>
    <row r="771" spans="1:2" x14ac:dyDescent="0.25">
      <c r="A771" t="s">
        <v>751</v>
      </c>
      <c r="B771" t="s">
        <v>591</v>
      </c>
    </row>
    <row r="772" spans="1:2" x14ac:dyDescent="0.25">
      <c r="A772" t="s">
        <v>2192</v>
      </c>
      <c r="B772" t="s">
        <v>591</v>
      </c>
    </row>
    <row r="773" spans="1:2" x14ac:dyDescent="0.25">
      <c r="A773" t="s">
        <v>2193</v>
      </c>
      <c r="B773" t="s">
        <v>591</v>
      </c>
    </row>
    <row r="774" spans="1:2" x14ac:dyDescent="0.25">
      <c r="A774" t="s">
        <v>2194</v>
      </c>
      <c r="B774" t="s">
        <v>591</v>
      </c>
    </row>
    <row r="775" spans="1:2" x14ac:dyDescent="0.25">
      <c r="A775" t="s">
        <v>2195</v>
      </c>
      <c r="B775" t="s">
        <v>591</v>
      </c>
    </row>
    <row r="776" spans="1:2" x14ac:dyDescent="0.25">
      <c r="A776" t="s">
        <v>2196</v>
      </c>
      <c r="B776" t="s">
        <v>591</v>
      </c>
    </row>
    <row r="777" spans="1:2" x14ac:dyDescent="0.25">
      <c r="A777" t="s">
        <v>2197</v>
      </c>
      <c r="B777" t="s">
        <v>591</v>
      </c>
    </row>
    <row r="778" spans="1:2" x14ac:dyDescent="0.25">
      <c r="A778" t="s">
        <v>2198</v>
      </c>
      <c r="B778" t="s">
        <v>591</v>
      </c>
    </row>
    <row r="779" spans="1:2" x14ac:dyDescent="0.25">
      <c r="A779" t="s">
        <v>2199</v>
      </c>
      <c r="B779" t="s">
        <v>591</v>
      </c>
    </row>
    <row r="780" spans="1:2" x14ac:dyDescent="0.25">
      <c r="A780" t="s">
        <v>752</v>
      </c>
      <c r="B780" t="s">
        <v>591</v>
      </c>
    </row>
    <row r="781" spans="1:2" x14ac:dyDescent="0.25">
      <c r="A781" t="s">
        <v>2200</v>
      </c>
      <c r="B781" t="s">
        <v>591</v>
      </c>
    </row>
    <row r="782" spans="1:2" x14ac:dyDescent="0.25">
      <c r="A782" t="s">
        <v>2201</v>
      </c>
      <c r="B782" t="s">
        <v>591</v>
      </c>
    </row>
    <row r="783" spans="1:2" x14ac:dyDescent="0.25">
      <c r="A783" t="s">
        <v>2202</v>
      </c>
      <c r="B783" t="s">
        <v>591</v>
      </c>
    </row>
    <row r="784" spans="1:2" x14ac:dyDescent="0.25">
      <c r="A784" t="s">
        <v>2203</v>
      </c>
      <c r="B784" t="s">
        <v>591</v>
      </c>
    </row>
    <row r="785" spans="1:2" x14ac:dyDescent="0.25">
      <c r="A785" t="s">
        <v>2204</v>
      </c>
      <c r="B785" t="s">
        <v>591</v>
      </c>
    </row>
    <row r="786" spans="1:2" x14ac:dyDescent="0.25">
      <c r="A786" t="s">
        <v>2205</v>
      </c>
      <c r="B786" t="s">
        <v>591</v>
      </c>
    </row>
    <row r="787" spans="1:2" x14ac:dyDescent="0.25">
      <c r="A787" t="s">
        <v>753</v>
      </c>
      <c r="B787" t="s">
        <v>591</v>
      </c>
    </row>
    <row r="788" spans="1:2" x14ac:dyDescent="0.25">
      <c r="A788" t="s">
        <v>2206</v>
      </c>
      <c r="B788" t="s">
        <v>591</v>
      </c>
    </row>
    <row r="789" spans="1:2" x14ac:dyDescent="0.25">
      <c r="A789" t="s">
        <v>2207</v>
      </c>
      <c r="B789" t="s">
        <v>591</v>
      </c>
    </row>
    <row r="790" spans="1:2" x14ac:dyDescent="0.25">
      <c r="A790" t="s">
        <v>2208</v>
      </c>
      <c r="B790" t="s">
        <v>591</v>
      </c>
    </row>
    <row r="791" spans="1:2" x14ac:dyDescent="0.25">
      <c r="A791" t="s">
        <v>2209</v>
      </c>
      <c r="B791" t="s">
        <v>591</v>
      </c>
    </row>
    <row r="792" spans="1:2" x14ac:dyDescent="0.25">
      <c r="A792" t="s">
        <v>2210</v>
      </c>
      <c r="B792" t="s">
        <v>591</v>
      </c>
    </row>
    <row r="793" spans="1:2" x14ac:dyDescent="0.25">
      <c r="A793" t="s">
        <v>2211</v>
      </c>
      <c r="B793" t="s">
        <v>591</v>
      </c>
    </row>
    <row r="794" spans="1:2" x14ac:dyDescent="0.25">
      <c r="A794" t="s">
        <v>2212</v>
      </c>
      <c r="B794" t="s">
        <v>591</v>
      </c>
    </row>
    <row r="795" spans="1:2" x14ac:dyDescent="0.25">
      <c r="A795" t="s">
        <v>2213</v>
      </c>
      <c r="B795" t="s">
        <v>591</v>
      </c>
    </row>
    <row r="796" spans="1:2" x14ac:dyDescent="0.25">
      <c r="A796" t="s">
        <v>2214</v>
      </c>
      <c r="B796" t="s">
        <v>591</v>
      </c>
    </row>
    <row r="797" spans="1:2" x14ac:dyDescent="0.25">
      <c r="A797" t="s">
        <v>2215</v>
      </c>
      <c r="B797" t="s">
        <v>591</v>
      </c>
    </row>
    <row r="798" spans="1:2" x14ac:dyDescent="0.25">
      <c r="A798" t="s">
        <v>2216</v>
      </c>
      <c r="B798" t="s">
        <v>591</v>
      </c>
    </row>
    <row r="799" spans="1:2" x14ac:dyDescent="0.25">
      <c r="A799" t="s">
        <v>2217</v>
      </c>
      <c r="B799" t="s">
        <v>591</v>
      </c>
    </row>
    <row r="800" spans="1:2" x14ac:dyDescent="0.25">
      <c r="A800" t="s">
        <v>2218</v>
      </c>
      <c r="B800" t="s">
        <v>591</v>
      </c>
    </row>
    <row r="801" spans="1:2" x14ac:dyDescent="0.25">
      <c r="A801" t="s">
        <v>755</v>
      </c>
      <c r="B801" t="s">
        <v>591</v>
      </c>
    </row>
    <row r="802" spans="1:2" x14ac:dyDescent="0.25">
      <c r="A802" t="s">
        <v>754</v>
      </c>
      <c r="B802" t="s">
        <v>591</v>
      </c>
    </row>
    <row r="803" spans="1:2" x14ac:dyDescent="0.25">
      <c r="A803" t="s">
        <v>2219</v>
      </c>
      <c r="B803" t="s">
        <v>591</v>
      </c>
    </row>
    <row r="804" spans="1:2" x14ac:dyDescent="0.25">
      <c r="A804" t="s">
        <v>2220</v>
      </c>
      <c r="B804" t="s">
        <v>591</v>
      </c>
    </row>
    <row r="805" spans="1:2" x14ac:dyDescent="0.25">
      <c r="A805" t="s">
        <v>756</v>
      </c>
      <c r="B805" t="s">
        <v>591</v>
      </c>
    </row>
    <row r="806" spans="1:2" x14ac:dyDescent="0.25">
      <c r="A806" t="s">
        <v>757</v>
      </c>
      <c r="B806" t="s">
        <v>591</v>
      </c>
    </row>
    <row r="807" spans="1:2" x14ac:dyDescent="0.25">
      <c r="A807" t="s">
        <v>758</v>
      </c>
      <c r="B807" t="s">
        <v>591</v>
      </c>
    </row>
    <row r="808" spans="1:2" x14ac:dyDescent="0.25">
      <c r="A808" t="s">
        <v>759</v>
      </c>
      <c r="B808" t="s">
        <v>591</v>
      </c>
    </row>
    <row r="809" spans="1:2" x14ac:dyDescent="0.25">
      <c r="A809" t="s">
        <v>760</v>
      </c>
      <c r="B809" t="s">
        <v>591</v>
      </c>
    </row>
    <row r="810" spans="1:2" x14ac:dyDescent="0.25">
      <c r="A810" t="s">
        <v>761</v>
      </c>
      <c r="B810" t="s">
        <v>591</v>
      </c>
    </row>
    <row r="811" spans="1:2" x14ac:dyDescent="0.25">
      <c r="A811" t="s">
        <v>762</v>
      </c>
      <c r="B811" t="s">
        <v>591</v>
      </c>
    </row>
    <row r="812" spans="1:2" x14ac:dyDescent="0.25">
      <c r="A812" t="s">
        <v>763</v>
      </c>
      <c r="B812" t="s">
        <v>591</v>
      </c>
    </row>
    <row r="813" spans="1:2" x14ac:dyDescent="0.25">
      <c r="A813" t="s">
        <v>764</v>
      </c>
      <c r="B813" t="s">
        <v>591</v>
      </c>
    </row>
    <row r="814" spans="1:2" x14ac:dyDescent="0.25">
      <c r="A814" t="s">
        <v>765</v>
      </c>
      <c r="B814" t="s">
        <v>591</v>
      </c>
    </row>
    <row r="815" spans="1:2" x14ac:dyDescent="0.25">
      <c r="A815" t="s">
        <v>766</v>
      </c>
      <c r="B815" t="s">
        <v>591</v>
      </c>
    </row>
    <row r="816" spans="1:2" x14ac:dyDescent="0.25">
      <c r="A816" t="s">
        <v>767</v>
      </c>
      <c r="B816" t="s">
        <v>591</v>
      </c>
    </row>
    <row r="817" spans="1:2" x14ac:dyDescent="0.25">
      <c r="A817" t="s">
        <v>768</v>
      </c>
      <c r="B817" t="s">
        <v>591</v>
      </c>
    </row>
    <row r="818" spans="1:2" x14ac:dyDescent="0.25">
      <c r="A818" t="s">
        <v>769</v>
      </c>
      <c r="B818" t="s">
        <v>591</v>
      </c>
    </row>
    <row r="819" spans="1:2" x14ac:dyDescent="0.25">
      <c r="A819" t="s">
        <v>770</v>
      </c>
      <c r="B819" t="s">
        <v>591</v>
      </c>
    </row>
    <row r="820" spans="1:2" x14ac:dyDescent="0.25">
      <c r="A820" t="s">
        <v>2221</v>
      </c>
      <c r="B820" t="s">
        <v>591</v>
      </c>
    </row>
    <row r="821" spans="1:2" x14ac:dyDescent="0.25">
      <c r="A821" t="s">
        <v>2222</v>
      </c>
      <c r="B821" t="s">
        <v>591</v>
      </c>
    </row>
    <row r="822" spans="1:2" x14ac:dyDescent="0.25">
      <c r="A822" t="s">
        <v>2223</v>
      </c>
      <c r="B822" t="s">
        <v>591</v>
      </c>
    </row>
    <row r="823" spans="1:2" x14ac:dyDescent="0.25">
      <c r="A823" t="s">
        <v>2224</v>
      </c>
      <c r="B823" t="s">
        <v>591</v>
      </c>
    </row>
    <row r="824" spans="1:2" x14ac:dyDescent="0.25">
      <c r="A824" t="s">
        <v>772</v>
      </c>
      <c r="B824" t="s">
        <v>591</v>
      </c>
    </row>
    <row r="825" spans="1:2" x14ac:dyDescent="0.25">
      <c r="A825" t="s">
        <v>2225</v>
      </c>
      <c r="B825" t="s">
        <v>591</v>
      </c>
    </row>
    <row r="826" spans="1:2" x14ac:dyDescent="0.25">
      <c r="A826" t="s">
        <v>2226</v>
      </c>
      <c r="B826" t="s">
        <v>591</v>
      </c>
    </row>
    <row r="827" spans="1:2" x14ac:dyDescent="0.25">
      <c r="A827" t="s">
        <v>2227</v>
      </c>
      <c r="B827" t="s">
        <v>591</v>
      </c>
    </row>
    <row r="828" spans="1:2" x14ac:dyDescent="0.25">
      <c r="A828" t="s">
        <v>773</v>
      </c>
      <c r="B828" t="s">
        <v>591</v>
      </c>
    </row>
    <row r="829" spans="1:2" x14ac:dyDescent="0.25">
      <c r="A829" t="s">
        <v>775</v>
      </c>
      <c r="B829" t="s">
        <v>591</v>
      </c>
    </row>
    <row r="830" spans="1:2" x14ac:dyDescent="0.25">
      <c r="A830" t="s">
        <v>777</v>
      </c>
      <c r="B830" t="s">
        <v>591</v>
      </c>
    </row>
    <row r="831" spans="1:2" x14ac:dyDescent="0.25">
      <c r="A831" t="s">
        <v>778</v>
      </c>
      <c r="B831" t="s">
        <v>591</v>
      </c>
    </row>
    <row r="832" spans="1:2" x14ac:dyDescent="0.25">
      <c r="A832" t="s">
        <v>2228</v>
      </c>
      <c r="B832" t="s">
        <v>591</v>
      </c>
    </row>
    <row r="833" spans="1:2" x14ac:dyDescent="0.25">
      <c r="A833" t="s">
        <v>779</v>
      </c>
      <c r="B833" t="s">
        <v>591</v>
      </c>
    </row>
    <row r="834" spans="1:2" x14ac:dyDescent="0.25">
      <c r="A834" t="s">
        <v>780</v>
      </c>
      <c r="B834" t="s">
        <v>591</v>
      </c>
    </row>
    <row r="835" spans="1:2" x14ac:dyDescent="0.25">
      <c r="A835" t="s">
        <v>781</v>
      </c>
      <c r="B835" t="s">
        <v>591</v>
      </c>
    </row>
    <row r="836" spans="1:2" x14ac:dyDescent="0.25">
      <c r="A836" t="s">
        <v>1519</v>
      </c>
      <c r="B836" t="s">
        <v>591</v>
      </c>
    </row>
    <row r="837" spans="1:2" x14ac:dyDescent="0.25">
      <c r="A837" t="s">
        <v>2229</v>
      </c>
      <c r="B837" t="s">
        <v>591</v>
      </c>
    </row>
    <row r="838" spans="1:2" x14ac:dyDescent="0.25">
      <c r="A838" t="s">
        <v>2230</v>
      </c>
      <c r="B838" t="s">
        <v>591</v>
      </c>
    </row>
    <row r="839" spans="1:2" x14ac:dyDescent="0.25">
      <c r="A839" t="s">
        <v>2231</v>
      </c>
      <c r="B839" t="s">
        <v>591</v>
      </c>
    </row>
    <row r="840" spans="1:2" x14ac:dyDescent="0.25">
      <c r="A840" t="s">
        <v>2232</v>
      </c>
      <c r="B840" t="s">
        <v>591</v>
      </c>
    </row>
    <row r="841" spans="1:2" x14ac:dyDescent="0.25">
      <c r="A841" t="s">
        <v>600</v>
      </c>
      <c r="B841" t="s">
        <v>591</v>
      </c>
    </row>
    <row r="842" spans="1:2" x14ac:dyDescent="0.25">
      <c r="A842" t="s">
        <v>2233</v>
      </c>
      <c r="B842" t="s">
        <v>591</v>
      </c>
    </row>
    <row r="843" spans="1:2" x14ac:dyDescent="0.25">
      <c r="A843" t="s">
        <v>2234</v>
      </c>
      <c r="B843" t="s">
        <v>591</v>
      </c>
    </row>
    <row r="844" spans="1:2" x14ac:dyDescent="0.25">
      <c r="A844" t="s">
        <v>2235</v>
      </c>
      <c r="B844" t="s">
        <v>591</v>
      </c>
    </row>
    <row r="845" spans="1:2" x14ac:dyDescent="0.25">
      <c r="A845" t="s">
        <v>2236</v>
      </c>
      <c r="B845" t="s">
        <v>591</v>
      </c>
    </row>
    <row r="846" spans="1:2" x14ac:dyDescent="0.25">
      <c r="A846" t="s">
        <v>2237</v>
      </c>
      <c r="B846" t="s">
        <v>591</v>
      </c>
    </row>
    <row r="847" spans="1:2" x14ac:dyDescent="0.25">
      <c r="A847" t="s">
        <v>648</v>
      </c>
      <c r="B847" t="s">
        <v>591</v>
      </c>
    </row>
    <row r="848" spans="1:2" x14ac:dyDescent="0.25">
      <c r="A848" t="s">
        <v>2238</v>
      </c>
      <c r="B848" t="s">
        <v>591</v>
      </c>
    </row>
    <row r="849" spans="1:2" x14ac:dyDescent="0.25">
      <c r="A849" t="s">
        <v>2239</v>
      </c>
      <c r="B849" t="s">
        <v>591</v>
      </c>
    </row>
    <row r="850" spans="1:2" x14ac:dyDescent="0.25">
      <c r="A850" t="s">
        <v>2240</v>
      </c>
      <c r="B850" t="s">
        <v>591</v>
      </c>
    </row>
    <row r="851" spans="1:2" x14ac:dyDescent="0.25">
      <c r="A851" t="s">
        <v>601</v>
      </c>
      <c r="B851" t="s">
        <v>591</v>
      </c>
    </row>
    <row r="852" spans="1:2" x14ac:dyDescent="0.25">
      <c r="A852" t="s">
        <v>2241</v>
      </c>
      <c r="B852" t="s">
        <v>591</v>
      </c>
    </row>
    <row r="853" spans="1:2" x14ac:dyDescent="0.25">
      <c r="A853" t="s">
        <v>2242</v>
      </c>
      <c r="B853" t="s">
        <v>591</v>
      </c>
    </row>
    <row r="854" spans="1:2" x14ac:dyDescent="0.25">
      <c r="A854" t="s">
        <v>2243</v>
      </c>
      <c r="B854" t="s">
        <v>591</v>
      </c>
    </row>
    <row r="855" spans="1:2" x14ac:dyDescent="0.25">
      <c r="A855" t="s">
        <v>2244</v>
      </c>
      <c r="B855" t="s">
        <v>591</v>
      </c>
    </row>
    <row r="856" spans="1:2" x14ac:dyDescent="0.25">
      <c r="A856" t="s">
        <v>2245</v>
      </c>
      <c r="B856" t="s">
        <v>591</v>
      </c>
    </row>
    <row r="857" spans="1:2" x14ac:dyDescent="0.25">
      <c r="A857" t="s">
        <v>649</v>
      </c>
      <c r="B857" t="s">
        <v>591</v>
      </c>
    </row>
    <row r="858" spans="1:2" x14ac:dyDescent="0.25">
      <c r="A858" t="s">
        <v>2246</v>
      </c>
      <c r="B858" t="s">
        <v>591</v>
      </c>
    </row>
    <row r="859" spans="1:2" x14ac:dyDescent="0.25">
      <c r="A859" t="s">
        <v>2247</v>
      </c>
      <c r="B859" t="s">
        <v>591</v>
      </c>
    </row>
    <row r="860" spans="1:2" x14ac:dyDescent="0.25">
      <c r="A860" t="s">
        <v>2248</v>
      </c>
      <c r="B860" t="s">
        <v>591</v>
      </c>
    </row>
    <row r="861" spans="1:2" x14ac:dyDescent="0.25">
      <c r="A861" t="s">
        <v>2249</v>
      </c>
      <c r="B861" t="s">
        <v>591</v>
      </c>
    </row>
    <row r="862" spans="1:2" x14ac:dyDescent="0.25">
      <c r="A862" t="s">
        <v>602</v>
      </c>
      <c r="B862" t="s">
        <v>591</v>
      </c>
    </row>
    <row r="863" spans="1:2" x14ac:dyDescent="0.25">
      <c r="A863" t="s">
        <v>2250</v>
      </c>
      <c r="B863" t="s">
        <v>591</v>
      </c>
    </row>
    <row r="864" spans="1:2" x14ac:dyDescent="0.25">
      <c r="A864" t="s">
        <v>2251</v>
      </c>
      <c r="B864" t="s">
        <v>591</v>
      </c>
    </row>
    <row r="865" spans="1:2" x14ac:dyDescent="0.25">
      <c r="A865" t="s">
        <v>2252</v>
      </c>
      <c r="B865" t="s">
        <v>591</v>
      </c>
    </row>
    <row r="866" spans="1:2" x14ac:dyDescent="0.25">
      <c r="A866" t="s">
        <v>2253</v>
      </c>
      <c r="B866" t="s">
        <v>591</v>
      </c>
    </row>
    <row r="867" spans="1:2" x14ac:dyDescent="0.25">
      <c r="A867" t="s">
        <v>2254</v>
      </c>
      <c r="B867" t="s">
        <v>591</v>
      </c>
    </row>
    <row r="868" spans="1:2" x14ac:dyDescent="0.25">
      <c r="A868" t="s">
        <v>603</v>
      </c>
      <c r="B868" t="s">
        <v>591</v>
      </c>
    </row>
    <row r="869" spans="1:2" x14ac:dyDescent="0.25">
      <c r="A869" t="s">
        <v>2255</v>
      </c>
      <c r="B869" t="s">
        <v>591</v>
      </c>
    </row>
    <row r="870" spans="1:2" x14ac:dyDescent="0.25">
      <c r="A870" t="s">
        <v>2256</v>
      </c>
      <c r="B870" t="s">
        <v>591</v>
      </c>
    </row>
    <row r="871" spans="1:2" x14ac:dyDescent="0.25">
      <c r="A871" t="s">
        <v>2257</v>
      </c>
      <c r="B871" t="s">
        <v>591</v>
      </c>
    </row>
    <row r="872" spans="1:2" x14ac:dyDescent="0.25">
      <c r="A872" t="s">
        <v>2258</v>
      </c>
      <c r="B872" t="s">
        <v>591</v>
      </c>
    </row>
    <row r="873" spans="1:2" x14ac:dyDescent="0.25">
      <c r="A873" t="s">
        <v>604</v>
      </c>
      <c r="B873" t="s">
        <v>591</v>
      </c>
    </row>
    <row r="874" spans="1:2" x14ac:dyDescent="0.25">
      <c r="A874" t="s">
        <v>2259</v>
      </c>
      <c r="B874" t="s">
        <v>591</v>
      </c>
    </row>
    <row r="875" spans="1:2" x14ac:dyDescent="0.25">
      <c r="A875" t="s">
        <v>2260</v>
      </c>
      <c r="B875" t="s">
        <v>591</v>
      </c>
    </row>
    <row r="876" spans="1:2" x14ac:dyDescent="0.25">
      <c r="A876" t="s">
        <v>2261</v>
      </c>
      <c r="B876" t="s">
        <v>591</v>
      </c>
    </row>
    <row r="877" spans="1:2" x14ac:dyDescent="0.25">
      <c r="A877" t="s">
        <v>2262</v>
      </c>
      <c r="B877" t="s">
        <v>591</v>
      </c>
    </row>
    <row r="878" spans="1:2" x14ac:dyDescent="0.25">
      <c r="A878" t="s">
        <v>2263</v>
      </c>
      <c r="B878" t="s">
        <v>591</v>
      </c>
    </row>
    <row r="879" spans="1:2" x14ac:dyDescent="0.25">
      <c r="A879" t="s">
        <v>605</v>
      </c>
      <c r="B879" t="s">
        <v>591</v>
      </c>
    </row>
    <row r="880" spans="1:2" x14ac:dyDescent="0.25">
      <c r="A880" t="s">
        <v>2264</v>
      </c>
      <c r="B880" t="s">
        <v>591</v>
      </c>
    </row>
    <row r="881" spans="1:2" x14ac:dyDescent="0.25">
      <c r="A881" t="s">
        <v>2265</v>
      </c>
      <c r="B881" t="s">
        <v>591</v>
      </c>
    </row>
    <row r="882" spans="1:2" x14ac:dyDescent="0.25">
      <c r="A882" t="s">
        <v>2266</v>
      </c>
      <c r="B882" t="s">
        <v>591</v>
      </c>
    </row>
    <row r="883" spans="1:2" x14ac:dyDescent="0.25">
      <c r="A883" t="s">
        <v>2267</v>
      </c>
      <c r="B883" t="s">
        <v>591</v>
      </c>
    </row>
    <row r="884" spans="1:2" x14ac:dyDescent="0.25">
      <c r="A884" t="s">
        <v>2268</v>
      </c>
      <c r="B884" t="s">
        <v>591</v>
      </c>
    </row>
    <row r="885" spans="1:2" x14ac:dyDescent="0.25">
      <c r="A885" t="s">
        <v>606</v>
      </c>
      <c r="B885" t="s">
        <v>591</v>
      </c>
    </row>
    <row r="886" spans="1:2" x14ac:dyDescent="0.25">
      <c r="A886" t="s">
        <v>2269</v>
      </c>
      <c r="B886" t="s">
        <v>591</v>
      </c>
    </row>
    <row r="887" spans="1:2" x14ac:dyDescent="0.25">
      <c r="A887" t="s">
        <v>2270</v>
      </c>
      <c r="B887" t="s">
        <v>591</v>
      </c>
    </row>
    <row r="888" spans="1:2" x14ac:dyDescent="0.25">
      <c r="A888" t="s">
        <v>2271</v>
      </c>
      <c r="B888" t="s">
        <v>591</v>
      </c>
    </row>
    <row r="889" spans="1:2" x14ac:dyDescent="0.25">
      <c r="A889" t="s">
        <v>2272</v>
      </c>
      <c r="B889" t="s">
        <v>591</v>
      </c>
    </row>
    <row r="890" spans="1:2" x14ac:dyDescent="0.25">
      <c r="A890" t="s">
        <v>2273</v>
      </c>
      <c r="B890" t="s">
        <v>591</v>
      </c>
    </row>
    <row r="891" spans="1:2" x14ac:dyDescent="0.25">
      <c r="A891" t="s">
        <v>607</v>
      </c>
      <c r="B891" t="s">
        <v>591</v>
      </c>
    </row>
    <row r="892" spans="1:2" x14ac:dyDescent="0.25">
      <c r="A892" t="s">
        <v>2274</v>
      </c>
      <c r="B892" t="s">
        <v>591</v>
      </c>
    </row>
    <row r="893" spans="1:2" x14ac:dyDescent="0.25">
      <c r="A893" t="s">
        <v>2275</v>
      </c>
      <c r="B893" t="s">
        <v>591</v>
      </c>
    </row>
    <row r="894" spans="1:2" x14ac:dyDescent="0.25">
      <c r="A894" t="s">
        <v>2276</v>
      </c>
      <c r="B894" t="s">
        <v>591</v>
      </c>
    </row>
    <row r="895" spans="1:2" x14ac:dyDescent="0.25">
      <c r="A895" t="s">
        <v>2277</v>
      </c>
      <c r="B895" t="s">
        <v>591</v>
      </c>
    </row>
    <row r="896" spans="1:2" x14ac:dyDescent="0.25">
      <c r="A896" t="s">
        <v>2278</v>
      </c>
      <c r="B896" t="s">
        <v>591</v>
      </c>
    </row>
    <row r="897" spans="1:2" x14ac:dyDescent="0.25">
      <c r="A897" t="s">
        <v>784</v>
      </c>
      <c r="B897" t="s">
        <v>591</v>
      </c>
    </row>
    <row r="898" spans="1:2" x14ac:dyDescent="0.25">
      <c r="A898" t="s">
        <v>785</v>
      </c>
      <c r="B898" t="s">
        <v>591</v>
      </c>
    </row>
    <row r="899" spans="1:2" x14ac:dyDescent="0.25">
      <c r="A899" t="s">
        <v>786</v>
      </c>
      <c r="B899" t="s">
        <v>591</v>
      </c>
    </row>
    <row r="900" spans="1:2" x14ac:dyDescent="0.25">
      <c r="A900" t="s">
        <v>787</v>
      </c>
      <c r="B900" t="s">
        <v>591</v>
      </c>
    </row>
    <row r="901" spans="1:2" x14ac:dyDescent="0.25">
      <c r="A901" t="s">
        <v>788</v>
      </c>
      <c r="B901" t="s">
        <v>591</v>
      </c>
    </row>
    <row r="902" spans="1:2" x14ac:dyDescent="0.25">
      <c r="A902" t="s">
        <v>782</v>
      </c>
      <c r="B902" t="s">
        <v>591</v>
      </c>
    </row>
    <row r="903" spans="1:2" x14ac:dyDescent="0.25">
      <c r="A903" t="s">
        <v>2279</v>
      </c>
      <c r="B903" t="s">
        <v>591</v>
      </c>
    </row>
    <row r="904" spans="1:2" x14ac:dyDescent="0.25">
      <c r="A904" t="s">
        <v>2280</v>
      </c>
      <c r="B904" t="s">
        <v>591</v>
      </c>
    </row>
    <row r="905" spans="1:2" x14ac:dyDescent="0.25">
      <c r="A905" t="s">
        <v>2281</v>
      </c>
      <c r="B905" t="s">
        <v>591</v>
      </c>
    </row>
    <row r="906" spans="1:2" x14ac:dyDescent="0.25">
      <c r="A906" t="s">
        <v>2282</v>
      </c>
      <c r="B906" t="s">
        <v>591</v>
      </c>
    </row>
    <row r="907" spans="1:2" x14ac:dyDescent="0.25">
      <c r="A907" t="s">
        <v>789</v>
      </c>
      <c r="B907" t="s">
        <v>591</v>
      </c>
    </row>
    <row r="908" spans="1:2" x14ac:dyDescent="0.25">
      <c r="A908" t="s">
        <v>783</v>
      </c>
      <c r="B908" t="s">
        <v>591</v>
      </c>
    </row>
    <row r="909" spans="1:2" x14ac:dyDescent="0.25">
      <c r="A909" t="s">
        <v>2283</v>
      </c>
      <c r="B909" t="s">
        <v>591</v>
      </c>
    </row>
    <row r="910" spans="1:2" x14ac:dyDescent="0.25">
      <c r="A910" t="s">
        <v>2284</v>
      </c>
      <c r="B910" t="s">
        <v>591</v>
      </c>
    </row>
    <row r="911" spans="1:2" x14ac:dyDescent="0.25">
      <c r="A911" t="s">
        <v>790</v>
      </c>
      <c r="B911" t="s">
        <v>591</v>
      </c>
    </row>
    <row r="912" spans="1:2" x14ac:dyDescent="0.25">
      <c r="A912" t="s">
        <v>2285</v>
      </c>
      <c r="B912" t="s">
        <v>591</v>
      </c>
    </row>
    <row r="913" spans="1:2" x14ac:dyDescent="0.25">
      <c r="A913" t="s">
        <v>2286</v>
      </c>
      <c r="B913" t="s">
        <v>591</v>
      </c>
    </row>
    <row r="914" spans="1:2" x14ac:dyDescent="0.25">
      <c r="A914" t="s">
        <v>2287</v>
      </c>
      <c r="B914" t="s">
        <v>591</v>
      </c>
    </row>
    <row r="915" spans="1:2" x14ac:dyDescent="0.25">
      <c r="A915" t="s">
        <v>2288</v>
      </c>
      <c r="B915" t="s">
        <v>591</v>
      </c>
    </row>
    <row r="916" spans="1:2" x14ac:dyDescent="0.25">
      <c r="A916" t="s">
        <v>791</v>
      </c>
      <c r="B916" t="s">
        <v>591</v>
      </c>
    </row>
    <row r="917" spans="1:2" x14ac:dyDescent="0.25">
      <c r="A917" t="s">
        <v>2289</v>
      </c>
      <c r="B917" t="s">
        <v>591</v>
      </c>
    </row>
    <row r="918" spans="1:2" x14ac:dyDescent="0.25">
      <c r="A918" t="s">
        <v>2290</v>
      </c>
      <c r="B918" t="s">
        <v>591</v>
      </c>
    </row>
    <row r="919" spans="1:2" x14ac:dyDescent="0.25">
      <c r="A919" t="s">
        <v>2291</v>
      </c>
      <c r="B919" t="s">
        <v>591</v>
      </c>
    </row>
    <row r="920" spans="1:2" x14ac:dyDescent="0.25">
      <c r="A920" t="s">
        <v>2292</v>
      </c>
      <c r="B920" t="s">
        <v>591</v>
      </c>
    </row>
    <row r="921" spans="1:2" x14ac:dyDescent="0.25">
      <c r="A921" t="s">
        <v>792</v>
      </c>
      <c r="B921" t="s">
        <v>591</v>
      </c>
    </row>
    <row r="922" spans="1:2" x14ac:dyDescent="0.25">
      <c r="A922" t="s">
        <v>2293</v>
      </c>
      <c r="B922" t="s">
        <v>591</v>
      </c>
    </row>
    <row r="923" spans="1:2" x14ac:dyDescent="0.25">
      <c r="A923" t="s">
        <v>2294</v>
      </c>
      <c r="B923" t="s">
        <v>591</v>
      </c>
    </row>
    <row r="924" spans="1:2" x14ac:dyDescent="0.25">
      <c r="A924" t="s">
        <v>794</v>
      </c>
      <c r="B924" t="s">
        <v>591</v>
      </c>
    </row>
    <row r="925" spans="1:2" x14ac:dyDescent="0.25">
      <c r="A925" t="s">
        <v>2295</v>
      </c>
      <c r="B925" t="s">
        <v>591</v>
      </c>
    </row>
    <row r="926" spans="1:2" x14ac:dyDescent="0.25">
      <c r="A926" t="s">
        <v>2296</v>
      </c>
      <c r="B926" t="s">
        <v>591</v>
      </c>
    </row>
    <row r="927" spans="1:2" x14ac:dyDescent="0.25">
      <c r="A927" t="s">
        <v>795</v>
      </c>
      <c r="B927" t="s">
        <v>591</v>
      </c>
    </row>
    <row r="928" spans="1:2" x14ac:dyDescent="0.25">
      <c r="A928" t="s">
        <v>2297</v>
      </c>
      <c r="B928" t="s">
        <v>591</v>
      </c>
    </row>
    <row r="929" spans="1:2" x14ac:dyDescent="0.25">
      <c r="A929" t="s">
        <v>2298</v>
      </c>
      <c r="B929" t="s">
        <v>591</v>
      </c>
    </row>
    <row r="930" spans="1:2" x14ac:dyDescent="0.25">
      <c r="A930" t="s">
        <v>2299</v>
      </c>
      <c r="B930" t="s">
        <v>591</v>
      </c>
    </row>
    <row r="931" spans="1:2" x14ac:dyDescent="0.25">
      <c r="A931" t="s">
        <v>796</v>
      </c>
      <c r="B931" t="s">
        <v>591</v>
      </c>
    </row>
    <row r="932" spans="1:2" x14ac:dyDescent="0.25">
      <c r="A932" t="s">
        <v>2300</v>
      </c>
      <c r="B932" t="s">
        <v>591</v>
      </c>
    </row>
    <row r="933" spans="1:2" x14ac:dyDescent="0.25">
      <c r="A933" t="s">
        <v>2301</v>
      </c>
      <c r="B933" t="s">
        <v>591</v>
      </c>
    </row>
    <row r="934" spans="1:2" x14ac:dyDescent="0.25">
      <c r="A934" t="s">
        <v>2302</v>
      </c>
      <c r="B934" t="s">
        <v>591</v>
      </c>
    </row>
    <row r="935" spans="1:2" x14ac:dyDescent="0.25">
      <c r="A935" t="s">
        <v>797</v>
      </c>
      <c r="B935" t="s">
        <v>591</v>
      </c>
    </row>
    <row r="936" spans="1:2" x14ac:dyDescent="0.25">
      <c r="A936" t="s">
        <v>2303</v>
      </c>
      <c r="B936" t="s">
        <v>591</v>
      </c>
    </row>
    <row r="937" spans="1:2" x14ac:dyDescent="0.25">
      <c r="A937" t="s">
        <v>2304</v>
      </c>
      <c r="B937" t="s">
        <v>591</v>
      </c>
    </row>
    <row r="938" spans="1:2" x14ac:dyDescent="0.25">
      <c r="A938" t="s">
        <v>2305</v>
      </c>
      <c r="B938" t="s">
        <v>591</v>
      </c>
    </row>
    <row r="939" spans="1:2" x14ac:dyDescent="0.25">
      <c r="A939" t="s">
        <v>798</v>
      </c>
      <c r="B939" t="s">
        <v>591</v>
      </c>
    </row>
    <row r="940" spans="1:2" x14ac:dyDescent="0.25">
      <c r="A940" t="s">
        <v>2306</v>
      </c>
      <c r="B940" t="s">
        <v>591</v>
      </c>
    </row>
    <row r="941" spans="1:2" x14ac:dyDescent="0.25">
      <c r="A941" t="s">
        <v>2307</v>
      </c>
      <c r="B941" t="s">
        <v>591</v>
      </c>
    </row>
    <row r="942" spans="1:2" x14ac:dyDescent="0.25">
      <c r="A942" t="s">
        <v>2308</v>
      </c>
      <c r="B942" t="s">
        <v>591</v>
      </c>
    </row>
    <row r="943" spans="1:2" x14ac:dyDescent="0.25">
      <c r="A943" t="s">
        <v>799</v>
      </c>
      <c r="B943" t="s">
        <v>591</v>
      </c>
    </row>
    <row r="944" spans="1:2" x14ac:dyDescent="0.25">
      <c r="A944" t="s">
        <v>2309</v>
      </c>
      <c r="B944" t="s">
        <v>591</v>
      </c>
    </row>
    <row r="945" spans="1:2" x14ac:dyDescent="0.25">
      <c r="A945" t="s">
        <v>2310</v>
      </c>
      <c r="B945" t="s">
        <v>591</v>
      </c>
    </row>
    <row r="946" spans="1:2" x14ac:dyDescent="0.25">
      <c r="A946" t="s">
        <v>2311</v>
      </c>
      <c r="B946" t="s">
        <v>591</v>
      </c>
    </row>
    <row r="947" spans="1:2" x14ac:dyDescent="0.25">
      <c r="A947" t="s">
        <v>800</v>
      </c>
      <c r="B947" t="s">
        <v>591</v>
      </c>
    </row>
    <row r="948" spans="1:2" x14ac:dyDescent="0.25">
      <c r="A948" t="s">
        <v>2312</v>
      </c>
      <c r="B948" t="s">
        <v>591</v>
      </c>
    </row>
    <row r="949" spans="1:2" x14ac:dyDescent="0.25">
      <c r="A949" t="s">
        <v>2313</v>
      </c>
      <c r="B949" t="s">
        <v>591</v>
      </c>
    </row>
    <row r="950" spans="1:2" x14ac:dyDescent="0.25">
      <c r="A950" t="s">
        <v>2314</v>
      </c>
      <c r="B950" t="s">
        <v>591</v>
      </c>
    </row>
    <row r="951" spans="1:2" x14ac:dyDescent="0.25">
      <c r="A951" t="s">
        <v>804</v>
      </c>
      <c r="B951" t="s">
        <v>591</v>
      </c>
    </row>
    <row r="952" spans="1:2" x14ac:dyDescent="0.25">
      <c r="A952" t="s">
        <v>609</v>
      </c>
      <c r="B952" t="s">
        <v>591</v>
      </c>
    </row>
    <row r="953" spans="1:2" x14ac:dyDescent="0.25">
      <c r="A953" t="s">
        <v>2315</v>
      </c>
      <c r="B953" t="s">
        <v>591</v>
      </c>
    </row>
    <row r="954" spans="1:2" x14ac:dyDescent="0.25">
      <c r="A954" t="s">
        <v>2316</v>
      </c>
      <c r="B954" t="s">
        <v>591</v>
      </c>
    </row>
    <row r="955" spans="1:2" x14ac:dyDescent="0.25">
      <c r="A955" t="s">
        <v>2317</v>
      </c>
      <c r="B955" t="s">
        <v>591</v>
      </c>
    </row>
    <row r="956" spans="1:2" x14ac:dyDescent="0.25">
      <c r="A956" t="s">
        <v>2318</v>
      </c>
      <c r="B956" t="s">
        <v>591</v>
      </c>
    </row>
    <row r="957" spans="1:2" x14ac:dyDescent="0.25">
      <c r="A957" t="s">
        <v>801</v>
      </c>
      <c r="B957" t="s">
        <v>591</v>
      </c>
    </row>
    <row r="958" spans="1:2" x14ac:dyDescent="0.25">
      <c r="A958" t="s">
        <v>2319</v>
      </c>
      <c r="B958" t="s">
        <v>591</v>
      </c>
    </row>
    <row r="959" spans="1:2" x14ac:dyDescent="0.25">
      <c r="A959" t="s">
        <v>2320</v>
      </c>
      <c r="B959" t="s">
        <v>591</v>
      </c>
    </row>
    <row r="960" spans="1:2" x14ac:dyDescent="0.25">
      <c r="A960" t="s">
        <v>802</v>
      </c>
      <c r="B960" t="s">
        <v>591</v>
      </c>
    </row>
    <row r="961" spans="1:2" x14ac:dyDescent="0.25">
      <c r="A961" t="s">
        <v>2321</v>
      </c>
      <c r="B961" t="s">
        <v>591</v>
      </c>
    </row>
    <row r="962" spans="1:2" x14ac:dyDescent="0.25">
      <c r="A962" t="s">
        <v>2322</v>
      </c>
      <c r="B962" t="s">
        <v>591</v>
      </c>
    </row>
    <row r="963" spans="1:2" x14ac:dyDescent="0.25">
      <c r="A963" t="s">
        <v>803</v>
      </c>
      <c r="B963" t="s">
        <v>591</v>
      </c>
    </row>
    <row r="964" spans="1:2" x14ac:dyDescent="0.25">
      <c r="A964" t="s">
        <v>2323</v>
      </c>
      <c r="B964" t="s">
        <v>591</v>
      </c>
    </row>
    <row r="965" spans="1:2" x14ac:dyDescent="0.25">
      <c r="A965" t="s">
        <v>2324</v>
      </c>
      <c r="B965" t="s">
        <v>591</v>
      </c>
    </row>
    <row r="966" spans="1:2" x14ac:dyDescent="0.25">
      <c r="A966" t="s">
        <v>2325</v>
      </c>
      <c r="B966" t="s">
        <v>591</v>
      </c>
    </row>
    <row r="967" spans="1:2" x14ac:dyDescent="0.25">
      <c r="A967" t="s">
        <v>805</v>
      </c>
      <c r="B967" t="s">
        <v>591</v>
      </c>
    </row>
    <row r="968" spans="1:2" x14ac:dyDescent="0.25">
      <c r="A968" t="s">
        <v>2326</v>
      </c>
      <c r="B968" t="s">
        <v>591</v>
      </c>
    </row>
    <row r="969" spans="1:2" x14ac:dyDescent="0.25">
      <c r="A969" t="s">
        <v>2327</v>
      </c>
      <c r="B969" t="s">
        <v>591</v>
      </c>
    </row>
    <row r="970" spans="1:2" x14ac:dyDescent="0.25">
      <c r="A970" t="s">
        <v>806</v>
      </c>
      <c r="B970" t="s">
        <v>591</v>
      </c>
    </row>
    <row r="971" spans="1:2" x14ac:dyDescent="0.25">
      <c r="A971" t="s">
        <v>2328</v>
      </c>
      <c r="B971" t="s">
        <v>591</v>
      </c>
    </row>
    <row r="972" spans="1:2" x14ac:dyDescent="0.25">
      <c r="A972" t="s">
        <v>2329</v>
      </c>
      <c r="B972" t="s">
        <v>591</v>
      </c>
    </row>
    <row r="973" spans="1:2" x14ac:dyDescent="0.25">
      <c r="A973" t="s">
        <v>2330</v>
      </c>
      <c r="B973" t="s">
        <v>591</v>
      </c>
    </row>
    <row r="974" spans="1:2" x14ac:dyDescent="0.25">
      <c r="A974" t="s">
        <v>807</v>
      </c>
      <c r="B974" t="s">
        <v>591</v>
      </c>
    </row>
    <row r="975" spans="1:2" x14ac:dyDescent="0.25">
      <c r="A975" t="s">
        <v>2331</v>
      </c>
      <c r="B975" t="s">
        <v>591</v>
      </c>
    </row>
    <row r="976" spans="1:2" x14ac:dyDescent="0.25">
      <c r="A976" t="s">
        <v>808</v>
      </c>
      <c r="B976" t="s">
        <v>591</v>
      </c>
    </row>
    <row r="977" spans="1:2" x14ac:dyDescent="0.25">
      <c r="A977" t="s">
        <v>2332</v>
      </c>
      <c r="B977" t="s">
        <v>591</v>
      </c>
    </row>
    <row r="978" spans="1:2" x14ac:dyDescent="0.25">
      <c r="A978" t="s">
        <v>2333</v>
      </c>
      <c r="B978" t="s">
        <v>591</v>
      </c>
    </row>
    <row r="979" spans="1:2" x14ac:dyDescent="0.25">
      <c r="A979" t="s">
        <v>809</v>
      </c>
      <c r="B979" t="s">
        <v>591</v>
      </c>
    </row>
    <row r="980" spans="1:2" x14ac:dyDescent="0.25">
      <c r="A980" t="s">
        <v>2334</v>
      </c>
      <c r="B980" t="s">
        <v>591</v>
      </c>
    </row>
    <row r="981" spans="1:2" x14ac:dyDescent="0.25">
      <c r="A981" t="s">
        <v>2335</v>
      </c>
      <c r="B981" t="s">
        <v>591</v>
      </c>
    </row>
    <row r="982" spans="1:2" x14ac:dyDescent="0.25">
      <c r="A982" t="s">
        <v>2336</v>
      </c>
      <c r="B982" t="s">
        <v>591</v>
      </c>
    </row>
    <row r="983" spans="1:2" x14ac:dyDescent="0.25">
      <c r="A983" t="s">
        <v>2337</v>
      </c>
      <c r="B983" t="s">
        <v>591</v>
      </c>
    </row>
    <row r="984" spans="1:2" x14ac:dyDescent="0.25">
      <c r="A984" t="s">
        <v>2338</v>
      </c>
      <c r="B984" t="s">
        <v>591</v>
      </c>
    </row>
    <row r="985" spans="1:2" x14ac:dyDescent="0.25">
      <c r="A985" t="s">
        <v>2339</v>
      </c>
      <c r="B985" t="s">
        <v>591</v>
      </c>
    </row>
    <row r="986" spans="1:2" x14ac:dyDescent="0.25">
      <c r="A986" t="s">
        <v>1520</v>
      </c>
      <c r="B986" t="s">
        <v>591</v>
      </c>
    </row>
    <row r="987" spans="1:2" x14ac:dyDescent="0.25">
      <c r="A987" t="s">
        <v>650</v>
      </c>
      <c r="B987" t="s">
        <v>591</v>
      </c>
    </row>
    <row r="988" spans="1:2" x14ac:dyDescent="0.25">
      <c r="A988" t="s">
        <v>2340</v>
      </c>
      <c r="B988" t="s">
        <v>591</v>
      </c>
    </row>
    <row r="989" spans="1:2" x14ac:dyDescent="0.25">
      <c r="A989" t="s">
        <v>2341</v>
      </c>
      <c r="B989" t="s">
        <v>591</v>
      </c>
    </row>
    <row r="990" spans="1:2" x14ac:dyDescent="0.25">
      <c r="A990" t="s">
        <v>2342</v>
      </c>
      <c r="B990" t="s">
        <v>591</v>
      </c>
    </row>
    <row r="991" spans="1:2" x14ac:dyDescent="0.25">
      <c r="A991" t="s">
        <v>608</v>
      </c>
      <c r="B991" t="s">
        <v>591</v>
      </c>
    </row>
    <row r="992" spans="1:2" x14ac:dyDescent="0.25">
      <c r="A992" t="s">
        <v>2343</v>
      </c>
      <c r="B992" t="s">
        <v>591</v>
      </c>
    </row>
    <row r="993" spans="1:2" x14ac:dyDescent="0.25">
      <c r="A993" t="s">
        <v>2344</v>
      </c>
      <c r="B993" t="s">
        <v>591</v>
      </c>
    </row>
    <row r="994" spans="1:2" x14ac:dyDescent="0.25">
      <c r="A994" t="s">
        <v>2345</v>
      </c>
      <c r="B994" t="s">
        <v>591</v>
      </c>
    </row>
    <row r="995" spans="1:2" x14ac:dyDescent="0.25">
      <c r="A995" t="s">
        <v>2346</v>
      </c>
      <c r="B995" t="s">
        <v>591</v>
      </c>
    </row>
    <row r="996" spans="1:2" x14ac:dyDescent="0.25">
      <c r="A996" t="s">
        <v>2347</v>
      </c>
      <c r="B996" t="s">
        <v>591</v>
      </c>
    </row>
    <row r="997" spans="1:2" x14ac:dyDescent="0.25">
      <c r="A997" t="s">
        <v>611</v>
      </c>
      <c r="B997" t="s">
        <v>591</v>
      </c>
    </row>
    <row r="998" spans="1:2" x14ac:dyDescent="0.25">
      <c r="A998" t="s">
        <v>2348</v>
      </c>
      <c r="B998" t="s">
        <v>591</v>
      </c>
    </row>
    <row r="999" spans="1:2" x14ac:dyDescent="0.25">
      <c r="A999" t="s">
        <v>2349</v>
      </c>
      <c r="B999" t="s">
        <v>591</v>
      </c>
    </row>
    <row r="1000" spans="1:2" x14ac:dyDescent="0.25">
      <c r="A1000" t="s">
        <v>2350</v>
      </c>
      <c r="B1000" t="s">
        <v>591</v>
      </c>
    </row>
    <row r="1001" spans="1:2" x14ac:dyDescent="0.25">
      <c r="A1001" t="s">
        <v>2351</v>
      </c>
      <c r="B1001" t="s">
        <v>591</v>
      </c>
    </row>
    <row r="1002" spans="1:2" x14ac:dyDescent="0.25">
      <c r="A1002" t="s">
        <v>2352</v>
      </c>
      <c r="B1002" t="s">
        <v>591</v>
      </c>
    </row>
    <row r="1003" spans="1:2" x14ac:dyDescent="0.25">
      <c r="A1003" t="s">
        <v>612</v>
      </c>
      <c r="B1003" t="s">
        <v>591</v>
      </c>
    </row>
    <row r="1004" spans="1:2" x14ac:dyDescent="0.25">
      <c r="A1004" t="s">
        <v>2353</v>
      </c>
      <c r="B1004" t="s">
        <v>591</v>
      </c>
    </row>
    <row r="1005" spans="1:2" x14ac:dyDescent="0.25">
      <c r="A1005" t="s">
        <v>2354</v>
      </c>
      <c r="B1005" t="s">
        <v>591</v>
      </c>
    </row>
    <row r="1006" spans="1:2" x14ac:dyDescent="0.25">
      <c r="A1006" t="s">
        <v>2355</v>
      </c>
      <c r="B1006" t="s">
        <v>591</v>
      </c>
    </row>
    <row r="1007" spans="1:2" x14ac:dyDescent="0.25">
      <c r="A1007" t="s">
        <v>2356</v>
      </c>
      <c r="B1007" t="s">
        <v>591</v>
      </c>
    </row>
    <row r="1008" spans="1:2" x14ac:dyDescent="0.25">
      <c r="A1008" t="s">
        <v>2357</v>
      </c>
      <c r="B1008" t="s">
        <v>591</v>
      </c>
    </row>
    <row r="1009" spans="1:2" x14ac:dyDescent="0.25">
      <c r="A1009" t="s">
        <v>2358</v>
      </c>
      <c r="B1009" t="s">
        <v>591</v>
      </c>
    </row>
    <row r="1010" spans="1:2" x14ac:dyDescent="0.25">
      <c r="A1010" t="s">
        <v>2359</v>
      </c>
      <c r="B1010" t="s">
        <v>591</v>
      </c>
    </row>
    <row r="1011" spans="1:2" x14ac:dyDescent="0.25">
      <c r="A1011" t="s">
        <v>2360</v>
      </c>
      <c r="B1011" t="s">
        <v>591</v>
      </c>
    </row>
    <row r="1012" spans="1:2" x14ac:dyDescent="0.25">
      <c r="A1012" t="s">
        <v>812</v>
      </c>
      <c r="B1012" t="s">
        <v>591</v>
      </c>
    </row>
    <row r="1013" spans="1:2" x14ac:dyDescent="0.25">
      <c r="A1013" t="s">
        <v>810</v>
      </c>
      <c r="B1013" t="s">
        <v>591</v>
      </c>
    </row>
    <row r="1014" spans="1:2" x14ac:dyDescent="0.25">
      <c r="A1014" t="s">
        <v>2361</v>
      </c>
      <c r="B1014" t="s">
        <v>591</v>
      </c>
    </row>
    <row r="1015" spans="1:2" x14ac:dyDescent="0.25">
      <c r="A1015" t="s">
        <v>2362</v>
      </c>
      <c r="B1015" t="s">
        <v>591</v>
      </c>
    </row>
    <row r="1016" spans="1:2" x14ac:dyDescent="0.25">
      <c r="A1016" t="s">
        <v>2363</v>
      </c>
      <c r="B1016" t="s">
        <v>591</v>
      </c>
    </row>
    <row r="1017" spans="1:2" x14ac:dyDescent="0.25">
      <c r="A1017" t="s">
        <v>2364</v>
      </c>
      <c r="B1017" t="s">
        <v>591</v>
      </c>
    </row>
    <row r="1018" spans="1:2" x14ac:dyDescent="0.25">
      <c r="A1018" t="s">
        <v>2365</v>
      </c>
      <c r="B1018" t="s">
        <v>591</v>
      </c>
    </row>
    <row r="1019" spans="1:2" x14ac:dyDescent="0.25">
      <c r="A1019" t="s">
        <v>2366</v>
      </c>
      <c r="B1019" t="s">
        <v>591</v>
      </c>
    </row>
    <row r="1020" spans="1:2" x14ac:dyDescent="0.25">
      <c r="A1020" t="s">
        <v>811</v>
      </c>
      <c r="B1020" t="s">
        <v>591</v>
      </c>
    </row>
    <row r="1021" spans="1:2" x14ac:dyDescent="0.25">
      <c r="A1021" t="s">
        <v>2367</v>
      </c>
      <c r="B1021" t="s">
        <v>591</v>
      </c>
    </row>
    <row r="1022" spans="1:2" x14ac:dyDescent="0.25">
      <c r="A1022" t="s">
        <v>2368</v>
      </c>
      <c r="B1022" t="s">
        <v>591</v>
      </c>
    </row>
    <row r="1023" spans="1:2" x14ac:dyDescent="0.25">
      <c r="A1023" t="s">
        <v>2369</v>
      </c>
      <c r="B1023" t="s">
        <v>591</v>
      </c>
    </row>
    <row r="1024" spans="1:2" x14ac:dyDescent="0.25">
      <c r="A1024" t="s">
        <v>2370</v>
      </c>
      <c r="B1024" t="s">
        <v>591</v>
      </c>
    </row>
    <row r="1025" spans="1:2" x14ac:dyDescent="0.25">
      <c r="A1025" t="s">
        <v>2371</v>
      </c>
      <c r="B1025" t="s">
        <v>591</v>
      </c>
    </row>
    <row r="1026" spans="1:2" x14ac:dyDescent="0.25">
      <c r="A1026" t="s">
        <v>2372</v>
      </c>
      <c r="B1026" t="s">
        <v>591</v>
      </c>
    </row>
    <row r="1027" spans="1:2" x14ac:dyDescent="0.25">
      <c r="A1027" t="s">
        <v>613</v>
      </c>
      <c r="B1027" t="s">
        <v>591</v>
      </c>
    </row>
    <row r="1028" spans="1:2" x14ac:dyDescent="0.25">
      <c r="A1028" t="s">
        <v>2373</v>
      </c>
      <c r="B1028" t="s">
        <v>591</v>
      </c>
    </row>
    <row r="1029" spans="1:2" x14ac:dyDescent="0.25">
      <c r="A1029" t="s">
        <v>2374</v>
      </c>
      <c r="B1029" t="s">
        <v>591</v>
      </c>
    </row>
    <row r="1030" spans="1:2" x14ac:dyDescent="0.25">
      <c r="A1030" t="s">
        <v>2375</v>
      </c>
      <c r="B1030" t="s">
        <v>591</v>
      </c>
    </row>
    <row r="1031" spans="1:2" x14ac:dyDescent="0.25">
      <c r="A1031" t="s">
        <v>2376</v>
      </c>
      <c r="B1031" t="s">
        <v>591</v>
      </c>
    </row>
    <row r="1032" spans="1:2" x14ac:dyDescent="0.25">
      <c r="A1032" t="s">
        <v>2377</v>
      </c>
      <c r="B1032" t="s">
        <v>591</v>
      </c>
    </row>
    <row r="1033" spans="1:2" x14ac:dyDescent="0.25">
      <c r="A1033" t="s">
        <v>2378</v>
      </c>
      <c r="B1033" t="s">
        <v>591</v>
      </c>
    </row>
    <row r="1034" spans="1:2" x14ac:dyDescent="0.25">
      <c r="A1034" t="s">
        <v>2379</v>
      </c>
      <c r="B1034" t="s">
        <v>591</v>
      </c>
    </row>
    <row r="1035" spans="1:2" x14ac:dyDescent="0.25">
      <c r="A1035" t="s">
        <v>614</v>
      </c>
      <c r="B1035" t="s">
        <v>591</v>
      </c>
    </row>
    <row r="1036" spans="1:2" x14ac:dyDescent="0.25">
      <c r="A1036" t="s">
        <v>2380</v>
      </c>
      <c r="B1036" t="s">
        <v>591</v>
      </c>
    </row>
    <row r="1037" spans="1:2" x14ac:dyDescent="0.25">
      <c r="A1037" t="s">
        <v>2381</v>
      </c>
      <c r="B1037" t="s">
        <v>591</v>
      </c>
    </row>
    <row r="1038" spans="1:2" x14ac:dyDescent="0.25">
      <c r="A1038" t="s">
        <v>2382</v>
      </c>
      <c r="B1038" t="s">
        <v>591</v>
      </c>
    </row>
    <row r="1039" spans="1:2" x14ac:dyDescent="0.25">
      <c r="A1039" t="s">
        <v>2383</v>
      </c>
      <c r="B1039" t="s">
        <v>591</v>
      </c>
    </row>
    <row r="1040" spans="1:2" x14ac:dyDescent="0.25">
      <c r="A1040" t="s">
        <v>2384</v>
      </c>
      <c r="B1040" t="s">
        <v>591</v>
      </c>
    </row>
    <row r="1041" spans="1:2" x14ac:dyDescent="0.25">
      <c r="A1041" t="s">
        <v>2385</v>
      </c>
      <c r="B1041" t="s">
        <v>591</v>
      </c>
    </row>
    <row r="1042" spans="1:2" x14ac:dyDescent="0.25">
      <c r="A1042" t="s">
        <v>2386</v>
      </c>
      <c r="B1042" t="s">
        <v>591</v>
      </c>
    </row>
    <row r="1043" spans="1:2" x14ac:dyDescent="0.25">
      <c r="A1043" t="s">
        <v>615</v>
      </c>
      <c r="B1043" t="s">
        <v>591</v>
      </c>
    </row>
    <row r="1044" spans="1:2" x14ac:dyDescent="0.25">
      <c r="A1044" t="s">
        <v>2387</v>
      </c>
      <c r="B1044" t="s">
        <v>591</v>
      </c>
    </row>
    <row r="1045" spans="1:2" x14ac:dyDescent="0.25">
      <c r="A1045" t="s">
        <v>2388</v>
      </c>
      <c r="B1045" t="s">
        <v>591</v>
      </c>
    </row>
    <row r="1046" spans="1:2" x14ac:dyDescent="0.25">
      <c r="A1046" t="s">
        <v>2389</v>
      </c>
      <c r="B1046" t="s">
        <v>591</v>
      </c>
    </row>
    <row r="1047" spans="1:2" x14ac:dyDescent="0.25">
      <c r="A1047" t="s">
        <v>2390</v>
      </c>
      <c r="B1047" t="s">
        <v>591</v>
      </c>
    </row>
    <row r="1048" spans="1:2" x14ac:dyDescent="0.25">
      <c r="A1048" t="s">
        <v>2391</v>
      </c>
      <c r="B1048" t="s">
        <v>591</v>
      </c>
    </row>
    <row r="1049" spans="1:2" x14ac:dyDescent="0.25">
      <c r="A1049" t="s">
        <v>2392</v>
      </c>
      <c r="B1049" t="s">
        <v>591</v>
      </c>
    </row>
    <row r="1050" spans="1:2" x14ac:dyDescent="0.25">
      <c r="A1050" t="s">
        <v>2393</v>
      </c>
      <c r="B1050" t="s">
        <v>591</v>
      </c>
    </row>
    <row r="1051" spans="1:2" x14ac:dyDescent="0.25">
      <c r="A1051" t="s">
        <v>616</v>
      </c>
      <c r="B1051" t="s">
        <v>591</v>
      </c>
    </row>
    <row r="1052" spans="1:2" x14ac:dyDescent="0.25">
      <c r="A1052" t="s">
        <v>2394</v>
      </c>
      <c r="B1052" t="s">
        <v>591</v>
      </c>
    </row>
    <row r="1053" spans="1:2" x14ac:dyDescent="0.25">
      <c r="A1053" t="s">
        <v>2395</v>
      </c>
      <c r="B1053" t="s">
        <v>591</v>
      </c>
    </row>
    <row r="1054" spans="1:2" x14ac:dyDescent="0.25">
      <c r="A1054" t="s">
        <v>2396</v>
      </c>
      <c r="B1054" t="s">
        <v>591</v>
      </c>
    </row>
    <row r="1055" spans="1:2" x14ac:dyDescent="0.25">
      <c r="A1055" t="s">
        <v>2397</v>
      </c>
      <c r="B1055" t="s">
        <v>591</v>
      </c>
    </row>
    <row r="1056" spans="1:2" x14ac:dyDescent="0.25">
      <c r="A1056" t="s">
        <v>2398</v>
      </c>
      <c r="B1056" t="s">
        <v>591</v>
      </c>
    </row>
    <row r="1057" spans="1:2" x14ac:dyDescent="0.25">
      <c r="A1057" t="s">
        <v>2399</v>
      </c>
      <c r="B1057" t="s">
        <v>591</v>
      </c>
    </row>
    <row r="1058" spans="1:2" x14ac:dyDescent="0.25">
      <c r="A1058" t="s">
        <v>2400</v>
      </c>
      <c r="B1058" t="s">
        <v>591</v>
      </c>
    </row>
    <row r="1059" spans="1:2" x14ac:dyDescent="0.25">
      <c r="A1059" t="s">
        <v>617</v>
      </c>
      <c r="B1059" t="s">
        <v>591</v>
      </c>
    </row>
    <row r="1060" spans="1:2" x14ac:dyDescent="0.25">
      <c r="A1060" t="s">
        <v>2401</v>
      </c>
      <c r="B1060" t="s">
        <v>591</v>
      </c>
    </row>
    <row r="1061" spans="1:2" x14ac:dyDescent="0.25">
      <c r="A1061" t="s">
        <v>2402</v>
      </c>
      <c r="B1061" t="s">
        <v>591</v>
      </c>
    </row>
    <row r="1062" spans="1:2" x14ac:dyDescent="0.25">
      <c r="A1062" t="s">
        <v>2403</v>
      </c>
      <c r="B1062" t="s">
        <v>591</v>
      </c>
    </row>
    <row r="1063" spans="1:2" x14ac:dyDescent="0.25">
      <c r="A1063" t="s">
        <v>2404</v>
      </c>
      <c r="B1063" t="s">
        <v>591</v>
      </c>
    </row>
    <row r="1064" spans="1:2" x14ac:dyDescent="0.25">
      <c r="A1064" t="s">
        <v>618</v>
      </c>
      <c r="B1064" t="s">
        <v>591</v>
      </c>
    </row>
    <row r="1065" spans="1:2" x14ac:dyDescent="0.25">
      <c r="A1065" t="s">
        <v>2405</v>
      </c>
      <c r="B1065" t="s">
        <v>591</v>
      </c>
    </row>
    <row r="1066" spans="1:2" x14ac:dyDescent="0.25">
      <c r="A1066" t="s">
        <v>2406</v>
      </c>
      <c r="B1066" t="s">
        <v>591</v>
      </c>
    </row>
    <row r="1067" spans="1:2" x14ac:dyDescent="0.25">
      <c r="A1067" t="s">
        <v>2407</v>
      </c>
      <c r="B1067" t="s">
        <v>591</v>
      </c>
    </row>
    <row r="1068" spans="1:2" x14ac:dyDescent="0.25">
      <c r="A1068" t="s">
        <v>2408</v>
      </c>
      <c r="B1068" t="s">
        <v>591</v>
      </c>
    </row>
    <row r="1069" spans="1:2" x14ac:dyDescent="0.25">
      <c r="A1069" t="s">
        <v>2409</v>
      </c>
      <c r="B1069" t="s">
        <v>591</v>
      </c>
    </row>
    <row r="1070" spans="1:2" x14ac:dyDescent="0.25">
      <c r="A1070" t="s">
        <v>619</v>
      </c>
      <c r="B1070" t="s">
        <v>591</v>
      </c>
    </row>
    <row r="1071" spans="1:2" x14ac:dyDescent="0.25">
      <c r="A1071" t="s">
        <v>2410</v>
      </c>
      <c r="B1071" t="s">
        <v>591</v>
      </c>
    </row>
    <row r="1072" spans="1:2" x14ac:dyDescent="0.25">
      <c r="A1072" t="s">
        <v>2411</v>
      </c>
      <c r="B1072" t="s">
        <v>591</v>
      </c>
    </row>
    <row r="1073" spans="1:2" x14ac:dyDescent="0.25">
      <c r="A1073" t="s">
        <v>2412</v>
      </c>
      <c r="B1073" t="s">
        <v>591</v>
      </c>
    </row>
    <row r="1074" spans="1:2" x14ac:dyDescent="0.25">
      <c r="A1074" t="s">
        <v>2413</v>
      </c>
      <c r="B1074" t="s">
        <v>591</v>
      </c>
    </row>
    <row r="1075" spans="1:2" x14ac:dyDescent="0.25">
      <c r="A1075" t="s">
        <v>2414</v>
      </c>
      <c r="B1075" t="s">
        <v>591</v>
      </c>
    </row>
    <row r="1076" spans="1:2" x14ac:dyDescent="0.25">
      <c r="A1076" t="s">
        <v>2415</v>
      </c>
      <c r="B1076" t="s">
        <v>591</v>
      </c>
    </row>
    <row r="1077" spans="1:2" x14ac:dyDescent="0.25">
      <c r="A1077" t="s">
        <v>2416</v>
      </c>
      <c r="B1077" t="s">
        <v>591</v>
      </c>
    </row>
    <row r="1078" spans="1:2" x14ac:dyDescent="0.25">
      <c r="A1078" t="s">
        <v>2417</v>
      </c>
      <c r="B1078" t="s">
        <v>591</v>
      </c>
    </row>
    <row r="1079" spans="1:2" x14ac:dyDescent="0.25">
      <c r="A1079" t="s">
        <v>620</v>
      </c>
      <c r="B1079" t="s">
        <v>591</v>
      </c>
    </row>
    <row r="1080" spans="1:2" x14ac:dyDescent="0.25">
      <c r="A1080" t="s">
        <v>2418</v>
      </c>
      <c r="B1080" t="s">
        <v>591</v>
      </c>
    </row>
    <row r="1081" spans="1:2" x14ac:dyDescent="0.25">
      <c r="A1081" t="s">
        <v>2419</v>
      </c>
      <c r="B1081" t="s">
        <v>591</v>
      </c>
    </row>
    <row r="1082" spans="1:2" x14ac:dyDescent="0.25">
      <c r="A1082" t="s">
        <v>2420</v>
      </c>
      <c r="B1082" t="s">
        <v>591</v>
      </c>
    </row>
    <row r="1083" spans="1:2" x14ac:dyDescent="0.25">
      <c r="A1083" t="s">
        <v>2421</v>
      </c>
      <c r="B1083" t="s">
        <v>591</v>
      </c>
    </row>
    <row r="1084" spans="1:2" x14ac:dyDescent="0.25">
      <c r="A1084" t="s">
        <v>2422</v>
      </c>
      <c r="B1084" t="s">
        <v>591</v>
      </c>
    </row>
    <row r="1085" spans="1:2" x14ac:dyDescent="0.25">
      <c r="A1085" t="s">
        <v>2423</v>
      </c>
      <c r="B1085" t="s">
        <v>591</v>
      </c>
    </row>
    <row r="1086" spans="1:2" x14ac:dyDescent="0.25">
      <c r="A1086" t="s">
        <v>2424</v>
      </c>
      <c r="B1086" t="s">
        <v>591</v>
      </c>
    </row>
    <row r="1087" spans="1:2" x14ac:dyDescent="0.25">
      <c r="A1087" t="s">
        <v>2425</v>
      </c>
      <c r="B1087" t="s">
        <v>591</v>
      </c>
    </row>
    <row r="1088" spans="1:2" x14ac:dyDescent="0.25">
      <c r="A1088" t="s">
        <v>621</v>
      </c>
      <c r="B1088" t="s">
        <v>591</v>
      </c>
    </row>
    <row r="1089" spans="1:2" x14ac:dyDescent="0.25">
      <c r="A1089" t="s">
        <v>2426</v>
      </c>
      <c r="B1089" t="s">
        <v>591</v>
      </c>
    </row>
    <row r="1090" spans="1:2" x14ac:dyDescent="0.25">
      <c r="A1090" t="s">
        <v>2427</v>
      </c>
      <c r="B1090" t="s">
        <v>591</v>
      </c>
    </row>
    <row r="1091" spans="1:2" x14ac:dyDescent="0.25">
      <c r="A1091" t="s">
        <v>2428</v>
      </c>
      <c r="B1091" t="s">
        <v>591</v>
      </c>
    </row>
    <row r="1092" spans="1:2" x14ac:dyDescent="0.25">
      <c r="A1092" t="s">
        <v>2429</v>
      </c>
      <c r="B1092" t="s">
        <v>591</v>
      </c>
    </row>
    <row r="1093" spans="1:2" x14ac:dyDescent="0.25">
      <c r="A1093" t="s">
        <v>2430</v>
      </c>
      <c r="B1093" t="s">
        <v>591</v>
      </c>
    </row>
    <row r="1094" spans="1:2" x14ac:dyDescent="0.25">
      <c r="A1094" t="s">
        <v>2431</v>
      </c>
      <c r="B1094" t="s">
        <v>591</v>
      </c>
    </row>
    <row r="1095" spans="1:2" x14ac:dyDescent="0.25">
      <c r="A1095" t="s">
        <v>2432</v>
      </c>
      <c r="B1095" t="s">
        <v>591</v>
      </c>
    </row>
    <row r="1096" spans="1:2" x14ac:dyDescent="0.25">
      <c r="A1096" t="s">
        <v>2433</v>
      </c>
      <c r="B1096" t="s">
        <v>591</v>
      </c>
    </row>
    <row r="1097" spans="1:2" x14ac:dyDescent="0.25">
      <c r="A1097" t="s">
        <v>2434</v>
      </c>
      <c r="B1097" t="s">
        <v>591</v>
      </c>
    </row>
    <row r="1098" spans="1:2" x14ac:dyDescent="0.25">
      <c r="A1098" t="s">
        <v>2435</v>
      </c>
      <c r="B1098" t="s">
        <v>591</v>
      </c>
    </row>
    <row r="1099" spans="1:2" x14ac:dyDescent="0.25">
      <c r="A1099" t="s">
        <v>2436</v>
      </c>
      <c r="B1099" t="s">
        <v>591</v>
      </c>
    </row>
    <row r="1100" spans="1:2" x14ac:dyDescent="0.25">
      <c r="A1100" t="s">
        <v>2437</v>
      </c>
      <c r="B1100" t="s">
        <v>591</v>
      </c>
    </row>
    <row r="1101" spans="1:2" x14ac:dyDescent="0.25">
      <c r="A1101" t="s">
        <v>2438</v>
      </c>
      <c r="B1101" t="s">
        <v>591</v>
      </c>
    </row>
    <row r="1102" spans="1:2" x14ac:dyDescent="0.25">
      <c r="A1102" t="s">
        <v>2439</v>
      </c>
      <c r="B1102" t="s">
        <v>591</v>
      </c>
    </row>
    <row r="1103" spans="1:2" x14ac:dyDescent="0.25">
      <c r="A1103" t="s">
        <v>622</v>
      </c>
      <c r="B1103" t="s">
        <v>591</v>
      </c>
    </row>
    <row r="1104" spans="1:2" x14ac:dyDescent="0.25">
      <c r="A1104" t="s">
        <v>2440</v>
      </c>
      <c r="B1104" t="s">
        <v>591</v>
      </c>
    </row>
    <row r="1105" spans="1:2" x14ac:dyDescent="0.25">
      <c r="A1105" t="s">
        <v>2441</v>
      </c>
      <c r="B1105" t="s">
        <v>591</v>
      </c>
    </row>
    <row r="1106" spans="1:2" x14ac:dyDescent="0.25">
      <c r="A1106" t="s">
        <v>2442</v>
      </c>
      <c r="B1106" t="s">
        <v>591</v>
      </c>
    </row>
    <row r="1107" spans="1:2" x14ac:dyDescent="0.25">
      <c r="A1107" t="s">
        <v>2443</v>
      </c>
      <c r="B1107" t="s">
        <v>591</v>
      </c>
    </row>
    <row r="1108" spans="1:2" x14ac:dyDescent="0.25">
      <c r="A1108" t="s">
        <v>2444</v>
      </c>
      <c r="B1108" t="s">
        <v>591</v>
      </c>
    </row>
    <row r="1109" spans="1:2" x14ac:dyDescent="0.25">
      <c r="A1109" t="s">
        <v>2445</v>
      </c>
      <c r="B1109" t="s">
        <v>591</v>
      </c>
    </row>
    <row r="1110" spans="1:2" x14ac:dyDescent="0.25">
      <c r="A1110" t="s">
        <v>2446</v>
      </c>
      <c r="B1110" t="s">
        <v>591</v>
      </c>
    </row>
    <row r="1111" spans="1:2" x14ac:dyDescent="0.25">
      <c r="A1111" t="s">
        <v>2447</v>
      </c>
      <c r="B1111" t="s">
        <v>591</v>
      </c>
    </row>
    <row r="1112" spans="1:2" x14ac:dyDescent="0.25">
      <c r="A1112" t="s">
        <v>2448</v>
      </c>
      <c r="B1112" t="s">
        <v>591</v>
      </c>
    </row>
    <row r="1113" spans="1:2" x14ac:dyDescent="0.25">
      <c r="A1113" t="s">
        <v>2449</v>
      </c>
      <c r="B1113" t="s">
        <v>591</v>
      </c>
    </row>
    <row r="1114" spans="1:2" x14ac:dyDescent="0.25">
      <c r="A1114" t="s">
        <v>2450</v>
      </c>
      <c r="B1114" t="s">
        <v>591</v>
      </c>
    </row>
    <row r="1115" spans="1:2" x14ac:dyDescent="0.25">
      <c r="A1115" t="s">
        <v>2451</v>
      </c>
      <c r="B1115" t="s">
        <v>591</v>
      </c>
    </row>
    <row r="1116" spans="1:2" x14ac:dyDescent="0.25">
      <c r="A1116" t="s">
        <v>2452</v>
      </c>
      <c r="B1116" t="s">
        <v>591</v>
      </c>
    </row>
    <row r="1117" spans="1:2" x14ac:dyDescent="0.25">
      <c r="A1117" t="s">
        <v>2453</v>
      </c>
      <c r="B1117" t="s">
        <v>591</v>
      </c>
    </row>
    <row r="1118" spans="1:2" x14ac:dyDescent="0.25">
      <c r="A1118" t="s">
        <v>623</v>
      </c>
      <c r="B1118" t="s">
        <v>591</v>
      </c>
    </row>
    <row r="1119" spans="1:2" x14ac:dyDescent="0.25">
      <c r="A1119" t="s">
        <v>2454</v>
      </c>
      <c r="B1119" t="s">
        <v>591</v>
      </c>
    </row>
    <row r="1120" spans="1:2" x14ac:dyDescent="0.25">
      <c r="A1120" t="s">
        <v>2455</v>
      </c>
      <c r="B1120" t="s">
        <v>591</v>
      </c>
    </row>
    <row r="1121" spans="1:2" x14ac:dyDescent="0.25">
      <c r="A1121" t="s">
        <v>2456</v>
      </c>
      <c r="B1121" t="s">
        <v>591</v>
      </c>
    </row>
    <row r="1122" spans="1:2" x14ac:dyDescent="0.25">
      <c r="A1122" t="s">
        <v>2457</v>
      </c>
      <c r="B1122" t="s">
        <v>591</v>
      </c>
    </row>
    <row r="1123" spans="1:2" x14ac:dyDescent="0.25">
      <c r="A1123" t="s">
        <v>2458</v>
      </c>
      <c r="B1123" t="s">
        <v>591</v>
      </c>
    </row>
    <row r="1124" spans="1:2" x14ac:dyDescent="0.25">
      <c r="A1124" t="s">
        <v>2459</v>
      </c>
      <c r="B1124" t="s">
        <v>591</v>
      </c>
    </row>
    <row r="1125" spans="1:2" x14ac:dyDescent="0.25">
      <c r="A1125" t="s">
        <v>2460</v>
      </c>
      <c r="B1125" t="s">
        <v>591</v>
      </c>
    </row>
    <row r="1126" spans="1:2" x14ac:dyDescent="0.25">
      <c r="A1126" t="s">
        <v>2461</v>
      </c>
      <c r="B1126" t="s">
        <v>591</v>
      </c>
    </row>
    <row r="1127" spans="1:2" x14ac:dyDescent="0.25">
      <c r="A1127" t="s">
        <v>2462</v>
      </c>
      <c r="B1127" t="s">
        <v>591</v>
      </c>
    </row>
    <row r="1128" spans="1:2" x14ac:dyDescent="0.25">
      <c r="A1128" t="s">
        <v>2463</v>
      </c>
      <c r="B1128" t="s">
        <v>591</v>
      </c>
    </row>
    <row r="1129" spans="1:2" x14ac:dyDescent="0.25">
      <c r="A1129" t="s">
        <v>2464</v>
      </c>
      <c r="B1129" t="s">
        <v>591</v>
      </c>
    </row>
    <row r="1130" spans="1:2" x14ac:dyDescent="0.25">
      <c r="A1130" t="s">
        <v>2465</v>
      </c>
      <c r="B1130" t="s">
        <v>591</v>
      </c>
    </row>
    <row r="1131" spans="1:2" x14ac:dyDescent="0.25">
      <c r="A1131" t="s">
        <v>2466</v>
      </c>
      <c r="B1131" t="s">
        <v>591</v>
      </c>
    </row>
    <row r="1132" spans="1:2" x14ac:dyDescent="0.25">
      <c r="A1132" t="s">
        <v>2467</v>
      </c>
      <c r="B1132" t="s">
        <v>591</v>
      </c>
    </row>
    <row r="1133" spans="1:2" x14ac:dyDescent="0.25">
      <c r="A1133" t="s">
        <v>624</v>
      </c>
      <c r="B1133" t="s">
        <v>591</v>
      </c>
    </row>
    <row r="1134" spans="1:2" x14ac:dyDescent="0.25">
      <c r="A1134" t="s">
        <v>2468</v>
      </c>
      <c r="B1134" t="s">
        <v>591</v>
      </c>
    </row>
    <row r="1135" spans="1:2" x14ac:dyDescent="0.25">
      <c r="A1135" t="s">
        <v>2469</v>
      </c>
      <c r="B1135" t="s">
        <v>591</v>
      </c>
    </row>
    <row r="1136" spans="1:2" x14ac:dyDescent="0.25">
      <c r="A1136" t="s">
        <v>2470</v>
      </c>
      <c r="B1136" t="s">
        <v>591</v>
      </c>
    </row>
    <row r="1137" spans="1:2" x14ac:dyDescent="0.25">
      <c r="A1137" t="s">
        <v>2471</v>
      </c>
      <c r="B1137" t="s">
        <v>591</v>
      </c>
    </row>
    <row r="1138" spans="1:2" x14ac:dyDescent="0.25">
      <c r="A1138" t="s">
        <v>2472</v>
      </c>
      <c r="B1138" t="s">
        <v>591</v>
      </c>
    </row>
    <row r="1139" spans="1:2" x14ac:dyDescent="0.25">
      <c r="A1139" t="s">
        <v>2473</v>
      </c>
      <c r="B1139" t="s">
        <v>591</v>
      </c>
    </row>
    <row r="1140" spans="1:2" x14ac:dyDescent="0.25">
      <c r="A1140" t="s">
        <v>2474</v>
      </c>
      <c r="B1140" t="s">
        <v>591</v>
      </c>
    </row>
    <row r="1141" spans="1:2" x14ac:dyDescent="0.25">
      <c r="A1141" t="s">
        <v>2475</v>
      </c>
      <c r="B1141" t="s">
        <v>591</v>
      </c>
    </row>
    <row r="1142" spans="1:2" x14ac:dyDescent="0.25">
      <c r="A1142" t="s">
        <v>2476</v>
      </c>
      <c r="B1142" t="s">
        <v>591</v>
      </c>
    </row>
    <row r="1143" spans="1:2" x14ac:dyDescent="0.25">
      <c r="A1143" t="s">
        <v>2477</v>
      </c>
      <c r="B1143" t="s">
        <v>591</v>
      </c>
    </row>
    <row r="1144" spans="1:2" x14ac:dyDescent="0.25">
      <c r="A1144" t="s">
        <v>2478</v>
      </c>
      <c r="B1144" t="s">
        <v>591</v>
      </c>
    </row>
    <row r="1145" spans="1:2" x14ac:dyDescent="0.25">
      <c r="A1145" t="s">
        <v>2479</v>
      </c>
      <c r="B1145" t="s">
        <v>591</v>
      </c>
    </row>
    <row r="1146" spans="1:2" x14ac:dyDescent="0.25">
      <c r="A1146" t="s">
        <v>2480</v>
      </c>
      <c r="B1146" t="s">
        <v>591</v>
      </c>
    </row>
    <row r="1147" spans="1:2" x14ac:dyDescent="0.25">
      <c r="A1147" t="s">
        <v>2481</v>
      </c>
      <c r="B1147" t="s">
        <v>591</v>
      </c>
    </row>
    <row r="1148" spans="1:2" x14ac:dyDescent="0.25">
      <c r="A1148" t="s">
        <v>625</v>
      </c>
      <c r="B1148" t="s">
        <v>591</v>
      </c>
    </row>
    <row r="1149" spans="1:2" x14ac:dyDescent="0.25">
      <c r="A1149" t="s">
        <v>2482</v>
      </c>
      <c r="B1149" t="s">
        <v>591</v>
      </c>
    </row>
    <row r="1150" spans="1:2" x14ac:dyDescent="0.25">
      <c r="A1150" t="s">
        <v>2483</v>
      </c>
      <c r="B1150" t="s">
        <v>591</v>
      </c>
    </row>
    <row r="1151" spans="1:2" x14ac:dyDescent="0.25">
      <c r="A1151" t="s">
        <v>2484</v>
      </c>
      <c r="B1151" t="s">
        <v>591</v>
      </c>
    </row>
    <row r="1152" spans="1:2" x14ac:dyDescent="0.25">
      <c r="A1152" t="s">
        <v>2485</v>
      </c>
      <c r="B1152" t="s">
        <v>591</v>
      </c>
    </row>
    <row r="1153" spans="1:2" x14ac:dyDescent="0.25">
      <c r="A1153" t="s">
        <v>2486</v>
      </c>
      <c r="B1153" t="s">
        <v>591</v>
      </c>
    </row>
    <row r="1154" spans="1:2" x14ac:dyDescent="0.25">
      <c r="A1154" t="s">
        <v>2487</v>
      </c>
      <c r="B1154" t="s">
        <v>591</v>
      </c>
    </row>
    <row r="1155" spans="1:2" x14ac:dyDescent="0.25">
      <c r="A1155" t="s">
        <v>2488</v>
      </c>
      <c r="B1155" t="s">
        <v>591</v>
      </c>
    </row>
    <row r="1156" spans="1:2" x14ac:dyDescent="0.25">
      <c r="A1156" t="s">
        <v>2489</v>
      </c>
      <c r="B1156" t="s">
        <v>591</v>
      </c>
    </row>
    <row r="1157" spans="1:2" x14ac:dyDescent="0.25">
      <c r="A1157" t="s">
        <v>2490</v>
      </c>
      <c r="B1157" t="s">
        <v>591</v>
      </c>
    </row>
    <row r="1158" spans="1:2" x14ac:dyDescent="0.25">
      <c r="A1158" t="s">
        <v>2491</v>
      </c>
      <c r="B1158" t="s">
        <v>591</v>
      </c>
    </row>
    <row r="1159" spans="1:2" x14ac:dyDescent="0.25">
      <c r="A1159" t="s">
        <v>2492</v>
      </c>
      <c r="B1159" t="s">
        <v>591</v>
      </c>
    </row>
    <row r="1160" spans="1:2" x14ac:dyDescent="0.25">
      <c r="A1160" t="s">
        <v>2493</v>
      </c>
      <c r="B1160" t="s">
        <v>591</v>
      </c>
    </row>
    <row r="1161" spans="1:2" x14ac:dyDescent="0.25">
      <c r="A1161" t="s">
        <v>2494</v>
      </c>
      <c r="B1161" t="s">
        <v>591</v>
      </c>
    </row>
    <row r="1162" spans="1:2" x14ac:dyDescent="0.25">
      <c r="A1162" t="s">
        <v>2495</v>
      </c>
      <c r="B1162" t="s">
        <v>591</v>
      </c>
    </row>
    <row r="1163" spans="1:2" x14ac:dyDescent="0.25">
      <c r="A1163" t="s">
        <v>2496</v>
      </c>
      <c r="B1163" t="s">
        <v>591</v>
      </c>
    </row>
    <row r="1164" spans="1:2" x14ac:dyDescent="0.25">
      <c r="A1164" t="s">
        <v>2497</v>
      </c>
      <c r="B1164" t="s">
        <v>591</v>
      </c>
    </row>
    <row r="1165" spans="1:2" x14ac:dyDescent="0.25">
      <c r="A1165" t="s">
        <v>2498</v>
      </c>
      <c r="B1165" t="s">
        <v>591</v>
      </c>
    </row>
    <row r="1166" spans="1:2" x14ac:dyDescent="0.25">
      <c r="A1166" t="s">
        <v>2499</v>
      </c>
      <c r="B1166" t="s">
        <v>591</v>
      </c>
    </row>
    <row r="1167" spans="1:2" x14ac:dyDescent="0.25">
      <c r="A1167" t="s">
        <v>2500</v>
      </c>
      <c r="B1167" t="s">
        <v>591</v>
      </c>
    </row>
    <row r="1168" spans="1:2" x14ac:dyDescent="0.25">
      <c r="A1168" t="s">
        <v>2501</v>
      </c>
      <c r="B1168" t="s">
        <v>591</v>
      </c>
    </row>
    <row r="1169" spans="1:2" x14ac:dyDescent="0.25">
      <c r="A1169" t="s">
        <v>626</v>
      </c>
      <c r="B1169" t="s">
        <v>591</v>
      </c>
    </row>
    <row r="1170" spans="1:2" x14ac:dyDescent="0.25">
      <c r="A1170" t="s">
        <v>2502</v>
      </c>
      <c r="B1170" t="s">
        <v>591</v>
      </c>
    </row>
    <row r="1171" spans="1:2" x14ac:dyDescent="0.25">
      <c r="A1171" t="s">
        <v>2503</v>
      </c>
      <c r="B1171" t="s">
        <v>591</v>
      </c>
    </row>
    <row r="1172" spans="1:2" x14ac:dyDescent="0.25">
      <c r="A1172" t="s">
        <v>2504</v>
      </c>
      <c r="B1172" t="s">
        <v>591</v>
      </c>
    </row>
    <row r="1173" spans="1:2" x14ac:dyDescent="0.25">
      <c r="A1173" t="s">
        <v>2505</v>
      </c>
      <c r="B1173" t="s">
        <v>591</v>
      </c>
    </row>
    <row r="1174" spans="1:2" x14ac:dyDescent="0.25">
      <c r="A1174" t="s">
        <v>2506</v>
      </c>
      <c r="B1174" t="s">
        <v>591</v>
      </c>
    </row>
    <row r="1175" spans="1:2" x14ac:dyDescent="0.25">
      <c r="A1175" t="s">
        <v>2507</v>
      </c>
      <c r="B1175" t="s">
        <v>591</v>
      </c>
    </row>
    <row r="1176" spans="1:2" x14ac:dyDescent="0.25">
      <c r="A1176" t="s">
        <v>2508</v>
      </c>
      <c r="B1176" t="s">
        <v>591</v>
      </c>
    </row>
    <row r="1177" spans="1:2" x14ac:dyDescent="0.25">
      <c r="A1177" t="s">
        <v>2509</v>
      </c>
      <c r="B1177" t="s">
        <v>591</v>
      </c>
    </row>
    <row r="1178" spans="1:2" x14ac:dyDescent="0.25">
      <c r="A1178" t="s">
        <v>2510</v>
      </c>
      <c r="B1178" t="s">
        <v>591</v>
      </c>
    </row>
    <row r="1179" spans="1:2" x14ac:dyDescent="0.25">
      <c r="A1179" t="s">
        <v>2511</v>
      </c>
      <c r="B1179" t="s">
        <v>591</v>
      </c>
    </row>
    <row r="1180" spans="1:2" x14ac:dyDescent="0.25">
      <c r="A1180" t="s">
        <v>2512</v>
      </c>
      <c r="B1180" t="s">
        <v>591</v>
      </c>
    </row>
    <row r="1181" spans="1:2" x14ac:dyDescent="0.25">
      <c r="A1181" t="s">
        <v>2513</v>
      </c>
      <c r="B1181" t="s">
        <v>591</v>
      </c>
    </row>
    <row r="1182" spans="1:2" x14ac:dyDescent="0.25">
      <c r="A1182" t="s">
        <v>2514</v>
      </c>
      <c r="B1182" t="s">
        <v>591</v>
      </c>
    </row>
    <row r="1183" spans="1:2" x14ac:dyDescent="0.25">
      <c r="A1183" t="s">
        <v>2515</v>
      </c>
      <c r="B1183" t="s">
        <v>591</v>
      </c>
    </row>
    <row r="1184" spans="1:2" x14ac:dyDescent="0.25">
      <c r="A1184" t="s">
        <v>2516</v>
      </c>
      <c r="B1184" t="s">
        <v>591</v>
      </c>
    </row>
    <row r="1185" spans="1:2" x14ac:dyDescent="0.25">
      <c r="A1185" t="s">
        <v>2517</v>
      </c>
      <c r="B1185" t="s">
        <v>591</v>
      </c>
    </row>
    <row r="1186" spans="1:2" x14ac:dyDescent="0.25">
      <c r="A1186" t="s">
        <v>2518</v>
      </c>
      <c r="B1186" t="s">
        <v>591</v>
      </c>
    </row>
    <row r="1187" spans="1:2" x14ac:dyDescent="0.25">
      <c r="A1187" t="s">
        <v>2519</v>
      </c>
      <c r="B1187" t="s">
        <v>591</v>
      </c>
    </row>
    <row r="1188" spans="1:2" x14ac:dyDescent="0.25">
      <c r="A1188" t="s">
        <v>2520</v>
      </c>
      <c r="B1188" t="s">
        <v>591</v>
      </c>
    </row>
    <row r="1189" spans="1:2" x14ac:dyDescent="0.25">
      <c r="A1189" t="s">
        <v>2521</v>
      </c>
      <c r="B1189" t="s">
        <v>591</v>
      </c>
    </row>
    <row r="1190" spans="1:2" x14ac:dyDescent="0.25">
      <c r="A1190" t="s">
        <v>2522</v>
      </c>
    </row>
    <row r="1191" spans="1:2" x14ac:dyDescent="0.25">
      <c r="A1191" t="s">
        <v>2523</v>
      </c>
    </row>
    <row r="1192" spans="1:2" x14ac:dyDescent="0.25">
      <c r="A1192" t="s">
        <v>2524</v>
      </c>
    </row>
    <row r="1193" spans="1:2" x14ac:dyDescent="0.25">
      <c r="A1193" t="s">
        <v>2525</v>
      </c>
    </row>
    <row r="1194" spans="1:2" x14ac:dyDescent="0.25">
      <c r="A1194" t="s">
        <v>627</v>
      </c>
      <c r="B1194" t="s">
        <v>591</v>
      </c>
    </row>
    <row r="1195" spans="1:2" x14ac:dyDescent="0.25">
      <c r="A1195" t="s">
        <v>2526</v>
      </c>
      <c r="B1195" t="s">
        <v>591</v>
      </c>
    </row>
    <row r="1196" spans="1:2" x14ac:dyDescent="0.25">
      <c r="A1196" t="s">
        <v>2527</v>
      </c>
      <c r="B1196" t="s">
        <v>591</v>
      </c>
    </row>
    <row r="1197" spans="1:2" x14ac:dyDescent="0.25">
      <c r="A1197" t="s">
        <v>2528</v>
      </c>
      <c r="B1197" t="s">
        <v>591</v>
      </c>
    </row>
    <row r="1198" spans="1:2" x14ac:dyDescent="0.25">
      <c r="A1198" t="s">
        <v>2529</v>
      </c>
    </row>
    <row r="1199" spans="1:2" x14ac:dyDescent="0.25">
      <c r="A1199" t="s">
        <v>2530</v>
      </c>
      <c r="B1199" t="s">
        <v>591</v>
      </c>
    </row>
    <row r="1200" spans="1:2" x14ac:dyDescent="0.25">
      <c r="A1200" t="s">
        <v>2531</v>
      </c>
      <c r="B1200" t="s">
        <v>591</v>
      </c>
    </row>
    <row r="1201" spans="1:2" x14ac:dyDescent="0.25">
      <c r="A1201" t="s">
        <v>2532</v>
      </c>
      <c r="B1201" t="s">
        <v>591</v>
      </c>
    </row>
    <row r="1202" spans="1:2" x14ac:dyDescent="0.25">
      <c r="A1202" t="s">
        <v>628</v>
      </c>
      <c r="B1202" t="s">
        <v>591</v>
      </c>
    </row>
    <row r="1203" spans="1:2" x14ac:dyDescent="0.25">
      <c r="A1203" t="s">
        <v>2533</v>
      </c>
      <c r="B1203" t="s">
        <v>591</v>
      </c>
    </row>
    <row r="1204" spans="1:2" x14ac:dyDescent="0.25">
      <c r="A1204" t="s">
        <v>2534</v>
      </c>
      <c r="B1204" t="s">
        <v>591</v>
      </c>
    </row>
    <row r="1205" spans="1:2" x14ac:dyDescent="0.25">
      <c r="A1205" t="s">
        <v>2535</v>
      </c>
      <c r="B1205" t="s">
        <v>591</v>
      </c>
    </row>
    <row r="1206" spans="1:2" x14ac:dyDescent="0.25">
      <c r="A1206" t="s">
        <v>629</v>
      </c>
      <c r="B1206" t="s">
        <v>591</v>
      </c>
    </row>
    <row r="1207" spans="1:2" x14ac:dyDescent="0.25">
      <c r="A1207" t="s">
        <v>2536</v>
      </c>
      <c r="B1207" t="s">
        <v>591</v>
      </c>
    </row>
    <row r="1208" spans="1:2" x14ac:dyDescent="0.25">
      <c r="A1208" t="s">
        <v>2537</v>
      </c>
      <c r="B1208" t="s">
        <v>591</v>
      </c>
    </row>
    <row r="1209" spans="1:2" x14ac:dyDescent="0.25">
      <c r="A1209" t="s">
        <v>2538</v>
      </c>
      <c r="B1209" t="s">
        <v>591</v>
      </c>
    </row>
    <row r="1210" spans="1:2" x14ac:dyDescent="0.25">
      <c r="A1210" t="s">
        <v>2539</v>
      </c>
      <c r="B1210" t="s">
        <v>591</v>
      </c>
    </row>
    <row r="1211" spans="1:2" x14ac:dyDescent="0.25">
      <c r="A1211" t="s">
        <v>2540</v>
      </c>
    </row>
    <row r="1212" spans="1:2" x14ac:dyDescent="0.25">
      <c r="A1212" t="s">
        <v>2541</v>
      </c>
    </row>
    <row r="1213" spans="1:2" x14ac:dyDescent="0.25">
      <c r="A1213" t="s">
        <v>2542</v>
      </c>
    </row>
    <row r="1214" spans="1:2" x14ac:dyDescent="0.25">
      <c r="A1214" t="s">
        <v>2543</v>
      </c>
    </row>
    <row r="1215" spans="1:2" x14ac:dyDescent="0.25">
      <c r="A1215" t="s">
        <v>2544</v>
      </c>
    </row>
    <row r="1216" spans="1:2" x14ac:dyDescent="0.25">
      <c r="A1216" t="s">
        <v>630</v>
      </c>
      <c r="B1216" t="s">
        <v>591</v>
      </c>
    </row>
    <row r="1217" spans="1:2" x14ac:dyDescent="0.25">
      <c r="A1217" t="s">
        <v>2545</v>
      </c>
      <c r="B1217" t="s">
        <v>591</v>
      </c>
    </row>
    <row r="1218" spans="1:2" x14ac:dyDescent="0.25">
      <c r="A1218" t="s">
        <v>2546</v>
      </c>
      <c r="B1218" t="s">
        <v>591</v>
      </c>
    </row>
    <row r="1219" spans="1:2" x14ac:dyDescent="0.25">
      <c r="A1219" t="s">
        <v>2547</v>
      </c>
      <c r="B1219" t="s">
        <v>591</v>
      </c>
    </row>
    <row r="1220" spans="1:2" x14ac:dyDescent="0.25">
      <c r="A1220" t="s">
        <v>631</v>
      </c>
      <c r="B1220" t="s">
        <v>591</v>
      </c>
    </row>
    <row r="1221" spans="1:2" x14ac:dyDescent="0.25">
      <c r="A1221" t="s">
        <v>2548</v>
      </c>
      <c r="B1221" t="s">
        <v>591</v>
      </c>
    </row>
    <row r="1222" spans="1:2" x14ac:dyDescent="0.25">
      <c r="A1222" t="s">
        <v>2549</v>
      </c>
      <c r="B1222" t="s">
        <v>591</v>
      </c>
    </row>
    <row r="1223" spans="1:2" x14ac:dyDescent="0.25">
      <c r="A1223" t="s">
        <v>2550</v>
      </c>
      <c r="B1223" t="s">
        <v>591</v>
      </c>
    </row>
    <row r="1224" spans="1:2" x14ac:dyDescent="0.25">
      <c r="A1224" t="s">
        <v>814</v>
      </c>
      <c r="B1224" t="s">
        <v>591</v>
      </c>
    </row>
    <row r="1225" spans="1:2" x14ac:dyDescent="0.25">
      <c r="A1225" t="s">
        <v>815</v>
      </c>
      <c r="B1225" t="s">
        <v>591</v>
      </c>
    </row>
    <row r="1226" spans="1:2" x14ac:dyDescent="0.25">
      <c r="A1226" t="s">
        <v>817</v>
      </c>
      <c r="B1226" t="s">
        <v>591</v>
      </c>
    </row>
    <row r="1227" spans="1:2" x14ac:dyDescent="0.25">
      <c r="A1227" t="s">
        <v>818</v>
      </c>
      <c r="B1227" t="s">
        <v>591</v>
      </c>
    </row>
    <row r="1228" spans="1:2" x14ac:dyDescent="0.25">
      <c r="A1228" t="s">
        <v>819</v>
      </c>
      <c r="B1228" t="s">
        <v>591</v>
      </c>
    </row>
    <row r="1229" spans="1:2" x14ac:dyDescent="0.25">
      <c r="A1229" t="s">
        <v>820</v>
      </c>
      <c r="B1229" t="s">
        <v>591</v>
      </c>
    </row>
    <row r="1230" spans="1:2" x14ac:dyDescent="0.25">
      <c r="A1230" t="s">
        <v>813</v>
      </c>
      <c r="B1230" t="s">
        <v>591</v>
      </c>
    </row>
    <row r="1231" spans="1:2" x14ac:dyDescent="0.25">
      <c r="A1231" t="s">
        <v>2551</v>
      </c>
      <c r="B1231" t="s">
        <v>591</v>
      </c>
    </row>
    <row r="1232" spans="1:2" x14ac:dyDescent="0.25">
      <c r="A1232" t="s">
        <v>2552</v>
      </c>
      <c r="B1232" t="s">
        <v>591</v>
      </c>
    </row>
    <row r="1233" spans="1:2" x14ac:dyDescent="0.25">
      <c r="A1233" t="s">
        <v>2553</v>
      </c>
      <c r="B1233" t="s">
        <v>591</v>
      </c>
    </row>
    <row r="1234" spans="1:2" x14ac:dyDescent="0.25">
      <c r="A1234" t="s">
        <v>2554</v>
      </c>
      <c r="B1234" t="s">
        <v>591</v>
      </c>
    </row>
    <row r="1235" spans="1:2" x14ac:dyDescent="0.25">
      <c r="A1235" t="s">
        <v>2555</v>
      </c>
      <c r="B1235" t="s">
        <v>591</v>
      </c>
    </row>
    <row r="1236" spans="1:2" x14ac:dyDescent="0.25">
      <c r="A1236" t="s">
        <v>2556</v>
      </c>
      <c r="B1236" t="s">
        <v>591</v>
      </c>
    </row>
    <row r="1237" spans="1:2" x14ac:dyDescent="0.25">
      <c r="A1237" t="s">
        <v>2557</v>
      </c>
      <c r="B1237" t="s">
        <v>591</v>
      </c>
    </row>
    <row r="1238" spans="1:2" x14ac:dyDescent="0.25">
      <c r="A1238" t="s">
        <v>2558</v>
      </c>
      <c r="B1238" t="s">
        <v>591</v>
      </c>
    </row>
    <row r="1239" spans="1:2" x14ac:dyDescent="0.25">
      <c r="A1239" t="s">
        <v>2559</v>
      </c>
      <c r="B1239" t="s">
        <v>591</v>
      </c>
    </row>
    <row r="1240" spans="1:2" x14ac:dyDescent="0.25">
      <c r="A1240" t="s">
        <v>821</v>
      </c>
      <c r="B1240" t="s">
        <v>591</v>
      </c>
    </row>
    <row r="1241" spans="1:2" x14ac:dyDescent="0.25">
      <c r="A1241" t="s">
        <v>2560</v>
      </c>
      <c r="B1241" t="s">
        <v>591</v>
      </c>
    </row>
    <row r="1242" spans="1:2" x14ac:dyDescent="0.25">
      <c r="A1242" t="s">
        <v>2561</v>
      </c>
      <c r="B1242" t="s">
        <v>591</v>
      </c>
    </row>
    <row r="1243" spans="1:2" x14ac:dyDescent="0.25">
      <c r="A1243" t="s">
        <v>2562</v>
      </c>
      <c r="B1243" t="s">
        <v>591</v>
      </c>
    </row>
    <row r="1244" spans="1:2" x14ac:dyDescent="0.25">
      <c r="A1244" t="s">
        <v>2563</v>
      </c>
      <c r="B1244" t="s">
        <v>591</v>
      </c>
    </row>
    <row r="1245" spans="1:2" x14ac:dyDescent="0.25">
      <c r="A1245" t="s">
        <v>2564</v>
      </c>
      <c r="B1245" t="s">
        <v>591</v>
      </c>
    </row>
    <row r="1246" spans="1:2" x14ac:dyDescent="0.25">
      <c r="A1246" t="s">
        <v>2565</v>
      </c>
      <c r="B1246" t="s">
        <v>591</v>
      </c>
    </row>
    <row r="1247" spans="1:2" x14ac:dyDescent="0.25">
      <c r="A1247" t="s">
        <v>822</v>
      </c>
      <c r="B1247" t="s">
        <v>591</v>
      </c>
    </row>
    <row r="1248" spans="1:2" x14ac:dyDescent="0.25">
      <c r="A1248" t="s">
        <v>2566</v>
      </c>
      <c r="B1248" t="s">
        <v>591</v>
      </c>
    </row>
    <row r="1249" spans="1:2" x14ac:dyDescent="0.25">
      <c r="A1249" t="s">
        <v>2567</v>
      </c>
      <c r="B1249" t="s">
        <v>591</v>
      </c>
    </row>
    <row r="1250" spans="1:2" x14ac:dyDescent="0.25">
      <c r="A1250" t="s">
        <v>2568</v>
      </c>
      <c r="B1250" t="s">
        <v>591</v>
      </c>
    </row>
    <row r="1251" spans="1:2" x14ac:dyDescent="0.25">
      <c r="A1251" t="s">
        <v>2569</v>
      </c>
      <c r="B1251" t="s">
        <v>591</v>
      </c>
    </row>
    <row r="1252" spans="1:2" x14ac:dyDescent="0.25">
      <c r="A1252" t="s">
        <v>2570</v>
      </c>
      <c r="B1252" t="s">
        <v>591</v>
      </c>
    </row>
    <row r="1253" spans="1:2" x14ac:dyDescent="0.25">
      <c r="A1253" t="s">
        <v>823</v>
      </c>
      <c r="B1253" t="s">
        <v>591</v>
      </c>
    </row>
    <row r="1254" spans="1:2" x14ac:dyDescent="0.25">
      <c r="A1254" t="s">
        <v>2571</v>
      </c>
      <c r="B1254" t="s">
        <v>591</v>
      </c>
    </row>
    <row r="1255" spans="1:2" x14ac:dyDescent="0.25">
      <c r="A1255" t="s">
        <v>2572</v>
      </c>
      <c r="B1255" t="s">
        <v>591</v>
      </c>
    </row>
    <row r="1256" spans="1:2" x14ac:dyDescent="0.25">
      <c r="A1256" t="s">
        <v>2573</v>
      </c>
      <c r="B1256" t="s">
        <v>591</v>
      </c>
    </row>
    <row r="1257" spans="1:2" x14ac:dyDescent="0.25">
      <c r="A1257" t="s">
        <v>2574</v>
      </c>
      <c r="B1257" t="s">
        <v>591</v>
      </c>
    </row>
    <row r="1258" spans="1:2" x14ac:dyDescent="0.25">
      <c r="A1258" t="s">
        <v>2575</v>
      </c>
      <c r="B1258" t="s">
        <v>591</v>
      </c>
    </row>
    <row r="1259" spans="1:2" x14ac:dyDescent="0.25">
      <c r="A1259" t="s">
        <v>1518</v>
      </c>
      <c r="B1259" t="s">
        <v>591</v>
      </c>
    </row>
    <row r="1260" spans="1:2" x14ac:dyDescent="0.25">
      <c r="A1260" t="s">
        <v>2576</v>
      </c>
      <c r="B1260" t="s">
        <v>591</v>
      </c>
    </row>
    <row r="1261" spans="1:2" x14ac:dyDescent="0.25">
      <c r="A1261" t="s">
        <v>2577</v>
      </c>
      <c r="B1261" t="s">
        <v>591</v>
      </c>
    </row>
    <row r="1262" spans="1:2" x14ac:dyDescent="0.25">
      <c r="A1262" t="s">
        <v>2578</v>
      </c>
      <c r="B1262" t="s">
        <v>591</v>
      </c>
    </row>
    <row r="1263" spans="1:2" x14ac:dyDescent="0.25">
      <c r="A1263" t="s">
        <v>2579</v>
      </c>
      <c r="B1263" t="s">
        <v>591</v>
      </c>
    </row>
    <row r="1264" spans="1:2" x14ac:dyDescent="0.25">
      <c r="A1264" t="s">
        <v>2580</v>
      </c>
      <c r="B1264" t="s">
        <v>591</v>
      </c>
    </row>
    <row r="1265" spans="1:2" x14ac:dyDescent="0.25">
      <c r="A1265" t="s">
        <v>2581</v>
      </c>
      <c r="B1265" t="s">
        <v>591</v>
      </c>
    </row>
    <row r="1266" spans="1:2" x14ac:dyDescent="0.25">
      <c r="A1266" t="s">
        <v>2582</v>
      </c>
      <c r="B1266" t="s">
        <v>591</v>
      </c>
    </row>
    <row r="1267" spans="1:2" x14ac:dyDescent="0.25">
      <c r="A1267" t="s">
        <v>2583</v>
      </c>
      <c r="B1267" t="s">
        <v>591</v>
      </c>
    </row>
    <row r="1268" spans="1:2" x14ac:dyDescent="0.25">
      <c r="A1268" t="s">
        <v>2584</v>
      </c>
      <c r="B1268" t="s">
        <v>591</v>
      </c>
    </row>
    <row r="1269" spans="1:2" x14ac:dyDescent="0.25">
      <c r="A1269" t="s">
        <v>2585</v>
      </c>
      <c r="B1269" t="s">
        <v>591</v>
      </c>
    </row>
    <row r="1270" spans="1:2" x14ac:dyDescent="0.25">
      <c r="A1270" t="s">
        <v>2586</v>
      </c>
      <c r="B1270" t="s">
        <v>591</v>
      </c>
    </row>
    <row r="1271" spans="1:2" x14ac:dyDescent="0.25">
      <c r="A1271" t="s">
        <v>2587</v>
      </c>
      <c r="B1271" t="s">
        <v>591</v>
      </c>
    </row>
    <row r="1272" spans="1:2" x14ac:dyDescent="0.25">
      <c r="A1272" t="s">
        <v>2588</v>
      </c>
      <c r="B1272" t="s">
        <v>591</v>
      </c>
    </row>
    <row r="1273" spans="1:2" x14ac:dyDescent="0.25">
      <c r="A1273" t="s">
        <v>2589</v>
      </c>
      <c r="B1273" t="s">
        <v>591</v>
      </c>
    </row>
    <row r="1274" spans="1:2" x14ac:dyDescent="0.25">
      <c r="A1274" t="s">
        <v>2590</v>
      </c>
      <c r="B1274" t="s">
        <v>591</v>
      </c>
    </row>
    <row r="1275" spans="1:2" x14ac:dyDescent="0.25">
      <c r="A1275" t="s">
        <v>2591</v>
      </c>
      <c r="B1275" t="s">
        <v>591</v>
      </c>
    </row>
    <row r="1276" spans="1:2" x14ac:dyDescent="0.25">
      <c r="A1276" t="s">
        <v>2592</v>
      </c>
      <c r="B1276" t="s">
        <v>591</v>
      </c>
    </row>
    <row r="1277" spans="1:2" x14ac:dyDescent="0.25">
      <c r="A1277" t="s">
        <v>2593</v>
      </c>
      <c r="B1277" t="s">
        <v>591</v>
      </c>
    </row>
    <row r="1278" spans="1:2" x14ac:dyDescent="0.25">
      <c r="A1278" t="s">
        <v>2594</v>
      </c>
      <c r="B1278" t="s">
        <v>591</v>
      </c>
    </row>
    <row r="1279" spans="1:2" x14ac:dyDescent="0.25">
      <c r="A1279" t="s">
        <v>2595</v>
      </c>
      <c r="B1279" t="s">
        <v>591</v>
      </c>
    </row>
    <row r="1280" spans="1:2" x14ac:dyDescent="0.25">
      <c r="A1280" t="s">
        <v>2596</v>
      </c>
      <c r="B1280" t="s">
        <v>591</v>
      </c>
    </row>
    <row r="1281" spans="1:2" x14ac:dyDescent="0.25">
      <c r="A1281" t="s">
        <v>2597</v>
      </c>
      <c r="B1281" t="s">
        <v>591</v>
      </c>
    </row>
    <row r="1282" spans="1:2" x14ac:dyDescent="0.25">
      <c r="A1282" t="s">
        <v>2598</v>
      </c>
      <c r="B1282" t="s">
        <v>591</v>
      </c>
    </row>
    <row r="1283" spans="1:2" x14ac:dyDescent="0.25">
      <c r="A1283" t="s">
        <v>2599</v>
      </c>
      <c r="B1283" t="s">
        <v>591</v>
      </c>
    </row>
    <row r="1284" spans="1:2" x14ac:dyDescent="0.25">
      <c r="A1284" t="s">
        <v>2600</v>
      </c>
      <c r="B1284" t="s">
        <v>591</v>
      </c>
    </row>
    <row r="1285" spans="1:2" x14ac:dyDescent="0.25">
      <c r="A1285" t="s">
        <v>2601</v>
      </c>
      <c r="B1285" t="s">
        <v>591</v>
      </c>
    </row>
    <row r="1286" spans="1:2" x14ac:dyDescent="0.25">
      <c r="A1286" t="s">
        <v>2602</v>
      </c>
      <c r="B1286" t="s">
        <v>591</v>
      </c>
    </row>
    <row r="1287" spans="1:2" x14ac:dyDescent="0.25">
      <c r="A1287" t="s">
        <v>2603</v>
      </c>
      <c r="B1287" t="s">
        <v>591</v>
      </c>
    </row>
    <row r="1288" spans="1:2" x14ac:dyDescent="0.25">
      <c r="A1288" t="s">
        <v>2604</v>
      </c>
      <c r="B1288" t="s">
        <v>591</v>
      </c>
    </row>
    <row r="1289" spans="1:2" x14ac:dyDescent="0.25">
      <c r="A1289" t="s">
        <v>2605</v>
      </c>
      <c r="B1289" t="s">
        <v>591</v>
      </c>
    </row>
    <row r="1290" spans="1:2" x14ac:dyDescent="0.25">
      <c r="A1290" t="s">
        <v>2606</v>
      </c>
      <c r="B1290" t="s">
        <v>591</v>
      </c>
    </row>
    <row r="1291" spans="1:2" x14ac:dyDescent="0.25">
      <c r="A1291" t="s">
        <v>2607</v>
      </c>
      <c r="B1291" t="s">
        <v>591</v>
      </c>
    </row>
    <row r="1292" spans="1:2" x14ac:dyDescent="0.25">
      <c r="A1292" t="s">
        <v>2608</v>
      </c>
      <c r="B1292" t="s">
        <v>591</v>
      </c>
    </row>
    <row r="1293" spans="1:2" x14ac:dyDescent="0.25">
      <c r="A1293" t="s">
        <v>2609</v>
      </c>
      <c r="B1293" t="s">
        <v>591</v>
      </c>
    </row>
    <row r="1294" spans="1:2" x14ac:dyDescent="0.25">
      <c r="A1294" t="s">
        <v>2610</v>
      </c>
      <c r="B1294" t="s">
        <v>591</v>
      </c>
    </row>
    <row r="1295" spans="1:2" x14ac:dyDescent="0.25">
      <c r="A1295" t="s">
        <v>2611</v>
      </c>
      <c r="B1295" t="s">
        <v>591</v>
      </c>
    </row>
    <row r="1296" spans="1:2" x14ac:dyDescent="0.25">
      <c r="A1296" t="s">
        <v>824</v>
      </c>
      <c r="B1296" t="s">
        <v>591</v>
      </c>
    </row>
    <row r="1297" spans="1:2" x14ac:dyDescent="0.25">
      <c r="A1297" t="s">
        <v>2612</v>
      </c>
      <c r="B1297" t="s">
        <v>591</v>
      </c>
    </row>
    <row r="1298" spans="1:2" x14ac:dyDescent="0.25">
      <c r="A1298" t="s">
        <v>2613</v>
      </c>
      <c r="B1298" t="s">
        <v>591</v>
      </c>
    </row>
    <row r="1299" spans="1:2" x14ac:dyDescent="0.25">
      <c r="A1299" t="s">
        <v>2614</v>
      </c>
      <c r="B1299" t="s">
        <v>591</v>
      </c>
    </row>
    <row r="1300" spans="1:2" x14ac:dyDescent="0.25">
      <c r="A1300" t="s">
        <v>2615</v>
      </c>
      <c r="B1300" t="s">
        <v>591</v>
      </c>
    </row>
    <row r="1301" spans="1:2" x14ac:dyDescent="0.25">
      <c r="A1301" t="s">
        <v>2616</v>
      </c>
      <c r="B1301" t="s">
        <v>591</v>
      </c>
    </row>
    <row r="1302" spans="1:2" x14ac:dyDescent="0.25">
      <c r="A1302" t="s">
        <v>2617</v>
      </c>
      <c r="B1302" t="s">
        <v>591</v>
      </c>
    </row>
    <row r="1303" spans="1:2" x14ac:dyDescent="0.25">
      <c r="A1303" t="s">
        <v>2618</v>
      </c>
      <c r="B1303" t="s">
        <v>591</v>
      </c>
    </row>
    <row r="1304" spans="1:2" x14ac:dyDescent="0.25">
      <c r="A1304" t="s">
        <v>2619</v>
      </c>
      <c r="B1304" t="s">
        <v>591</v>
      </c>
    </row>
    <row r="1305" spans="1:2" x14ac:dyDescent="0.25">
      <c r="A1305" t="s">
        <v>2620</v>
      </c>
      <c r="B1305" t="s">
        <v>591</v>
      </c>
    </row>
    <row r="1306" spans="1:2" x14ac:dyDescent="0.25">
      <c r="A1306" t="s">
        <v>2621</v>
      </c>
      <c r="B1306" t="s">
        <v>591</v>
      </c>
    </row>
    <row r="1307" spans="1:2" x14ac:dyDescent="0.25">
      <c r="A1307" t="s">
        <v>2622</v>
      </c>
      <c r="B1307" t="s">
        <v>591</v>
      </c>
    </row>
    <row r="1308" spans="1:2" x14ac:dyDescent="0.25">
      <c r="A1308" t="s">
        <v>2623</v>
      </c>
      <c r="B1308" t="s">
        <v>591</v>
      </c>
    </row>
    <row r="1309" spans="1:2" x14ac:dyDescent="0.25">
      <c r="A1309" t="s">
        <v>827</v>
      </c>
      <c r="B1309" t="s">
        <v>591</v>
      </c>
    </row>
    <row r="1310" spans="1:2" x14ac:dyDescent="0.25">
      <c r="A1310" t="s">
        <v>739</v>
      </c>
      <c r="B1310" t="s">
        <v>591</v>
      </c>
    </row>
    <row r="1311" spans="1:2" x14ac:dyDescent="0.25">
      <c r="A1311" t="s">
        <v>2624</v>
      </c>
      <c r="B1311" t="s">
        <v>591</v>
      </c>
    </row>
    <row r="1312" spans="1:2" x14ac:dyDescent="0.25">
      <c r="A1312" t="s">
        <v>2625</v>
      </c>
      <c r="B1312" t="s">
        <v>591</v>
      </c>
    </row>
    <row r="1313" spans="1:2" x14ac:dyDescent="0.25">
      <c r="A1313" t="s">
        <v>2626</v>
      </c>
      <c r="B1313" t="s">
        <v>591</v>
      </c>
    </row>
    <row r="1314" spans="1:2" x14ac:dyDescent="0.25">
      <c r="A1314" t="s">
        <v>2627</v>
      </c>
      <c r="B1314" t="s">
        <v>591</v>
      </c>
    </row>
    <row r="1315" spans="1:2" x14ac:dyDescent="0.25">
      <c r="A1315" t="s">
        <v>828</v>
      </c>
      <c r="B1315" t="s">
        <v>591</v>
      </c>
    </row>
    <row r="1316" spans="1:2" x14ac:dyDescent="0.25">
      <c r="A1316" t="s">
        <v>826</v>
      </c>
      <c r="B1316" t="s">
        <v>591</v>
      </c>
    </row>
    <row r="1317" spans="1:2" x14ac:dyDescent="0.25">
      <c r="A1317" t="s">
        <v>2628</v>
      </c>
      <c r="B1317" t="s">
        <v>591</v>
      </c>
    </row>
    <row r="1318" spans="1:2" x14ac:dyDescent="0.25">
      <c r="A1318" t="s">
        <v>2629</v>
      </c>
      <c r="B1318" t="s">
        <v>591</v>
      </c>
    </row>
    <row r="1319" spans="1:2" x14ac:dyDescent="0.25">
      <c r="A1319" t="s">
        <v>2630</v>
      </c>
      <c r="B1319" t="s">
        <v>591</v>
      </c>
    </row>
    <row r="1320" spans="1:2" x14ac:dyDescent="0.25">
      <c r="A1320" t="s">
        <v>2631</v>
      </c>
      <c r="B1320" t="s">
        <v>591</v>
      </c>
    </row>
    <row r="1321" spans="1:2" x14ac:dyDescent="0.25">
      <c r="A1321" t="s">
        <v>2632</v>
      </c>
      <c r="B1321" t="s">
        <v>591</v>
      </c>
    </row>
    <row r="1322" spans="1:2" x14ac:dyDescent="0.25">
      <c r="A1322" t="s">
        <v>2633</v>
      </c>
      <c r="B1322" t="s">
        <v>591</v>
      </c>
    </row>
    <row r="1323" spans="1:2" x14ac:dyDescent="0.25">
      <c r="A1323" t="s">
        <v>2634</v>
      </c>
      <c r="B1323" t="s">
        <v>591</v>
      </c>
    </row>
    <row r="1324" spans="1:2" x14ac:dyDescent="0.25">
      <c r="A1324" t="s">
        <v>829</v>
      </c>
      <c r="B1324" t="s">
        <v>591</v>
      </c>
    </row>
    <row r="1325" spans="1:2" x14ac:dyDescent="0.25">
      <c r="A1325" t="s">
        <v>2635</v>
      </c>
      <c r="B1325" t="s">
        <v>591</v>
      </c>
    </row>
    <row r="1326" spans="1:2" x14ac:dyDescent="0.25">
      <c r="A1326" t="s">
        <v>2636</v>
      </c>
      <c r="B1326" t="s">
        <v>591</v>
      </c>
    </row>
    <row r="1327" spans="1:2" x14ac:dyDescent="0.25">
      <c r="A1327" t="s">
        <v>2637</v>
      </c>
      <c r="B1327" t="s">
        <v>591</v>
      </c>
    </row>
    <row r="1328" spans="1:2" x14ac:dyDescent="0.25">
      <c r="A1328" t="s">
        <v>2638</v>
      </c>
      <c r="B1328" t="s">
        <v>591</v>
      </c>
    </row>
    <row r="1329" spans="1:2" x14ac:dyDescent="0.25">
      <c r="A1329" t="s">
        <v>2639</v>
      </c>
      <c r="B1329" t="s">
        <v>591</v>
      </c>
    </row>
    <row r="1330" spans="1:2" x14ac:dyDescent="0.25">
      <c r="A1330" t="s">
        <v>2640</v>
      </c>
      <c r="B1330" t="s">
        <v>591</v>
      </c>
    </row>
    <row r="1331" spans="1:2" x14ac:dyDescent="0.25">
      <c r="A1331" t="s">
        <v>2641</v>
      </c>
      <c r="B1331" t="s">
        <v>591</v>
      </c>
    </row>
    <row r="1332" spans="1:2" x14ac:dyDescent="0.25">
      <c r="A1332" t="s">
        <v>2642</v>
      </c>
      <c r="B1332" t="s">
        <v>591</v>
      </c>
    </row>
    <row r="1333" spans="1:2" x14ac:dyDescent="0.25">
      <c r="A1333" t="s">
        <v>835</v>
      </c>
      <c r="B1333" t="s">
        <v>591</v>
      </c>
    </row>
    <row r="1334" spans="1:2" x14ac:dyDescent="0.25">
      <c r="A1334" t="s">
        <v>836</v>
      </c>
      <c r="B1334" t="s">
        <v>591</v>
      </c>
    </row>
    <row r="1335" spans="1:2" x14ac:dyDescent="0.25">
      <c r="A1335" t="s">
        <v>1327</v>
      </c>
      <c r="B1335" t="s">
        <v>591</v>
      </c>
    </row>
    <row r="1336" spans="1:2" x14ac:dyDescent="0.25">
      <c r="A1336" t="s">
        <v>837</v>
      </c>
      <c r="B1336" t="s">
        <v>591</v>
      </c>
    </row>
    <row r="1337" spans="1:2" x14ac:dyDescent="0.25">
      <c r="A1337" t="s">
        <v>633</v>
      </c>
      <c r="B1337" t="s">
        <v>591</v>
      </c>
    </row>
    <row r="1338" spans="1:2" x14ac:dyDescent="0.25">
      <c r="A1338" t="s">
        <v>830</v>
      </c>
      <c r="B1338" t="s">
        <v>591</v>
      </c>
    </row>
    <row r="1339" spans="1:2" x14ac:dyDescent="0.25">
      <c r="A1339" t="s">
        <v>2643</v>
      </c>
      <c r="B1339" t="s">
        <v>591</v>
      </c>
    </row>
    <row r="1340" spans="1:2" x14ac:dyDescent="0.25">
      <c r="A1340" t="s">
        <v>2644</v>
      </c>
      <c r="B1340" t="s">
        <v>591</v>
      </c>
    </row>
    <row r="1341" spans="1:2" x14ac:dyDescent="0.25">
      <c r="A1341" t="s">
        <v>838</v>
      </c>
      <c r="B1341" t="s">
        <v>591</v>
      </c>
    </row>
    <row r="1342" spans="1:2" x14ac:dyDescent="0.25">
      <c r="A1342" t="s">
        <v>839</v>
      </c>
      <c r="B1342" t="s">
        <v>591</v>
      </c>
    </row>
    <row r="1343" spans="1:2" x14ac:dyDescent="0.25">
      <c r="A1343" t="s">
        <v>833</v>
      </c>
      <c r="B1343" t="s">
        <v>591</v>
      </c>
    </row>
    <row r="1344" spans="1:2" x14ac:dyDescent="0.25">
      <c r="A1344" t="s">
        <v>2645</v>
      </c>
      <c r="B1344" t="s">
        <v>591</v>
      </c>
    </row>
    <row r="1345" spans="1:2" x14ac:dyDescent="0.25">
      <c r="A1345" t="s">
        <v>2646</v>
      </c>
      <c r="B1345" t="s">
        <v>591</v>
      </c>
    </row>
    <row r="1346" spans="1:2" x14ac:dyDescent="0.25">
      <c r="A1346" t="s">
        <v>834</v>
      </c>
      <c r="B1346" t="s">
        <v>591</v>
      </c>
    </row>
    <row r="1347" spans="1:2" x14ac:dyDescent="0.25">
      <c r="A1347" t="s">
        <v>2647</v>
      </c>
      <c r="B1347" t="s">
        <v>591</v>
      </c>
    </row>
    <row r="1348" spans="1:2" x14ac:dyDescent="0.25">
      <c r="A1348" t="s">
        <v>2648</v>
      </c>
      <c r="B1348" t="s">
        <v>591</v>
      </c>
    </row>
    <row r="1349" spans="1:2" x14ac:dyDescent="0.25">
      <c r="A1349" t="s">
        <v>2649</v>
      </c>
      <c r="B1349" t="s">
        <v>591</v>
      </c>
    </row>
    <row r="1350" spans="1:2" x14ac:dyDescent="0.25">
      <c r="A1350" t="s">
        <v>2650</v>
      </c>
      <c r="B1350" t="s">
        <v>591</v>
      </c>
    </row>
    <row r="1351" spans="1:2" x14ac:dyDescent="0.25">
      <c r="A1351" t="s">
        <v>2651</v>
      </c>
      <c r="B1351" t="s">
        <v>591</v>
      </c>
    </row>
    <row r="1352" spans="1:2" x14ac:dyDescent="0.25">
      <c r="A1352" t="s">
        <v>2652</v>
      </c>
      <c r="B1352" t="s">
        <v>591</v>
      </c>
    </row>
    <row r="1353" spans="1:2" x14ac:dyDescent="0.25">
      <c r="A1353" t="s">
        <v>2653</v>
      </c>
      <c r="B1353" t="s">
        <v>591</v>
      </c>
    </row>
    <row r="1354" spans="1:2" x14ac:dyDescent="0.25">
      <c r="A1354" t="s">
        <v>2654</v>
      </c>
      <c r="B1354" t="s">
        <v>591</v>
      </c>
    </row>
    <row r="1355" spans="1:2" x14ac:dyDescent="0.25">
      <c r="A1355" t="s">
        <v>2655</v>
      </c>
      <c r="B1355" t="s">
        <v>591</v>
      </c>
    </row>
    <row r="1356" spans="1:2" x14ac:dyDescent="0.25">
      <c r="A1356" t="s">
        <v>841</v>
      </c>
      <c r="B1356" t="s">
        <v>591</v>
      </c>
    </row>
    <row r="1357" spans="1:2" x14ac:dyDescent="0.25">
      <c r="A1357" t="s">
        <v>842</v>
      </c>
      <c r="B1357" t="s">
        <v>591</v>
      </c>
    </row>
    <row r="1358" spans="1:2" x14ac:dyDescent="0.25">
      <c r="A1358" t="s">
        <v>843</v>
      </c>
      <c r="B1358" t="s">
        <v>591</v>
      </c>
    </row>
    <row r="1359" spans="1:2" x14ac:dyDescent="0.25">
      <c r="A1359" t="s">
        <v>844</v>
      </c>
      <c r="B1359" t="s">
        <v>591</v>
      </c>
    </row>
    <row r="1360" spans="1:2" x14ac:dyDescent="0.25">
      <c r="A1360" t="s">
        <v>845</v>
      </c>
      <c r="B1360" t="s">
        <v>591</v>
      </c>
    </row>
    <row r="1361" spans="1:2" x14ac:dyDescent="0.25">
      <c r="A1361" t="s">
        <v>846</v>
      </c>
      <c r="B1361" t="s">
        <v>591</v>
      </c>
    </row>
    <row r="1362" spans="1:2" x14ac:dyDescent="0.25">
      <c r="A1362" t="s">
        <v>847</v>
      </c>
      <c r="B1362" t="s">
        <v>591</v>
      </c>
    </row>
    <row r="1363" spans="1:2" x14ac:dyDescent="0.25">
      <c r="A1363" t="s">
        <v>848</v>
      </c>
      <c r="B1363" t="s">
        <v>591</v>
      </c>
    </row>
    <row r="1364" spans="1:2" x14ac:dyDescent="0.25">
      <c r="A1364" t="s">
        <v>849</v>
      </c>
      <c r="B1364" t="s">
        <v>850</v>
      </c>
    </row>
    <row r="1365" spans="1:2" x14ac:dyDescent="0.25">
      <c r="A1365" t="s">
        <v>1328</v>
      </c>
      <c r="B1365" t="s">
        <v>850</v>
      </c>
    </row>
    <row r="1366" spans="1:2" x14ac:dyDescent="0.25">
      <c r="A1366" t="s">
        <v>851</v>
      </c>
      <c r="B1366" t="s">
        <v>852</v>
      </c>
    </row>
    <row r="1367" spans="1:2" x14ac:dyDescent="0.25">
      <c r="A1367" t="s">
        <v>131</v>
      </c>
      <c r="B1367" t="s">
        <v>115</v>
      </c>
    </row>
    <row r="1368" spans="1:2" x14ac:dyDescent="0.25">
      <c r="A1368" t="s">
        <v>1174</v>
      </c>
      <c r="B1368" t="s">
        <v>115</v>
      </c>
    </row>
    <row r="1369" spans="1:2" x14ac:dyDescent="0.25">
      <c r="A1369" t="s">
        <v>840</v>
      </c>
      <c r="B1369" t="s">
        <v>115</v>
      </c>
    </row>
    <row r="1370" spans="1:2" x14ac:dyDescent="0.25">
      <c r="A1370" t="s">
        <v>2656</v>
      </c>
      <c r="B1370" t="s">
        <v>115</v>
      </c>
    </row>
    <row r="1371" spans="1:2" x14ac:dyDescent="0.25">
      <c r="A1371" t="s">
        <v>2657</v>
      </c>
      <c r="B1371" t="s">
        <v>115</v>
      </c>
    </row>
    <row r="1372" spans="1:2" x14ac:dyDescent="0.25">
      <c r="A1372" t="s">
        <v>2658</v>
      </c>
      <c r="B1372" t="s">
        <v>115</v>
      </c>
    </row>
    <row r="1373" spans="1:2" x14ac:dyDescent="0.25">
      <c r="A1373" t="s">
        <v>492</v>
      </c>
      <c r="B1373" t="s">
        <v>115</v>
      </c>
    </row>
    <row r="1374" spans="1:2" x14ac:dyDescent="0.25">
      <c r="A1374" t="s">
        <v>2659</v>
      </c>
      <c r="B1374" t="s">
        <v>115</v>
      </c>
    </row>
    <row r="1375" spans="1:2" x14ac:dyDescent="0.25">
      <c r="A1375" t="s">
        <v>133</v>
      </c>
      <c r="B1375" t="s">
        <v>115</v>
      </c>
    </row>
    <row r="1376" spans="1:2" x14ac:dyDescent="0.25">
      <c r="A1376" t="s">
        <v>1175</v>
      </c>
      <c r="B1376" t="s">
        <v>115</v>
      </c>
    </row>
    <row r="1377" spans="1:2" x14ac:dyDescent="0.25">
      <c r="A1377" t="s">
        <v>853</v>
      </c>
      <c r="B1377" t="s">
        <v>115</v>
      </c>
    </row>
    <row r="1378" spans="1:2" x14ac:dyDescent="0.25">
      <c r="A1378" t="s">
        <v>2660</v>
      </c>
      <c r="B1378" t="s">
        <v>115</v>
      </c>
    </row>
    <row r="1379" spans="1:2" x14ac:dyDescent="0.25">
      <c r="A1379" t="s">
        <v>2661</v>
      </c>
      <c r="B1379" t="s">
        <v>115</v>
      </c>
    </row>
    <row r="1380" spans="1:2" x14ac:dyDescent="0.25">
      <c r="A1380" t="s">
        <v>134</v>
      </c>
      <c r="B1380" t="s">
        <v>115</v>
      </c>
    </row>
    <row r="1381" spans="1:2" x14ac:dyDescent="0.25">
      <c r="A1381" t="s">
        <v>1176</v>
      </c>
      <c r="B1381" t="s">
        <v>115</v>
      </c>
    </row>
    <row r="1382" spans="1:2" x14ac:dyDescent="0.25">
      <c r="A1382" t="s">
        <v>1177</v>
      </c>
      <c r="B1382" t="s">
        <v>115</v>
      </c>
    </row>
    <row r="1383" spans="1:2" x14ac:dyDescent="0.25">
      <c r="A1383" t="s">
        <v>135</v>
      </c>
      <c r="B1383" t="s">
        <v>115</v>
      </c>
    </row>
    <row r="1384" spans="1:2" x14ac:dyDescent="0.25">
      <c r="A1384" t="s">
        <v>137</v>
      </c>
      <c r="B1384" t="s">
        <v>115</v>
      </c>
    </row>
    <row r="1385" spans="1:2" x14ac:dyDescent="0.25">
      <c r="A1385" t="s">
        <v>138</v>
      </c>
      <c r="B1385" t="s">
        <v>115</v>
      </c>
    </row>
    <row r="1386" spans="1:2" x14ac:dyDescent="0.25">
      <c r="A1386" t="s">
        <v>139</v>
      </c>
      <c r="B1386" t="s">
        <v>115</v>
      </c>
    </row>
    <row r="1387" spans="1:2" x14ac:dyDescent="0.25">
      <c r="A1387" t="s">
        <v>140</v>
      </c>
      <c r="B1387" t="s">
        <v>115</v>
      </c>
    </row>
    <row r="1388" spans="1:2" x14ac:dyDescent="0.25">
      <c r="A1388" t="s">
        <v>854</v>
      </c>
      <c r="B1388" t="s">
        <v>115</v>
      </c>
    </row>
    <row r="1389" spans="1:2" x14ac:dyDescent="0.25">
      <c r="A1389" t="s">
        <v>493</v>
      </c>
      <c r="B1389" t="s">
        <v>115</v>
      </c>
    </row>
    <row r="1390" spans="1:2" x14ac:dyDescent="0.25">
      <c r="A1390" t="s">
        <v>855</v>
      </c>
      <c r="B1390" t="s">
        <v>115</v>
      </c>
    </row>
    <row r="1391" spans="1:2" x14ac:dyDescent="0.25">
      <c r="A1391" t="s">
        <v>141</v>
      </c>
      <c r="B1391" t="s">
        <v>115</v>
      </c>
    </row>
    <row r="1392" spans="1:2" x14ac:dyDescent="0.25">
      <c r="A1392" t="s">
        <v>469</v>
      </c>
      <c r="B1392" t="s">
        <v>115</v>
      </c>
    </row>
    <row r="1393" spans="1:2" x14ac:dyDescent="0.25">
      <c r="A1393" t="s">
        <v>856</v>
      </c>
      <c r="B1393" t="s">
        <v>115</v>
      </c>
    </row>
    <row r="1394" spans="1:2" x14ac:dyDescent="0.25">
      <c r="A1394" t="s">
        <v>857</v>
      </c>
      <c r="B1394" t="s">
        <v>115</v>
      </c>
    </row>
    <row r="1395" spans="1:2" x14ac:dyDescent="0.25">
      <c r="A1395" t="s">
        <v>858</v>
      </c>
      <c r="B1395" t="s">
        <v>115</v>
      </c>
    </row>
    <row r="1396" spans="1:2" x14ac:dyDescent="0.25">
      <c r="A1396" t="s">
        <v>142</v>
      </c>
      <c r="B1396" t="s">
        <v>115</v>
      </c>
    </row>
    <row r="1397" spans="1:2" x14ac:dyDescent="0.25">
      <c r="A1397" t="s">
        <v>1178</v>
      </c>
      <c r="B1397" t="s">
        <v>115</v>
      </c>
    </row>
    <row r="1398" spans="1:2" x14ac:dyDescent="0.25">
      <c r="A1398" t="s">
        <v>494</v>
      </c>
      <c r="B1398" t="s">
        <v>115</v>
      </c>
    </row>
    <row r="1399" spans="1:2" x14ac:dyDescent="0.25">
      <c r="A1399" t="s">
        <v>2662</v>
      </c>
      <c r="B1399" t="s">
        <v>115</v>
      </c>
    </row>
    <row r="1400" spans="1:2" x14ac:dyDescent="0.25">
      <c r="A1400" t="s">
        <v>2663</v>
      </c>
      <c r="B1400" t="s">
        <v>115</v>
      </c>
    </row>
    <row r="1401" spans="1:2" x14ac:dyDescent="0.25">
      <c r="A1401" t="s">
        <v>1179</v>
      </c>
      <c r="B1401" t="s">
        <v>115</v>
      </c>
    </row>
    <row r="1402" spans="1:2" x14ac:dyDescent="0.25">
      <c r="A1402" t="s">
        <v>541</v>
      </c>
      <c r="B1402" t="s">
        <v>115</v>
      </c>
    </row>
    <row r="1403" spans="1:2" x14ac:dyDescent="0.25">
      <c r="A1403" t="s">
        <v>1180</v>
      </c>
      <c r="B1403" t="s">
        <v>115</v>
      </c>
    </row>
    <row r="1404" spans="1:2" x14ac:dyDescent="0.25">
      <c r="A1404" t="s">
        <v>1181</v>
      </c>
      <c r="B1404" t="s">
        <v>115</v>
      </c>
    </row>
    <row r="1405" spans="1:2" x14ac:dyDescent="0.25">
      <c r="A1405" t="s">
        <v>146</v>
      </c>
      <c r="B1405" t="s">
        <v>115</v>
      </c>
    </row>
    <row r="1406" spans="1:2" x14ac:dyDescent="0.25">
      <c r="A1406" t="s">
        <v>148</v>
      </c>
      <c r="B1406" t="s">
        <v>115</v>
      </c>
    </row>
    <row r="1407" spans="1:2" x14ac:dyDescent="0.25">
      <c r="A1407" t="s">
        <v>859</v>
      </c>
      <c r="B1407" t="s">
        <v>115</v>
      </c>
    </row>
    <row r="1408" spans="1:2" x14ac:dyDescent="0.25">
      <c r="A1408" t="s">
        <v>2664</v>
      </c>
      <c r="B1408" t="s">
        <v>115</v>
      </c>
    </row>
    <row r="1409" spans="1:2" x14ac:dyDescent="0.25">
      <c r="A1409" t="s">
        <v>2665</v>
      </c>
      <c r="B1409" t="s">
        <v>115</v>
      </c>
    </row>
    <row r="1410" spans="1:2" x14ac:dyDescent="0.25">
      <c r="A1410" t="s">
        <v>2666</v>
      </c>
      <c r="B1410" t="s">
        <v>115</v>
      </c>
    </row>
    <row r="1411" spans="1:2" x14ac:dyDescent="0.25">
      <c r="A1411" t="s">
        <v>2667</v>
      </c>
      <c r="B1411" t="s">
        <v>115</v>
      </c>
    </row>
    <row r="1412" spans="1:2" x14ac:dyDescent="0.25">
      <c r="A1412" t="s">
        <v>2668</v>
      </c>
      <c r="B1412" t="s">
        <v>115</v>
      </c>
    </row>
    <row r="1413" spans="1:2" x14ac:dyDescent="0.25">
      <c r="A1413" t="s">
        <v>860</v>
      </c>
      <c r="B1413" t="s">
        <v>115</v>
      </c>
    </row>
    <row r="1414" spans="1:2" x14ac:dyDescent="0.25">
      <c r="A1414" t="s">
        <v>2669</v>
      </c>
      <c r="B1414" t="s">
        <v>115</v>
      </c>
    </row>
    <row r="1415" spans="1:2" x14ac:dyDescent="0.25">
      <c r="A1415" t="s">
        <v>2670</v>
      </c>
      <c r="B1415" t="s">
        <v>115</v>
      </c>
    </row>
    <row r="1416" spans="1:2" x14ac:dyDescent="0.25">
      <c r="A1416" t="s">
        <v>2671</v>
      </c>
      <c r="B1416" t="s">
        <v>115</v>
      </c>
    </row>
    <row r="1417" spans="1:2" x14ac:dyDescent="0.25">
      <c r="A1417" t="s">
        <v>2672</v>
      </c>
      <c r="B1417" t="s">
        <v>115</v>
      </c>
    </row>
    <row r="1418" spans="1:2" x14ac:dyDescent="0.25">
      <c r="A1418" t="s">
        <v>2673</v>
      </c>
      <c r="B1418" t="s">
        <v>115</v>
      </c>
    </row>
    <row r="1419" spans="1:2" x14ac:dyDescent="0.25">
      <c r="A1419" t="s">
        <v>861</v>
      </c>
      <c r="B1419" t="s">
        <v>115</v>
      </c>
    </row>
    <row r="1420" spans="1:2" x14ac:dyDescent="0.25">
      <c r="A1420" t="s">
        <v>2674</v>
      </c>
      <c r="B1420" t="s">
        <v>115</v>
      </c>
    </row>
    <row r="1421" spans="1:2" x14ac:dyDescent="0.25">
      <c r="A1421" t="s">
        <v>2675</v>
      </c>
      <c r="B1421" t="s">
        <v>115</v>
      </c>
    </row>
    <row r="1422" spans="1:2" x14ac:dyDescent="0.25">
      <c r="A1422" t="s">
        <v>2676</v>
      </c>
      <c r="B1422" t="s">
        <v>115</v>
      </c>
    </row>
    <row r="1423" spans="1:2" x14ac:dyDescent="0.25">
      <c r="A1423" t="s">
        <v>1182</v>
      </c>
      <c r="B1423" t="s">
        <v>115</v>
      </c>
    </row>
    <row r="1424" spans="1:2" x14ac:dyDescent="0.25">
      <c r="A1424" t="s">
        <v>862</v>
      </c>
      <c r="B1424" t="s">
        <v>115</v>
      </c>
    </row>
    <row r="1425" spans="1:2" x14ac:dyDescent="0.25">
      <c r="A1425" t="s">
        <v>2677</v>
      </c>
      <c r="B1425" t="s">
        <v>115</v>
      </c>
    </row>
    <row r="1426" spans="1:2" x14ac:dyDescent="0.25">
      <c r="A1426" t="s">
        <v>2678</v>
      </c>
      <c r="B1426" t="s">
        <v>115</v>
      </c>
    </row>
    <row r="1427" spans="1:2" x14ac:dyDescent="0.25">
      <c r="A1427" t="s">
        <v>2679</v>
      </c>
      <c r="B1427" t="s">
        <v>115</v>
      </c>
    </row>
    <row r="1428" spans="1:2" x14ac:dyDescent="0.25">
      <c r="A1428" t="s">
        <v>2680</v>
      </c>
      <c r="B1428" t="s">
        <v>115</v>
      </c>
    </row>
    <row r="1429" spans="1:2" x14ac:dyDescent="0.25">
      <c r="A1429" t="s">
        <v>2681</v>
      </c>
      <c r="B1429" t="s">
        <v>115</v>
      </c>
    </row>
    <row r="1430" spans="1:2" x14ac:dyDescent="0.25">
      <c r="A1430" t="s">
        <v>2682</v>
      </c>
      <c r="B1430" t="s">
        <v>115</v>
      </c>
    </row>
    <row r="1431" spans="1:2" x14ac:dyDescent="0.25">
      <c r="A1431" t="s">
        <v>2683</v>
      </c>
      <c r="B1431" t="s">
        <v>115</v>
      </c>
    </row>
    <row r="1432" spans="1:2" x14ac:dyDescent="0.25">
      <c r="A1432" t="s">
        <v>2684</v>
      </c>
      <c r="B1432" t="s">
        <v>115</v>
      </c>
    </row>
    <row r="1433" spans="1:2" x14ac:dyDescent="0.25">
      <c r="A1433" t="s">
        <v>2685</v>
      </c>
      <c r="B1433" t="s">
        <v>115</v>
      </c>
    </row>
    <row r="1434" spans="1:2" x14ac:dyDescent="0.25">
      <c r="A1434" t="s">
        <v>863</v>
      </c>
      <c r="B1434" t="s">
        <v>115</v>
      </c>
    </row>
    <row r="1435" spans="1:2" x14ac:dyDescent="0.25">
      <c r="A1435" t="s">
        <v>498</v>
      </c>
      <c r="B1435" t="s">
        <v>115</v>
      </c>
    </row>
    <row r="1436" spans="1:2" x14ac:dyDescent="0.25">
      <c r="A1436" t="s">
        <v>864</v>
      </c>
      <c r="B1436" t="s">
        <v>115</v>
      </c>
    </row>
    <row r="1437" spans="1:2" x14ac:dyDescent="0.25">
      <c r="A1437" t="s">
        <v>542</v>
      </c>
      <c r="B1437" t="s">
        <v>115</v>
      </c>
    </row>
    <row r="1438" spans="1:2" x14ac:dyDescent="0.25">
      <c r="A1438" t="s">
        <v>2686</v>
      </c>
      <c r="B1438" t="s">
        <v>115</v>
      </c>
    </row>
    <row r="1439" spans="1:2" x14ac:dyDescent="0.25">
      <c r="A1439" t="s">
        <v>2687</v>
      </c>
      <c r="B1439" t="s">
        <v>115</v>
      </c>
    </row>
    <row r="1440" spans="1:2" x14ac:dyDescent="0.25">
      <c r="A1440" t="s">
        <v>2688</v>
      </c>
      <c r="B1440" t="s">
        <v>115</v>
      </c>
    </row>
    <row r="1441" spans="1:2" x14ac:dyDescent="0.25">
      <c r="A1441" t="s">
        <v>2689</v>
      </c>
      <c r="B1441" t="s">
        <v>115</v>
      </c>
    </row>
    <row r="1442" spans="1:2" x14ac:dyDescent="0.25">
      <c r="A1442" t="s">
        <v>2690</v>
      </c>
      <c r="B1442" t="s">
        <v>115</v>
      </c>
    </row>
    <row r="1443" spans="1:2" x14ac:dyDescent="0.25">
      <c r="A1443" t="s">
        <v>2691</v>
      </c>
      <c r="B1443" t="s">
        <v>115</v>
      </c>
    </row>
    <row r="1444" spans="1:2" x14ac:dyDescent="0.25">
      <c r="A1444" t="s">
        <v>865</v>
      </c>
      <c r="B1444" t="s">
        <v>115</v>
      </c>
    </row>
    <row r="1445" spans="1:2" x14ac:dyDescent="0.25">
      <c r="A1445" t="s">
        <v>866</v>
      </c>
      <c r="B1445" t="s">
        <v>115</v>
      </c>
    </row>
    <row r="1446" spans="1:2" x14ac:dyDescent="0.25">
      <c r="A1446" t="s">
        <v>867</v>
      </c>
      <c r="B1446" t="s">
        <v>115</v>
      </c>
    </row>
    <row r="1447" spans="1:2" x14ac:dyDescent="0.25">
      <c r="A1447" t="s">
        <v>868</v>
      </c>
      <c r="B1447" t="s">
        <v>115</v>
      </c>
    </row>
    <row r="1448" spans="1:2" x14ac:dyDescent="0.25">
      <c r="A1448" t="s">
        <v>2692</v>
      </c>
    </row>
    <row r="1449" spans="1:2" x14ac:dyDescent="0.25">
      <c r="A1449" t="s">
        <v>2693</v>
      </c>
      <c r="B1449" t="s">
        <v>115</v>
      </c>
    </row>
    <row r="1450" spans="1:2" x14ac:dyDescent="0.25">
      <c r="A1450" t="s">
        <v>2694</v>
      </c>
      <c r="B1450" t="s">
        <v>115</v>
      </c>
    </row>
    <row r="1451" spans="1:2" x14ac:dyDescent="0.25">
      <c r="A1451" t="s">
        <v>2695</v>
      </c>
      <c r="B1451" t="s">
        <v>115</v>
      </c>
    </row>
    <row r="1452" spans="1:2" x14ac:dyDescent="0.25">
      <c r="A1452" t="s">
        <v>2696</v>
      </c>
    </row>
    <row r="1453" spans="1:2" x14ac:dyDescent="0.25">
      <c r="A1453" t="s">
        <v>2697</v>
      </c>
      <c r="B1453" t="s">
        <v>115</v>
      </c>
    </row>
    <row r="1454" spans="1:2" x14ac:dyDescent="0.25">
      <c r="A1454" t="s">
        <v>2698</v>
      </c>
      <c r="B1454" t="s">
        <v>115</v>
      </c>
    </row>
    <row r="1455" spans="1:2" x14ac:dyDescent="0.25">
      <c r="A1455" t="s">
        <v>2699</v>
      </c>
      <c r="B1455" t="s">
        <v>115</v>
      </c>
    </row>
    <row r="1456" spans="1:2" x14ac:dyDescent="0.25">
      <c r="A1456" t="s">
        <v>2700</v>
      </c>
    </row>
    <row r="1457" spans="1:2" x14ac:dyDescent="0.25">
      <c r="A1457" t="s">
        <v>2701</v>
      </c>
      <c r="B1457" t="s">
        <v>115</v>
      </c>
    </row>
    <row r="1458" spans="1:2" x14ac:dyDescent="0.25">
      <c r="A1458" t="s">
        <v>2702</v>
      </c>
      <c r="B1458" t="s">
        <v>115</v>
      </c>
    </row>
    <row r="1459" spans="1:2" x14ac:dyDescent="0.25">
      <c r="A1459" t="s">
        <v>2703</v>
      </c>
      <c r="B1459" t="s">
        <v>115</v>
      </c>
    </row>
    <row r="1460" spans="1:2" x14ac:dyDescent="0.25">
      <c r="A1460" t="s">
        <v>2704</v>
      </c>
    </row>
    <row r="1461" spans="1:2" x14ac:dyDescent="0.25">
      <c r="A1461" t="s">
        <v>2705</v>
      </c>
      <c r="B1461" t="s">
        <v>115</v>
      </c>
    </row>
    <row r="1462" spans="1:2" x14ac:dyDescent="0.25">
      <c r="A1462" t="s">
        <v>2706</v>
      </c>
      <c r="B1462" t="s">
        <v>115</v>
      </c>
    </row>
    <row r="1463" spans="1:2" x14ac:dyDescent="0.25">
      <c r="A1463" t="s">
        <v>2707</v>
      </c>
      <c r="B1463" t="s">
        <v>115</v>
      </c>
    </row>
    <row r="1464" spans="1:2" x14ac:dyDescent="0.25">
      <c r="A1464" t="s">
        <v>2708</v>
      </c>
    </row>
    <row r="1465" spans="1:2" x14ac:dyDescent="0.25">
      <c r="A1465" t="s">
        <v>2709</v>
      </c>
      <c r="B1465" t="s">
        <v>115</v>
      </c>
    </row>
    <row r="1466" spans="1:2" x14ac:dyDescent="0.25">
      <c r="A1466" t="s">
        <v>2710</v>
      </c>
      <c r="B1466" t="s">
        <v>115</v>
      </c>
    </row>
    <row r="1467" spans="1:2" x14ac:dyDescent="0.25">
      <c r="A1467" t="s">
        <v>2711</v>
      </c>
      <c r="B1467" t="s">
        <v>115</v>
      </c>
    </row>
    <row r="1468" spans="1:2" x14ac:dyDescent="0.25">
      <c r="A1468" t="s">
        <v>2712</v>
      </c>
    </row>
    <row r="1469" spans="1:2" x14ac:dyDescent="0.25">
      <c r="A1469" t="s">
        <v>2713</v>
      </c>
      <c r="B1469" t="s">
        <v>115</v>
      </c>
    </row>
    <row r="1470" spans="1:2" x14ac:dyDescent="0.25">
      <c r="A1470" t="s">
        <v>2714</v>
      </c>
      <c r="B1470" t="s">
        <v>115</v>
      </c>
    </row>
    <row r="1471" spans="1:2" x14ac:dyDescent="0.25">
      <c r="A1471" t="s">
        <v>2715</v>
      </c>
      <c r="B1471" t="s">
        <v>115</v>
      </c>
    </row>
    <row r="1472" spans="1:2" x14ac:dyDescent="0.25">
      <c r="A1472" t="s">
        <v>874</v>
      </c>
      <c r="B1472" t="s">
        <v>115</v>
      </c>
    </row>
    <row r="1473" spans="1:2" x14ac:dyDescent="0.25">
      <c r="A1473" t="s">
        <v>875</v>
      </c>
      <c r="B1473" t="s">
        <v>115</v>
      </c>
    </row>
    <row r="1474" spans="1:2" x14ac:dyDescent="0.25">
      <c r="A1474" t="s">
        <v>876</v>
      </c>
      <c r="B1474" t="s">
        <v>115</v>
      </c>
    </row>
    <row r="1475" spans="1:2" x14ac:dyDescent="0.25">
      <c r="A1475" t="s">
        <v>877</v>
      </c>
      <c r="B1475" t="s">
        <v>115</v>
      </c>
    </row>
    <row r="1476" spans="1:2" x14ac:dyDescent="0.25">
      <c r="A1476" t="s">
        <v>878</v>
      </c>
      <c r="B1476" t="s">
        <v>115</v>
      </c>
    </row>
    <row r="1477" spans="1:2" x14ac:dyDescent="0.25">
      <c r="A1477" t="s">
        <v>879</v>
      </c>
      <c r="B1477" t="s">
        <v>115</v>
      </c>
    </row>
    <row r="1478" spans="1:2" x14ac:dyDescent="0.25">
      <c r="A1478" t="s">
        <v>869</v>
      </c>
      <c r="B1478" t="s">
        <v>115</v>
      </c>
    </row>
    <row r="1479" spans="1:2" x14ac:dyDescent="0.25">
      <c r="A1479" t="s">
        <v>2716</v>
      </c>
      <c r="B1479" t="s">
        <v>115</v>
      </c>
    </row>
    <row r="1480" spans="1:2" x14ac:dyDescent="0.25">
      <c r="A1480" t="s">
        <v>2717</v>
      </c>
      <c r="B1480" t="s">
        <v>115</v>
      </c>
    </row>
    <row r="1481" spans="1:2" x14ac:dyDescent="0.25">
      <c r="A1481" t="s">
        <v>870</v>
      </c>
      <c r="B1481" t="s">
        <v>115</v>
      </c>
    </row>
    <row r="1482" spans="1:2" x14ac:dyDescent="0.25">
      <c r="A1482" t="s">
        <v>2718</v>
      </c>
      <c r="B1482" t="s">
        <v>115</v>
      </c>
    </row>
    <row r="1483" spans="1:2" x14ac:dyDescent="0.25">
      <c r="A1483" t="s">
        <v>2719</v>
      </c>
      <c r="B1483" t="s">
        <v>115</v>
      </c>
    </row>
    <row r="1484" spans="1:2" x14ac:dyDescent="0.25">
      <c r="A1484" t="s">
        <v>2720</v>
      </c>
      <c r="B1484" t="s">
        <v>115</v>
      </c>
    </row>
    <row r="1485" spans="1:2" x14ac:dyDescent="0.25">
      <c r="A1485" t="s">
        <v>2721</v>
      </c>
      <c r="B1485" t="s">
        <v>115</v>
      </c>
    </row>
    <row r="1486" spans="1:2" x14ac:dyDescent="0.25">
      <c r="A1486" t="s">
        <v>871</v>
      </c>
      <c r="B1486" t="s">
        <v>115</v>
      </c>
    </row>
    <row r="1487" spans="1:2" x14ac:dyDescent="0.25">
      <c r="A1487" t="s">
        <v>2722</v>
      </c>
      <c r="B1487" t="s">
        <v>115</v>
      </c>
    </row>
    <row r="1488" spans="1:2" x14ac:dyDescent="0.25">
      <c r="A1488" t="s">
        <v>2723</v>
      </c>
      <c r="B1488" t="s">
        <v>115</v>
      </c>
    </row>
    <row r="1489" spans="1:2" x14ac:dyDescent="0.25">
      <c r="A1489" t="s">
        <v>2724</v>
      </c>
      <c r="B1489" t="s">
        <v>115</v>
      </c>
    </row>
    <row r="1490" spans="1:2" x14ac:dyDescent="0.25">
      <c r="A1490" t="s">
        <v>872</v>
      </c>
      <c r="B1490" t="s">
        <v>115</v>
      </c>
    </row>
    <row r="1491" spans="1:2" x14ac:dyDescent="0.25">
      <c r="A1491" t="s">
        <v>2725</v>
      </c>
      <c r="B1491" t="s">
        <v>115</v>
      </c>
    </row>
    <row r="1492" spans="1:2" x14ac:dyDescent="0.25">
      <c r="A1492" t="s">
        <v>2726</v>
      </c>
      <c r="B1492" t="s">
        <v>115</v>
      </c>
    </row>
    <row r="1493" spans="1:2" x14ac:dyDescent="0.25">
      <c r="A1493" t="s">
        <v>2727</v>
      </c>
      <c r="B1493" t="s">
        <v>115</v>
      </c>
    </row>
    <row r="1494" spans="1:2" x14ac:dyDescent="0.25">
      <c r="A1494" t="s">
        <v>2728</v>
      </c>
      <c r="B1494" t="s">
        <v>115</v>
      </c>
    </row>
    <row r="1495" spans="1:2" x14ac:dyDescent="0.25">
      <c r="A1495" t="s">
        <v>632</v>
      </c>
      <c r="B1495" t="s">
        <v>115</v>
      </c>
    </row>
    <row r="1496" spans="1:2" x14ac:dyDescent="0.25">
      <c r="A1496" t="s">
        <v>2729</v>
      </c>
      <c r="B1496" t="s">
        <v>115</v>
      </c>
    </row>
    <row r="1497" spans="1:2" x14ac:dyDescent="0.25">
      <c r="A1497" t="s">
        <v>2730</v>
      </c>
      <c r="B1497" t="s">
        <v>115</v>
      </c>
    </row>
    <row r="1498" spans="1:2" x14ac:dyDescent="0.25">
      <c r="A1498" t="s">
        <v>2731</v>
      </c>
      <c r="B1498" t="s">
        <v>115</v>
      </c>
    </row>
    <row r="1499" spans="1:2" x14ac:dyDescent="0.25">
      <c r="A1499" t="s">
        <v>873</v>
      </c>
      <c r="B1499" t="s">
        <v>115</v>
      </c>
    </row>
    <row r="1500" spans="1:2" x14ac:dyDescent="0.25">
      <c r="A1500" t="s">
        <v>2732</v>
      </c>
      <c r="B1500" t="s">
        <v>115</v>
      </c>
    </row>
    <row r="1501" spans="1:2" x14ac:dyDescent="0.25">
      <c r="A1501" t="s">
        <v>2733</v>
      </c>
      <c r="B1501" t="s">
        <v>115</v>
      </c>
    </row>
    <row r="1502" spans="1:2" x14ac:dyDescent="0.25">
      <c r="A1502" t="s">
        <v>2734</v>
      </c>
      <c r="B1502" t="s">
        <v>115</v>
      </c>
    </row>
    <row r="1503" spans="1:2" x14ac:dyDescent="0.25">
      <c r="A1503" t="s">
        <v>880</v>
      </c>
      <c r="B1503" t="s">
        <v>115</v>
      </c>
    </row>
    <row r="1504" spans="1:2" x14ac:dyDescent="0.25">
      <c r="A1504" t="s">
        <v>2735</v>
      </c>
      <c r="B1504" t="s">
        <v>115</v>
      </c>
    </row>
    <row r="1505" spans="1:2" x14ac:dyDescent="0.25">
      <c r="A1505" t="s">
        <v>2736</v>
      </c>
      <c r="B1505" t="s">
        <v>115</v>
      </c>
    </row>
    <row r="1506" spans="1:2" x14ac:dyDescent="0.25">
      <c r="A1506" t="s">
        <v>2737</v>
      </c>
      <c r="B1506" t="s">
        <v>115</v>
      </c>
    </row>
    <row r="1507" spans="1:2" x14ac:dyDescent="0.25">
      <c r="A1507" t="s">
        <v>495</v>
      </c>
      <c r="B1507" t="s">
        <v>115</v>
      </c>
    </row>
    <row r="1508" spans="1:2" x14ac:dyDescent="0.25">
      <c r="A1508" t="s">
        <v>2738</v>
      </c>
      <c r="B1508" t="s">
        <v>115</v>
      </c>
    </row>
    <row r="1509" spans="1:2" x14ac:dyDescent="0.25">
      <c r="A1509" t="s">
        <v>2739</v>
      </c>
      <c r="B1509" t="s">
        <v>115</v>
      </c>
    </row>
    <row r="1510" spans="1:2" x14ac:dyDescent="0.25">
      <c r="A1510" t="s">
        <v>2740</v>
      </c>
      <c r="B1510" t="s">
        <v>115</v>
      </c>
    </row>
    <row r="1511" spans="1:2" x14ac:dyDescent="0.25">
      <c r="A1511" t="s">
        <v>2741</v>
      </c>
      <c r="B1511" t="s">
        <v>115</v>
      </c>
    </row>
    <row r="1512" spans="1:2" x14ac:dyDescent="0.25">
      <c r="A1512" t="s">
        <v>2742</v>
      </c>
      <c r="B1512" t="s">
        <v>115</v>
      </c>
    </row>
    <row r="1513" spans="1:2" x14ac:dyDescent="0.25">
      <c r="A1513" t="s">
        <v>510</v>
      </c>
      <c r="B1513" t="s">
        <v>115</v>
      </c>
    </row>
    <row r="1514" spans="1:2" x14ac:dyDescent="0.25">
      <c r="A1514" t="s">
        <v>2743</v>
      </c>
      <c r="B1514" t="s">
        <v>115</v>
      </c>
    </row>
    <row r="1515" spans="1:2" x14ac:dyDescent="0.25">
      <c r="A1515" t="s">
        <v>2744</v>
      </c>
      <c r="B1515" t="s">
        <v>115</v>
      </c>
    </row>
    <row r="1516" spans="1:2" x14ac:dyDescent="0.25">
      <c r="A1516" t="s">
        <v>2745</v>
      </c>
      <c r="B1516" t="s">
        <v>115</v>
      </c>
    </row>
    <row r="1517" spans="1:2" x14ac:dyDescent="0.25">
      <c r="A1517" t="s">
        <v>2746</v>
      </c>
      <c r="B1517" t="s">
        <v>115</v>
      </c>
    </row>
    <row r="1518" spans="1:2" x14ac:dyDescent="0.25">
      <c r="A1518" t="s">
        <v>2747</v>
      </c>
      <c r="B1518" t="s">
        <v>115</v>
      </c>
    </row>
    <row r="1519" spans="1:2" x14ac:dyDescent="0.25">
      <c r="A1519" t="s">
        <v>881</v>
      </c>
      <c r="B1519" t="s">
        <v>115</v>
      </c>
    </row>
    <row r="1520" spans="1:2" x14ac:dyDescent="0.25">
      <c r="A1520" t="s">
        <v>882</v>
      </c>
      <c r="B1520" t="s">
        <v>115</v>
      </c>
    </row>
    <row r="1521" spans="1:2" x14ac:dyDescent="0.25">
      <c r="A1521" t="s">
        <v>883</v>
      </c>
      <c r="B1521" t="s">
        <v>115</v>
      </c>
    </row>
    <row r="1522" spans="1:2" x14ac:dyDescent="0.25">
      <c r="A1522" t="s">
        <v>884</v>
      </c>
      <c r="B1522" t="s">
        <v>115</v>
      </c>
    </row>
    <row r="1523" spans="1:2" x14ac:dyDescent="0.25">
      <c r="A1523" t="s">
        <v>885</v>
      </c>
      <c r="B1523" t="s">
        <v>115</v>
      </c>
    </row>
    <row r="1524" spans="1:2" x14ac:dyDescent="0.25">
      <c r="A1524" t="s">
        <v>2748</v>
      </c>
    </row>
    <row r="1525" spans="1:2" x14ac:dyDescent="0.25">
      <c r="A1525" t="s">
        <v>2749</v>
      </c>
      <c r="B1525" t="s">
        <v>115</v>
      </c>
    </row>
    <row r="1526" spans="1:2" x14ac:dyDescent="0.25">
      <c r="A1526" t="s">
        <v>2750</v>
      </c>
      <c r="B1526" t="s">
        <v>115</v>
      </c>
    </row>
    <row r="1527" spans="1:2" x14ac:dyDescent="0.25">
      <c r="A1527" t="s">
        <v>2751</v>
      </c>
      <c r="B1527" t="s">
        <v>115</v>
      </c>
    </row>
    <row r="1528" spans="1:2" x14ac:dyDescent="0.25">
      <c r="A1528" t="s">
        <v>2752</v>
      </c>
    </row>
    <row r="1529" spans="1:2" x14ac:dyDescent="0.25">
      <c r="A1529" t="s">
        <v>2753</v>
      </c>
      <c r="B1529" t="s">
        <v>115</v>
      </c>
    </row>
    <row r="1530" spans="1:2" x14ac:dyDescent="0.25">
      <c r="A1530" t="s">
        <v>2754</v>
      </c>
      <c r="B1530" t="s">
        <v>115</v>
      </c>
    </row>
    <row r="1531" spans="1:2" x14ac:dyDescent="0.25">
      <c r="A1531" t="s">
        <v>2755</v>
      </c>
      <c r="B1531" t="s">
        <v>115</v>
      </c>
    </row>
    <row r="1532" spans="1:2" x14ac:dyDescent="0.25">
      <c r="A1532" t="s">
        <v>2756</v>
      </c>
    </row>
    <row r="1533" spans="1:2" x14ac:dyDescent="0.25">
      <c r="A1533" t="s">
        <v>2757</v>
      </c>
      <c r="B1533" t="s">
        <v>115</v>
      </c>
    </row>
    <row r="1534" spans="1:2" x14ac:dyDescent="0.25">
      <c r="A1534" t="s">
        <v>2758</v>
      </c>
      <c r="B1534" t="s">
        <v>115</v>
      </c>
    </row>
    <row r="1535" spans="1:2" x14ac:dyDescent="0.25">
      <c r="A1535" t="s">
        <v>2759</v>
      </c>
      <c r="B1535" t="s">
        <v>115</v>
      </c>
    </row>
    <row r="1536" spans="1:2" x14ac:dyDescent="0.25">
      <c r="A1536" t="s">
        <v>2760</v>
      </c>
      <c r="B1536" t="s">
        <v>115</v>
      </c>
    </row>
    <row r="1537" spans="1:2" x14ac:dyDescent="0.25">
      <c r="A1537" t="s">
        <v>113</v>
      </c>
      <c r="B1537" t="s">
        <v>115</v>
      </c>
    </row>
    <row r="1538" spans="1:2" x14ac:dyDescent="0.25">
      <c r="A1538" t="s">
        <v>2761</v>
      </c>
      <c r="B1538" t="s">
        <v>115</v>
      </c>
    </row>
    <row r="1539" spans="1:2" x14ac:dyDescent="0.25">
      <c r="A1539" t="s">
        <v>2762</v>
      </c>
      <c r="B1539" t="s">
        <v>115</v>
      </c>
    </row>
    <row r="1540" spans="1:2" x14ac:dyDescent="0.25">
      <c r="A1540" t="s">
        <v>496</v>
      </c>
      <c r="B1540" t="s">
        <v>115</v>
      </c>
    </row>
    <row r="1541" spans="1:2" x14ac:dyDescent="0.25">
      <c r="A1541" t="s">
        <v>496</v>
      </c>
      <c r="B1541" t="s">
        <v>115</v>
      </c>
    </row>
    <row r="1542" spans="1:2" x14ac:dyDescent="0.25">
      <c r="A1542" t="s">
        <v>2763</v>
      </c>
      <c r="B1542" t="s">
        <v>115</v>
      </c>
    </row>
    <row r="1543" spans="1:2" x14ac:dyDescent="0.25">
      <c r="A1543" t="s">
        <v>2764</v>
      </c>
      <c r="B1543" t="s">
        <v>115</v>
      </c>
    </row>
    <row r="1544" spans="1:2" x14ac:dyDescent="0.25">
      <c r="A1544" t="s">
        <v>2764</v>
      </c>
      <c r="B1544" t="s">
        <v>115</v>
      </c>
    </row>
    <row r="1545" spans="1:2" x14ac:dyDescent="0.25">
      <c r="A1545" t="s">
        <v>2765</v>
      </c>
      <c r="B1545" t="s">
        <v>115</v>
      </c>
    </row>
    <row r="1546" spans="1:2" x14ac:dyDescent="0.25">
      <c r="A1546" t="s">
        <v>2765</v>
      </c>
      <c r="B1546" t="s">
        <v>115</v>
      </c>
    </row>
    <row r="1547" spans="1:2" x14ac:dyDescent="0.25">
      <c r="A1547" t="s">
        <v>886</v>
      </c>
      <c r="B1547" t="s">
        <v>115</v>
      </c>
    </row>
    <row r="1548" spans="1:2" x14ac:dyDescent="0.25">
      <c r="A1548" t="s">
        <v>2766</v>
      </c>
      <c r="B1548" t="s">
        <v>115</v>
      </c>
    </row>
    <row r="1549" spans="1:2" x14ac:dyDescent="0.25">
      <c r="A1549" t="s">
        <v>2767</v>
      </c>
      <c r="B1549" t="s">
        <v>115</v>
      </c>
    </row>
    <row r="1550" spans="1:2" x14ac:dyDescent="0.25">
      <c r="A1550" t="s">
        <v>511</v>
      </c>
      <c r="B1550" t="s">
        <v>115</v>
      </c>
    </row>
    <row r="1551" spans="1:2" x14ac:dyDescent="0.25">
      <c r="A1551" t="s">
        <v>2768</v>
      </c>
      <c r="B1551" t="s">
        <v>115</v>
      </c>
    </row>
    <row r="1552" spans="1:2" x14ac:dyDescent="0.25">
      <c r="A1552" t="s">
        <v>2769</v>
      </c>
      <c r="B1552" t="s">
        <v>115</v>
      </c>
    </row>
    <row r="1553" spans="1:2" x14ac:dyDescent="0.25">
      <c r="A1553" t="s">
        <v>2770</v>
      </c>
      <c r="B1553" t="s">
        <v>115</v>
      </c>
    </row>
    <row r="1554" spans="1:2" x14ac:dyDescent="0.25">
      <c r="A1554" t="s">
        <v>2771</v>
      </c>
      <c r="B1554" t="s">
        <v>115</v>
      </c>
    </row>
    <row r="1555" spans="1:2" x14ac:dyDescent="0.25">
      <c r="A1555" t="s">
        <v>497</v>
      </c>
      <c r="B1555" t="s">
        <v>115</v>
      </c>
    </row>
    <row r="1556" spans="1:2" x14ac:dyDescent="0.25">
      <c r="A1556" t="s">
        <v>2772</v>
      </c>
      <c r="B1556" t="s">
        <v>115</v>
      </c>
    </row>
    <row r="1557" spans="1:2" x14ac:dyDescent="0.25">
      <c r="A1557" t="s">
        <v>2773</v>
      </c>
      <c r="B1557" t="s">
        <v>115</v>
      </c>
    </row>
    <row r="1558" spans="1:2" x14ac:dyDescent="0.25">
      <c r="A1558" t="s">
        <v>2774</v>
      </c>
      <c r="B1558" t="s">
        <v>115</v>
      </c>
    </row>
    <row r="1559" spans="1:2" x14ac:dyDescent="0.25">
      <c r="A1559" t="s">
        <v>329</v>
      </c>
      <c r="B1559" t="s">
        <v>115</v>
      </c>
    </row>
    <row r="1560" spans="1:2" x14ac:dyDescent="0.25">
      <c r="A1560" t="s">
        <v>2775</v>
      </c>
      <c r="B1560" t="s">
        <v>115</v>
      </c>
    </row>
    <row r="1561" spans="1:2" x14ac:dyDescent="0.25">
      <c r="A1561" t="s">
        <v>2776</v>
      </c>
      <c r="B1561" t="s">
        <v>115</v>
      </c>
    </row>
    <row r="1562" spans="1:2" x14ac:dyDescent="0.25">
      <c r="A1562" t="s">
        <v>2777</v>
      </c>
      <c r="B1562" t="s">
        <v>115</v>
      </c>
    </row>
    <row r="1563" spans="1:2" x14ac:dyDescent="0.25">
      <c r="A1563" t="s">
        <v>2778</v>
      </c>
      <c r="B1563" t="s">
        <v>115</v>
      </c>
    </row>
    <row r="1564" spans="1:2" x14ac:dyDescent="0.25">
      <c r="A1564" t="s">
        <v>2779</v>
      </c>
      <c r="B1564" t="s">
        <v>115</v>
      </c>
    </row>
    <row r="1565" spans="1:2" x14ac:dyDescent="0.25">
      <c r="A1565" t="s">
        <v>119</v>
      </c>
      <c r="B1565" t="s">
        <v>115</v>
      </c>
    </row>
    <row r="1566" spans="1:2" x14ac:dyDescent="0.25">
      <c r="A1566" t="s">
        <v>2780</v>
      </c>
      <c r="B1566" t="s">
        <v>115</v>
      </c>
    </row>
    <row r="1567" spans="1:2" x14ac:dyDescent="0.25">
      <c r="A1567" t="s">
        <v>2781</v>
      </c>
      <c r="B1567" t="s">
        <v>115</v>
      </c>
    </row>
    <row r="1568" spans="1:2" x14ac:dyDescent="0.25">
      <c r="A1568" t="s">
        <v>2782</v>
      </c>
      <c r="B1568" t="s">
        <v>115</v>
      </c>
    </row>
    <row r="1569" spans="1:2" x14ac:dyDescent="0.25">
      <c r="A1569" t="s">
        <v>543</v>
      </c>
      <c r="B1569" t="s">
        <v>115</v>
      </c>
    </row>
    <row r="1570" spans="1:2" x14ac:dyDescent="0.25">
      <c r="A1570" t="s">
        <v>2783</v>
      </c>
      <c r="B1570" t="s">
        <v>115</v>
      </c>
    </row>
    <row r="1571" spans="1:2" x14ac:dyDescent="0.25">
      <c r="A1571" t="s">
        <v>2784</v>
      </c>
      <c r="B1571" t="s">
        <v>115</v>
      </c>
    </row>
    <row r="1572" spans="1:2" x14ac:dyDescent="0.25">
      <c r="A1572" t="s">
        <v>887</v>
      </c>
      <c r="B1572" t="s">
        <v>115</v>
      </c>
    </row>
    <row r="1573" spans="1:2" x14ac:dyDescent="0.25">
      <c r="A1573" t="s">
        <v>888</v>
      </c>
      <c r="B1573" t="s">
        <v>115</v>
      </c>
    </row>
    <row r="1574" spans="1:2" x14ac:dyDescent="0.25">
      <c r="A1574" t="s">
        <v>501</v>
      </c>
      <c r="B1574" t="s">
        <v>115</v>
      </c>
    </row>
    <row r="1575" spans="1:2" x14ac:dyDescent="0.25">
      <c r="A1575" t="s">
        <v>1183</v>
      </c>
      <c r="B1575" t="s">
        <v>115</v>
      </c>
    </row>
    <row r="1576" spans="1:2" x14ac:dyDescent="0.25">
      <c r="A1576" t="s">
        <v>499</v>
      </c>
      <c r="B1576" t="s">
        <v>115</v>
      </c>
    </row>
    <row r="1577" spans="1:2" x14ac:dyDescent="0.25">
      <c r="A1577" t="s">
        <v>2785</v>
      </c>
      <c r="B1577" t="s">
        <v>115</v>
      </c>
    </row>
    <row r="1578" spans="1:2" x14ac:dyDescent="0.25">
      <c r="A1578" t="s">
        <v>2786</v>
      </c>
      <c r="B1578" t="s">
        <v>115</v>
      </c>
    </row>
    <row r="1579" spans="1:2" x14ac:dyDescent="0.25">
      <c r="A1579" t="s">
        <v>2787</v>
      </c>
      <c r="B1579" t="s">
        <v>115</v>
      </c>
    </row>
    <row r="1580" spans="1:2" x14ac:dyDescent="0.25">
      <c r="A1580" t="s">
        <v>2788</v>
      </c>
      <c r="B1580" t="s">
        <v>115</v>
      </c>
    </row>
    <row r="1581" spans="1:2" x14ac:dyDescent="0.25">
      <c r="A1581" t="s">
        <v>2789</v>
      </c>
      <c r="B1581" t="s">
        <v>115</v>
      </c>
    </row>
    <row r="1582" spans="1:2" x14ac:dyDescent="0.25">
      <c r="A1582" t="s">
        <v>2790</v>
      </c>
      <c r="B1582" t="s">
        <v>115</v>
      </c>
    </row>
    <row r="1583" spans="1:2" x14ac:dyDescent="0.25">
      <c r="A1583" t="s">
        <v>889</v>
      </c>
      <c r="B1583" t="s">
        <v>115</v>
      </c>
    </row>
    <row r="1584" spans="1:2" x14ac:dyDescent="0.25">
      <c r="A1584" t="s">
        <v>890</v>
      </c>
      <c r="B1584" t="s">
        <v>115</v>
      </c>
    </row>
    <row r="1585" spans="1:2" x14ac:dyDescent="0.25">
      <c r="A1585" t="s">
        <v>502</v>
      </c>
      <c r="B1585" t="s">
        <v>115</v>
      </c>
    </row>
    <row r="1586" spans="1:2" x14ac:dyDescent="0.25">
      <c r="A1586" t="s">
        <v>500</v>
      </c>
      <c r="B1586" t="s">
        <v>115</v>
      </c>
    </row>
    <row r="1587" spans="1:2" x14ac:dyDescent="0.25">
      <c r="A1587" t="s">
        <v>2791</v>
      </c>
      <c r="B1587" t="s">
        <v>115</v>
      </c>
    </row>
    <row r="1588" spans="1:2" x14ac:dyDescent="0.25">
      <c r="A1588" t="s">
        <v>2792</v>
      </c>
      <c r="B1588" t="s">
        <v>115</v>
      </c>
    </row>
    <row r="1589" spans="1:2" x14ac:dyDescent="0.25">
      <c r="A1589" t="s">
        <v>2793</v>
      </c>
      <c r="B1589" t="s">
        <v>115</v>
      </c>
    </row>
    <row r="1590" spans="1:2" x14ac:dyDescent="0.25">
      <c r="A1590" t="s">
        <v>2794</v>
      </c>
      <c r="B1590" t="s">
        <v>115</v>
      </c>
    </row>
    <row r="1591" spans="1:2" x14ac:dyDescent="0.25">
      <c r="A1591" t="s">
        <v>2795</v>
      </c>
      <c r="B1591" t="s">
        <v>115</v>
      </c>
    </row>
    <row r="1592" spans="1:2" x14ac:dyDescent="0.25">
      <c r="A1592" t="s">
        <v>2796</v>
      </c>
      <c r="B1592" t="s">
        <v>115</v>
      </c>
    </row>
    <row r="1593" spans="1:2" x14ac:dyDescent="0.25">
      <c r="A1593" t="s">
        <v>891</v>
      </c>
      <c r="B1593" t="s">
        <v>115</v>
      </c>
    </row>
    <row r="1594" spans="1:2" x14ac:dyDescent="0.25">
      <c r="A1594" t="s">
        <v>120</v>
      </c>
      <c r="B1594" t="s">
        <v>115</v>
      </c>
    </row>
    <row r="1595" spans="1:2" x14ac:dyDescent="0.25">
      <c r="A1595" t="s">
        <v>2797</v>
      </c>
      <c r="B1595" t="s">
        <v>115</v>
      </c>
    </row>
    <row r="1596" spans="1:2" x14ac:dyDescent="0.25">
      <c r="A1596" t="s">
        <v>2798</v>
      </c>
      <c r="B1596" t="s">
        <v>115</v>
      </c>
    </row>
    <row r="1597" spans="1:2" x14ac:dyDescent="0.25">
      <c r="A1597" t="s">
        <v>2799</v>
      </c>
      <c r="B1597" t="s">
        <v>115</v>
      </c>
    </row>
    <row r="1598" spans="1:2" x14ac:dyDescent="0.25">
      <c r="A1598" t="s">
        <v>2800</v>
      </c>
      <c r="B1598" t="s">
        <v>115</v>
      </c>
    </row>
    <row r="1599" spans="1:2" x14ac:dyDescent="0.25">
      <c r="A1599" t="s">
        <v>503</v>
      </c>
      <c r="B1599" t="s">
        <v>115</v>
      </c>
    </row>
    <row r="1600" spans="1:2" x14ac:dyDescent="0.25">
      <c r="A1600" t="s">
        <v>2801</v>
      </c>
      <c r="B1600" t="s">
        <v>115</v>
      </c>
    </row>
    <row r="1601" spans="1:2" x14ac:dyDescent="0.25">
      <c r="A1601" t="s">
        <v>2802</v>
      </c>
      <c r="B1601" t="s">
        <v>115</v>
      </c>
    </row>
    <row r="1602" spans="1:2" x14ac:dyDescent="0.25">
      <c r="A1602" t="s">
        <v>2803</v>
      </c>
      <c r="B1602" t="s">
        <v>115</v>
      </c>
    </row>
    <row r="1603" spans="1:2" x14ac:dyDescent="0.25">
      <c r="A1603" t="s">
        <v>555</v>
      </c>
      <c r="B1603" t="s">
        <v>115</v>
      </c>
    </row>
    <row r="1604" spans="1:2" x14ac:dyDescent="0.25">
      <c r="A1604" t="s">
        <v>2804</v>
      </c>
      <c r="B1604" t="s">
        <v>115</v>
      </c>
    </row>
    <row r="1605" spans="1:2" x14ac:dyDescent="0.25">
      <c r="A1605" t="s">
        <v>2805</v>
      </c>
      <c r="B1605" t="s">
        <v>115</v>
      </c>
    </row>
    <row r="1606" spans="1:2" x14ac:dyDescent="0.25">
      <c r="A1606" t="s">
        <v>2806</v>
      </c>
      <c r="B1606" t="s">
        <v>115</v>
      </c>
    </row>
    <row r="1607" spans="1:2" x14ac:dyDescent="0.25">
      <c r="A1607" t="s">
        <v>2807</v>
      </c>
      <c r="B1607" t="s">
        <v>115</v>
      </c>
    </row>
    <row r="1608" spans="1:2" x14ac:dyDescent="0.25">
      <c r="A1608" t="s">
        <v>2808</v>
      </c>
      <c r="B1608" t="s">
        <v>115</v>
      </c>
    </row>
    <row r="1609" spans="1:2" x14ac:dyDescent="0.25">
      <c r="A1609" t="s">
        <v>556</v>
      </c>
      <c r="B1609" t="s">
        <v>115</v>
      </c>
    </row>
    <row r="1610" spans="1:2" x14ac:dyDescent="0.25">
      <c r="A1610" t="s">
        <v>2809</v>
      </c>
      <c r="B1610" t="s">
        <v>115</v>
      </c>
    </row>
    <row r="1611" spans="1:2" x14ac:dyDescent="0.25">
      <c r="A1611" t="s">
        <v>2810</v>
      </c>
      <c r="B1611" t="s">
        <v>115</v>
      </c>
    </row>
    <row r="1612" spans="1:2" x14ac:dyDescent="0.25">
      <c r="A1612" t="s">
        <v>2811</v>
      </c>
      <c r="B1612" t="s">
        <v>115</v>
      </c>
    </row>
    <row r="1613" spans="1:2" x14ac:dyDescent="0.25">
      <c r="A1613" t="s">
        <v>121</v>
      </c>
      <c r="B1613" t="s">
        <v>115</v>
      </c>
    </row>
    <row r="1614" spans="1:2" x14ac:dyDescent="0.25">
      <c r="A1614" t="s">
        <v>2812</v>
      </c>
      <c r="B1614" t="s">
        <v>115</v>
      </c>
    </row>
    <row r="1615" spans="1:2" x14ac:dyDescent="0.25">
      <c r="A1615" t="s">
        <v>2813</v>
      </c>
      <c r="B1615" t="s">
        <v>115</v>
      </c>
    </row>
    <row r="1616" spans="1:2" x14ac:dyDescent="0.25">
      <c r="A1616" t="s">
        <v>124</v>
      </c>
      <c r="B1616" t="s">
        <v>115</v>
      </c>
    </row>
    <row r="1617" spans="1:2" x14ac:dyDescent="0.25">
      <c r="A1617" t="s">
        <v>2814</v>
      </c>
      <c r="B1617" t="s">
        <v>115</v>
      </c>
    </row>
    <row r="1618" spans="1:2" x14ac:dyDescent="0.25">
      <c r="A1618" t="s">
        <v>2815</v>
      </c>
      <c r="B1618" t="s">
        <v>115</v>
      </c>
    </row>
    <row r="1619" spans="1:2" x14ac:dyDescent="0.25">
      <c r="A1619" t="s">
        <v>2816</v>
      </c>
      <c r="B1619" t="s">
        <v>115</v>
      </c>
    </row>
    <row r="1620" spans="1:2" x14ac:dyDescent="0.25">
      <c r="A1620" t="s">
        <v>2817</v>
      </c>
      <c r="B1620" t="s">
        <v>115</v>
      </c>
    </row>
    <row r="1621" spans="1:2" x14ac:dyDescent="0.25">
      <c r="A1621" t="s">
        <v>2818</v>
      </c>
      <c r="B1621" t="s">
        <v>115</v>
      </c>
    </row>
    <row r="1622" spans="1:2" x14ac:dyDescent="0.25">
      <c r="A1622" t="s">
        <v>2819</v>
      </c>
      <c r="B1622" t="s">
        <v>115</v>
      </c>
    </row>
    <row r="1623" spans="1:2" x14ac:dyDescent="0.25">
      <c r="A1623" t="s">
        <v>2820</v>
      </c>
      <c r="B1623" t="s">
        <v>115</v>
      </c>
    </row>
    <row r="1624" spans="1:2" x14ac:dyDescent="0.25">
      <c r="A1624" t="s">
        <v>2821</v>
      </c>
      <c r="B1624" t="s">
        <v>115</v>
      </c>
    </row>
    <row r="1625" spans="1:2" x14ac:dyDescent="0.25">
      <c r="A1625" t="s">
        <v>2822</v>
      </c>
      <c r="B1625" t="s">
        <v>115</v>
      </c>
    </row>
    <row r="1626" spans="1:2" x14ac:dyDescent="0.25">
      <c r="A1626" t="s">
        <v>2823</v>
      </c>
      <c r="B1626" t="s">
        <v>115</v>
      </c>
    </row>
    <row r="1627" spans="1:2" x14ac:dyDescent="0.25">
      <c r="A1627" t="s">
        <v>2824</v>
      </c>
      <c r="B1627" t="s">
        <v>115</v>
      </c>
    </row>
    <row r="1628" spans="1:2" x14ac:dyDescent="0.25">
      <c r="A1628" t="s">
        <v>2825</v>
      </c>
      <c r="B1628" t="s">
        <v>115</v>
      </c>
    </row>
    <row r="1629" spans="1:2" x14ac:dyDescent="0.25">
      <c r="A1629" t="s">
        <v>2826</v>
      </c>
      <c r="B1629" t="s">
        <v>115</v>
      </c>
    </row>
    <row r="1630" spans="1:2" x14ac:dyDescent="0.25">
      <c r="A1630" t="s">
        <v>2827</v>
      </c>
      <c r="B1630" t="s">
        <v>115</v>
      </c>
    </row>
    <row r="1631" spans="1:2" x14ac:dyDescent="0.25">
      <c r="A1631" t="s">
        <v>2828</v>
      </c>
      <c r="B1631" t="s">
        <v>115</v>
      </c>
    </row>
    <row r="1632" spans="1:2" x14ac:dyDescent="0.25">
      <c r="A1632" t="s">
        <v>2829</v>
      </c>
      <c r="B1632" t="s">
        <v>115</v>
      </c>
    </row>
    <row r="1633" spans="1:2" x14ac:dyDescent="0.25">
      <c r="A1633" t="s">
        <v>2830</v>
      </c>
      <c r="B1633" t="s">
        <v>115</v>
      </c>
    </row>
    <row r="1634" spans="1:2" x14ac:dyDescent="0.25">
      <c r="A1634" t="s">
        <v>2831</v>
      </c>
      <c r="B1634" t="s">
        <v>115</v>
      </c>
    </row>
    <row r="1635" spans="1:2" x14ac:dyDescent="0.25">
      <c r="A1635" t="s">
        <v>132</v>
      </c>
      <c r="B1635" t="s">
        <v>115</v>
      </c>
    </row>
    <row r="1636" spans="1:2" x14ac:dyDescent="0.25">
      <c r="A1636" t="s">
        <v>2832</v>
      </c>
      <c r="B1636" t="s">
        <v>115</v>
      </c>
    </row>
    <row r="1637" spans="1:2" x14ac:dyDescent="0.25">
      <c r="A1637" t="s">
        <v>2833</v>
      </c>
      <c r="B1637" t="s">
        <v>115</v>
      </c>
    </row>
    <row r="1638" spans="1:2" x14ac:dyDescent="0.25">
      <c r="A1638" t="s">
        <v>2834</v>
      </c>
      <c r="B1638" t="s">
        <v>115</v>
      </c>
    </row>
    <row r="1639" spans="1:2" x14ac:dyDescent="0.25">
      <c r="A1639" t="s">
        <v>2835</v>
      </c>
      <c r="B1639" t="s">
        <v>115</v>
      </c>
    </row>
    <row r="1640" spans="1:2" x14ac:dyDescent="0.25">
      <c r="A1640" t="s">
        <v>2836</v>
      </c>
      <c r="B1640" t="s">
        <v>115</v>
      </c>
    </row>
    <row r="1641" spans="1:2" x14ac:dyDescent="0.25">
      <c r="A1641" t="s">
        <v>2837</v>
      </c>
      <c r="B1641" t="s">
        <v>115</v>
      </c>
    </row>
    <row r="1642" spans="1:2" x14ac:dyDescent="0.25">
      <c r="A1642" t="s">
        <v>2838</v>
      </c>
      <c r="B1642" t="s">
        <v>115</v>
      </c>
    </row>
    <row r="1643" spans="1:2" x14ac:dyDescent="0.25">
      <c r="A1643" t="s">
        <v>2839</v>
      </c>
      <c r="B1643" t="s">
        <v>115</v>
      </c>
    </row>
    <row r="1644" spans="1:2" x14ac:dyDescent="0.25">
      <c r="A1644" t="s">
        <v>2840</v>
      </c>
      <c r="B1644" t="s">
        <v>115</v>
      </c>
    </row>
    <row r="1645" spans="1:2" x14ac:dyDescent="0.25">
      <c r="A1645" t="s">
        <v>2841</v>
      </c>
      <c r="B1645" t="s">
        <v>115</v>
      </c>
    </row>
    <row r="1646" spans="1:2" x14ac:dyDescent="0.25">
      <c r="A1646" t="s">
        <v>2842</v>
      </c>
      <c r="B1646" t="s">
        <v>115</v>
      </c>
    </row>
    <row r="1647" spans="1:2" x14ac:dyDescent="0.25">
      <c r="A1647" t="s">
        <v>1184</v>
      </c>
      <c r="B1647" t="s">
        <v>115</v>
      </c>
    </row>
    <row r="1648" spans="1:2" x14ac:dyDescent="0.25">
      <c r="A1648" t="s">
        <v>504</v>
      </c>
      <c r="B1648" t="s">
        <v>115</v>
      </c>
    </row>
    <row r="1649" spans="1:2" x14ac:dyDescent="0.25">
      <c r="A1649" t="s">
        <v>1185</v>
      </c>
      <c r="B1649" t="s">
        <v>115</v>
      </c>
    </row>
    <row r="1650" spans="1:2" x14ac:dyDescent="0.25">
      <c r="A1650" t="s">
        <v>544</v>
      </c>
      <c r="B1650" t="s">
        <v>115</v>
      </c>
    </row>
    <row r="1651" spans="1:2" x14ac:dyDescent="0.25">
      <c r="A1651" t="s">
        <v>892</v>
      </c>
      <c r="B1651" t="s">
        <v>115</v>
      </c>
    </row>
    <row r="1652" spans="1:2" x14ac:dyDescent="0.25">
      <c r="A1652" t="s">
        <v>2843</v>
      </c>
      <c r="B1652" t="s">
        <v>115</v>
      </c>
    </row>
    <row r="1653" spans="1:2" x14ac:dyDescent="0.25">
      <c r="A1653" t="s">
        <v>2844</v>
      </c>
      <c r="B1653" t="s">
        <v>115</v>
      </c>
    </row>
    <row r="1654" spans="1:2" x14ac:dyDescent="0.25">
      <c r="A1654" t="s">
        <v>2845</v>
      </c>
      <c r="B1654" t="s">
        <v>115</v>
      </c>
    </row>
    <row r="1655" spans="1:2" x14ac:dyDescent="0.25">
      <c r="A1655" t="s">
        <v>2846</v>
      </c>
      <c r="B1655" t="s">
        <v>115</v>
      </c>
    </row>
    <row r="1656" spans="1:2" x14ac:dyDescent="0.25">
      <c r="A1656" t="s">
        <v>545</v>
      </c>
      <c r="B1656" t="s">
        <v>115</v>
      </c>
    </row>
    <row r="1657" spans="1:2" x14ac:dyDescent="0.25">
      <c r="A1657" t="s">
        <v>893</v>
      </c>
      <c r="B1657" t="s">
        <v>115</v>
      </c>
    </row>
    <row r="1658" spans="1:2" x14ac:dyDescent="0.25">
      <c r="A1658" t="s">
        <v>588</v>
      </c>
      <c r="B1658" t="s">
        <v>115</v>
      </c>
    </row>
    <row r="1659" spans="1:2" x14ac:dyDescent="0.25">
      <c r="A1659" t="s">
        <v>506</v>
      </c>
      <c r="B1659" t="s">
        <v>115</v>
      </c>
    </row>
    <row r="1660" spans="1:2" x14ac:dyDescent="0.25">
      <c r="A1660" t="s">
        <v>894</v>
      </c>
      <c r="B1660" t="s">
        <v>115</v>
      </c>
    </row>
    <row r="1661" spans="1:2" x14ac:dyDescent="0.25">
      <c r="A1661" t="s">
        <v>330</v>
      </c>
      <c r="B1661" t="s">
        <v>115</v>
      </c>
    </row>
    <row r="1662" spans="1:2" x14ac:dyDescent="0.25">
      <c r="A1662" t="s">
        <v>895</v>
      </c>
      <c r="B1662" t="s">
        <v>115</v>
      </c>
    </row>
    <row r="1663" spans="1:2" x14ac:dyDescent="0.25">
      <c r="A1663" t="s">
        <v>507</v>
      </c>
      <c r="B1663" t="s">
        <v>115</v>
      </c>
    </row>
    <row r="1664" spans="1:2" x14ac:dyDescent="0.25">
      <c r="A1664" t="s">
        <v>1186</v>
      </c>
      <c r="B1664" t="s">
        <v>115</v>
      </c>
    </row>
    <row r="1665" spans="1:2" x14ac:dyDescent="0.25">
      <c r="A1665" t="s">
        <v>508</v>
      </c>
      <c r="B1665" t="s">
        <v>115</v>
      </c>
    </row>
    <row r="1666" spans="1:2" x14ac:dyDescent="0.25">
      <c r="A1666" t="s">
        <v>546</v>
      </c>
      <c r="B1666" t="s">
        <v>115</v>
      </c>
    </row>
    <row r="1667" spans="1:2" x14ac:dyDescent="0.25">
      <c r="A1667" t="s">
        <v>548</v>
      </c>
      <c r="B1667" t="s">
        <v>115</v>
      </c>
    </row>
    <row r="1668" spans="1:2" x14ac:dyDescent="0.25">
      <c r="A1668" t="s">
        <v>896</v>
      </c>
      <c r="B1668" t="s">
        <v>115</v>
      </c>
    </row>
    <row r="1669" spans="1:2" x14ac:dyDescent="0.25">
      <c r="A1669" t="s">
        <v>897</v>
      </c>
      <c r="B1669" t="s">
        <v>115</v>
      </c>
    </row>
    <row r="1670" spans="1:2" x14ac:dyDescent="0.25">
      <c r="A1670" t="s">
        <v>898</v>
      </c>
      <c r="B1670" t="s">
        <v>115</v>
      </c>
    </row>
    <row r="1671" spans="1:2" x14ac:dyDescent="0.25">
      <c r="A1671" t="s">
        <v>899</v>
      </c>
      <c r="B1671" t="s">
        <v>115</v>
      </c>
    </row>
    <row r="1672" spans="1:2" x14ac:dyDescent="0.25">
      <c r="A1672" t="s">
        <v>549</v>
      </c>
      <c r="B1672" t="s">
        <v>115</v>
      </c>
    </row>
    <row r="1673" spans="1:2" x14ac:dyDescent="0.25">
      <c r="A1673" t="s">
        <v>550</v>
      </c>
      <c r="B1673" t="s">
        <v>115</v>
      </c>
    </row>
    <row r="1674" spans="1:2" x14ac:dyDescent="0.25">
      <c r="A1674" t="s">
        <v>551</v>
      </c>
      <c r="B1674" t="s">
        <v>115</v>
      </c>
    </row>
    <row r="1675" spans="1:2" x14ac:dyDescent="0.25">
      <c r="A1675" t="s">
        <v>1187</v>
      </c>
      <c r="B1675" t="s">
        <v>115</v>
      </c>
    </row>
    <row r="1676" spans="1:2" x14ac:dyDescent="0.25">
      <c r="A1676" t="s">
        <v>552</v>
      </c>
      <c r="B1676" t="s">
        <v>115</v>
      </c>
    </row>
    <row r="1677" spans="1:2" x14ac:dyDescent="0.25">
      <c r="A1677" t="s">
        <v>1188</v>
      </c>
      <c r="B1677" t="s">
        <v>115</v>
      </c>
    </row>
    <row r="1678" spans="1:2" x14ac:dyDescent="0.25">
      <c r="A1678" t="s">
        <v>509</v>
      </c>
      <c r="B1678" t="s">
        <v>115</v>
      </c>
    </row>
    <row r="1679" spans="1:2" x14ac:dyDescent="0.25">
      <c r="A1679" t="s">
        <v>136</v>
      </c>
      <c r="B1679" t="s">
        <v>115</v>
      </c>
    </row>
    <row r="1680" spans="1:2" x14ac:dyDescent="0.25">
      <c r="A1680" t="s">
        <v>2847</v>
      </c>
      <c r="B1680" t="s">
        <v>115</v>
      </c>
    </row>
    <row r="1681" spans="1:2" x14ac:dyDescent="0.25">
      <c r="A1681" t="s">
        <v>2848</v>
      </c>
      <c r="B1681" t="s">
        <v>115</v>
      </c>
    </row>
    <row r="1682" spans="1:2" x14ac:dyDescent="0.25">
      <c r="A1682" t="s">
        <v>1189</v>
      </c>
      <c r="B1682" t="s">
        <v>115</v>
      </c>
    </row>
    <row r="1683" spans="1:2" x14ac:dyDescent="0.25">
      <c r="A1683" t="s">
        <v>553</v>
      </c>
      <c r="B1683" t="s">
        <v>115</v>
      </c>
    </row>
    <row r="1684" spans="1:2" x14ac:dyDescent="0.25">
      <c r="A1684" t="s">
        <v>554</v>
      </c>
      <c r="B1684" t="s">
        <v>115</v>
      </c>
    </row>
    <row r="1685" spans="1:2" x14ac:dyDescent="0.25">
      <c r="A1685" t="s">
        <v>900</v>
      </c>
      <c r="B1685" t="s">
        <v>115</v>
      </c>
    </row>
    <row r="1686" spans="1:2" x14ac:dyDescent="0.25">
      <c r="A1686" t="s">
        <v>1190</v>
      </c>
      <c r="B1686" t="s">
        <v>115</v>
      </c>
    </row>
    <row r="1687" spans="1:2" x14ac:dyDescent="0.25">
      <c r="A1687" t="s">
        <v>1191</v>
      </c>
      <c r="B1687" t="s">
        <v>115</v>
      </c>
    </row>
    <row r="1688" spans="1:2" x14ac:dyDescent="0.25">
      <c r="A1688" t="s">
        <v>2849</v>
      </c>
      <c r="B1688" t="s">
        <v>115</v>
      </c>
    </row>
    <row r="1689" spans="1:2" x14ac:dyDescent="0.25">
      <c r="A1689" t="s">
        <v>1192</v>
      </c>
      <c r="B1689" t="s">
        <v>115</v>
      </c>
    </row>
    <row r="1690" spans="1:2" x14ac:dyDescent="0.25">
      <c r="A1690" t="s">
        <v>538</v>
      </c>
      <c r="B1690" t="s">
        <v>115</v>
      </c>
    </row>
    <row r="1691" spans="1:2" x14ac:dyDescent="0.25">
      <c r="A1691" t="s">
        <v>2850</v>
      </c>
      <c r="B1691" t="s">
        <v>902</v>
      </c>
    </row>
    <row r="1692" spans="1:2" x14ac:dyDescent="0.25">
      <c r="A1692" t="s">
        <v>2851</v>
      </c>
      <c r="B1692" t="s">
        <v>902</v>
      </c>
    </row>
    <row r="1693" spans="1:2" x14ac:dyDescent="0.25">
      <c r="A1693" t="s">
        <v>2852</v>
      </c>
      <c r="B1693" t="s">
        <v>282</v>
      </c>
    </row>
    <row r="1694" spans="1:2" x14ac:dyDescent="0.25">
      <c r="A1694" t="s">
        <v>2853</v>
      </c>
      <c r="B1694" t="s">
        <v>282</v>
      </c>
    </row>
    <row r="1695" spans="1:2" x14ac:dyDescent="0.25">
      <c r="A1695" t="s">
        <v>2854</v>
      </c>
      <c r="B1695" t="s">
        <v>282</v>
      </c>
    </row>
    <row r="1696" spans="1:2" x14ac:dyDescent="0.25">
      <c r="A1696" t="s">
        <v>2855</v>
      </c>
      <c r="B1696" t="s">
        <v>282</v>
      </c>
    </row>
    <row r="1697" spans="1:2" x14ac:dyDescent="0.25">
      <c r="A1697" t="s">
        <v>2856</v>
      </c>
      <c r="B1697" t="s">
        <v>282</v>
      </c>
    </row>
    <row r="1698" spans="1:2" x14ac:dyDescent="0.25">
      <c r="A1698" t="s">
        <v>2857</v>
      </c>
      <c r="B1698" t="s">
        <v>282</v>
      </c>
    </row>
    <row r="1699" spans="1:2" x14ac:dyDescent="0.25">
      <c r="A1699" t="s">
        <v>2858</v>
      </c>
      <c r="B1699" t="s">
        <v>282</v>
      </c>
    </row>
    <row r="1700" spans="1:2" x14ac:dyDescent="0.25">
      <c r="A1700" t="s">
        <v>904</v>
      </c>
      <c r="B1700" t="s">
        <v>906</v>
      </c>
    </row>
    <row r="1701" spans="1:2" x14ac:dyDescent="0.25">
      <c r="A1701" t="s">
        <v>907</v>
      </c>
      <c r="B1701" t="s">
        <v>906</v>
      </c>
    </row>
    <row r="1702" spans="1:2" x14ac:dyDescent="0.25">
      <c r="A1702" t="s">
        <v>908</v>
      </c>
      <c r="B1702" t="s">
        <v>906</v>
      </c>
    </row>
    <row r="1703" spans="1:2" x14ac:dyDescent="0.25">
      <c r="A1703" t="s">
        <v>909</v>
      </c>
      <c r="B1703" t="s">
        <v>906</v>
      </c>
    </row>
    <row r="1704" spans="1:2" x14ac:dyDescent="0.25">
      <c r="A1704" t="s">
        <v>910</v>
      </c>
      <c r="B1704" t="s">
        <v>906</v>
      </c>
    </row>
    <row r="1705" spans="1:2" x14ac:dyDescent="0.25">
      <c r="A1705" t="s">
        <v>911</v>
      </c>
      <c r="B1705" t="s">
        <v>906</v>
      </c>
    </row>
    <row r="1706" spans="1:2" x14ac:dyDescent="0.25">
      <c r="A1706" t="s">
        <v>912</v>
      </c>
      <c r="B1706" t="s">
        <v>906</v>
      </c>
    </row>
    <row r="1707" spans="1:2" x14ac:dyDescent="0.25">
      <c r="A1707" t="s">
        <v>913</v>
      </c>
      <c r="B1707" t="s">
        <v>906</v>
      </c>
    </row>
    <row r="1708" spans="1:2" x14ac:dyDescent="0.25">
      <c r="A1708" t="s">
        <v>914</v>
      </c>
      <c r="B1708" t="s">
        <v>906</v>
      </c>
    </row>
    <row r="1709" spans="1:2" x14ac:dyDescent="0.25">
      <c r="A1709" t="s">
        <v>915</v>
      </c>
      <c r="B1709" t="s">
        <v>906</v>
      </c>
    </row>
    <row r="1710" spans="1:2" x14ac:dyDescent="0.25">
      <c r="A1710" t="s">
        <v>916</v>
      </c>
      <c r="B1710" t="s">
        <v>906</v>
      </c>
    </row>
    <row r="1711" spans="1:2" x14ac:dyDescent="0.25">
      <c r="A1711" t="s">
        <v>917</v>
      </c>
      <c r="B1711" t="s">
        <v>906</v>
      </c>
    </row>
    <row r="1712" spans="1:2" x14ac:dyDescent="0.25">
      <c r="A1712" t="s">
        <v>918</v>
      </c>
      <c r="B1712" t="s">
        <v>906</v>
      </c>
    </row>
    <row r="1713" spans="1:2" x14ac:dyDescent="0.25">
      <c r="A1713" t="s">
        <v>920</v>
      </c>
      <c r="B1713" t="s">
        <v>906</v>
      </c>
    </row>
    <row r="1714" spans="1:2" x14ac:dyDescent="0.25">
      <c r="A1714" t="s">
        <v>1329</v>
      </c>
      <c r="B1714" t="s">
        <v>906</v>
      </c>
    </row>
    <row r="1715" spans="1:2" x14ac:dyDescent="0.25">
      <c r="A1715" t="s">
        <v>921</v>
      </c>
      <c r="B1715" t="s">
        <v>906</v>
      </c>
    </row>
    <row r="1716" spans="1:2" x14ac:dyDescent="0.25">
      <c r="A1716" t="s">
        <v>923</v>
      </c>
      <c r="B1716" t="s">
        <v>906</v>
      </c>
    </row>
    <row r="1717" spans="1:2" x14ac:dyDescent="0.25">
      <c r="A1717" t="s">
        <v>2859</v>
      </c>
      <c r="B1717" t="s">
        <v>906</v>
      </c>
    </row>
    <row r="1718" spans="1:2" x14ac:dyDescent="0.25">
      <c r="A1718" t="s">
        <v>1330</v>
      </c>
      <c r="B1718" t="s">
        <v>906</v>
      </c>
    </row>
    <row r="1719" spans="1:2" x14ac:dyDescent="0.25">
      <c r="A1719" t="s">
        <v>925</v>
      </c>
      <c r="B1719" t="s">
        <v>906</v>
      </c>
    </row>
    <row r="1720" spans="1:2" x14ac:dyDescent="0.25">
      <c r="A1720" t="s">
        <v>1331</v>
      </c>
      <c r="B1720" t="s">
        <v>906</v>
      </c>
    </row>
    <row r="1721" spans="1:2" x14ac:dyDescent="0.25">
      <c r="A1721" t="s">
        <v>1332</v>
      </c>
      <c r="B1721" t="s">
        <v>906</v>
      </c>
    </row>
    <row r="1722" spans="1:2" x14ac:dyDescent="0.25">
      <c r="A1722" t="s">
        <v>926</v>
      </c>
      <c r="B1722" t="s">
        <v>906</v>
      </c>
    </row>
    <row r="1723" spans="1:2" x14ac:dyDescent="0.25">
      <c r="A1723" t="s">
        <v>928</v>
      </c>
      <c r="B1723" t="s">
        <v>906</v>
      </c>
    </row>
    <row r="1724" spans="1:2" x14ac:dyDescent="0.25">
      <c r="A1724" t="s">
        <v>929</v>
      </c>
      <c r="B1724" t="s">
        <v>906</v>
      </c>
    </row>
    <row r="1725" spans="1:2" x14ac:dyDescent="0.25">
      <c r="A1725" t="s">
        <v>1333</v>
      </c>
      <c r="B1725" t="s">
        <v>906</v>
      </c>
    </row>
    <row r="1726" spans="1:2" x14ac:dyDescent="0.25">
      <c r="A1726" t="s">
        <v>930</v>
      </c>
      <c r="B1726" t="s">
        <v>906</v>
      </c>
    </row>
    <row r="1727" spans="1:2" x14ac:dyDescent="0.25">
      <c r="A1727" t="s">
        <v>931</v>
      </c>
      <c r="B1727" t="s">
        <v>906</v>
      </c>
    </row>
    <row r="1728" spans="1:2" x14ac:dyDescent="0.25">
      <c r="A1728" t="s">
        <v>932</v>
      </c>
      <c r="B1728" t="s">
        <v>906</v>
      </c>
    </row>
    <row r="1729" spans="1:2" x14ac:dyDescent="0.25">
      <c r="A1729" t="s">
        <v>933</v>
      </c>
      <c r="B1729" t="s">
        <v>906</v>
      </c>
    </row>
    <row r="1730" spans="1:2" x14ac:dyDescent="0.25">
      <c r="A1730" t="s">
        <v>934</v>
      </c>
      <c r="B1730" t="s">
        <v>906</v>
      </c>
    </row>
    <row r="1731" spans="1:2" x14ac:dyDescent="0.25">
      <c r="A1731" t="s">
        <v>935</v>
      </c>
      <c r="B1731" t="s">
        <v>906</v>
      </c>
    </row>
    <row r="1732" spans="1:2" x14ac:dyDescent="0.25">
      <c r="A1732" t="s">
        <v>936</v>
      </c>
      <c r="B1732" t="s">
        <v>906</v>
      </c>
    </row>
    <row r="1733" spans="1:2" x14ac:dyDescent="0.25">
      <c r="A1733" t="s">
        <v>937</v>
      </c>
      <c r="B1733" t="s">
        <v>906</v>
      </c>
    </row>
    <row r="1734" spans="1:2" x14ac:dyDescent="0.25">
      <c r="A1734" t="s">
        <v>1335</v>
      </c>
      <c r="B1734" t="s">
        <v>906</v>
      </c>
    </row>
    <row r="1735" spans="1:2" x14ac:dyDescent="0.25">
      <c r="A1735" t="s">
        <v>938</v>
      </c>
      <c r="B1735" t="s">
        <v>939</v>
      </c>
    </row>
    <row r="1736" spans="1:2" x14ac:dyDescent="0.25">
      <c r="A1736" t="s">
        <v>1336</v>
      </c>
      <c r="B1736" t="s">
        <v>941</v>
      </c>
    </row>
    <row r="1737" spans="1:2" x14ac:dyDescent="0.25">
      <c r="A1737" t="s">
        <v>940</v>
      </c>
      <c r="B1737" t="s">
        <v>941</v>
      </c>
    </row>
    <row r="1738" spans="1:2" x14ac:dyDescent="0.25">
      <c r="A1738" t="s">
        <v>942</v>
      </c>
      <c r="B1738" t="s">
        <v>352</v>
      </c>
    </row>
    <row r="1739" spans="1:2" x14ac:dyDescent="0.25">
      <c r="A1739" t="s">
        <v>944</v>
      </c>
      <c r="B1739" t="s">
        <v>352</v>
      </c>
    </row>
    <row r="1740" spans="1:2" x14ac:dyDescent="0.25">
      <c r="A1740" t="s">
        <v>945</v>
      </c>
      <c r="B1740" t="s">
        <v>352</v>
      </c>
    </row>
    <row r="1741" spans="1:2" x14ac:dyDescent="0.25">
      <c r="A1741" t="s">
        <v>1337</v>
      </c>
      <c r="B1741" t="s">
        <v>352</v>
      </c>
    </row>
    <row r="1742" spans="1:2" x14ac:dyDescent="0.25">
      <c r="A1742" t="s">
        <v>2860</v>
      </c>
      <c r="B1742" t="s">
        <v>352</v>
      </c>
    </row>
    <row r="1743" spans="1:2" x14ac:dyDescent="0.25">
      <c r="A1743" t="s">
        <v>927</v>
      </c>
      <c r="B1743" t="s">
        <v>337</v>
      </c>
    </row>
    <row r="1744" spans="1:2" x14ac:dyDescent="0.25">
      <c r="A1744" t="s">
        <v>2861</v>
      </c>
      <c r="B1744" t="s">
        <v>337</v>
      </c>
    </row>
    <row r="1745" spans="1:2" x14ac:dyDescent="0.25">
      <c r="A1745" t="s">
        <v>2862</v>
      </c>
      <c r="B1745" t="s">
        <v>337</v>
      </c>
    </row>
    <row r="1746" spans="1:2" x14ac:dyDescent="0.25">
      <c r="A1746" t="s">
        <v>2863</v>
      </c>
      <c r="B1746" t="s">
        <v>337</v>
      </c>
    </row>
    <row r="1747" spans="1:2" x14ac:dyDescent="0.25">
      <c r="A1747" t="s">
        <v>2864</v>
      </c>
      <c r="B1747" t="s">
        <v>337</v>
      </c>
    </row>
    <row r="1748" spans="1:2" x14ac:dyDescent="0.25">
      <c r="A1748" t="s">
        <v>334</v>
      </c>
      <c r="B1748" t="s">
        <v>337</v>
      </c>
    </row>
    <row r="1749" spans="1:2" x14ac:dyDescent="0.25">
      <c r="A1749" t="s">
        <v>2865</v>
      </c>
      <c r="B1749" t="s">
        <v>337</v>
      </c>
    </row>
    <row r="1750" spans="1:2" x14ac:dyDescent="0.25">
      <c r="A1750" t="s">
        <v>2866</v>
      </c>
      <c r="B1750" t="s">
        <v>337</v>
      </c>
    </row>
    <row r="1751" spans="1:2" x14ac:dyDescent="0.25">
      <c r="A1751" t="s">
        <v>2867</v>
      </c>
      <c r="B1751" t="s">
        <v>337</v>
      </c>
    </row>
    <row r="1752" spans="1:2" x14ac:dyDescent="0.25">
      <c r="A1752" t="s">
        <v>2868</v>
      </c>
      <c r="B1752" t="s">
        <v>337</v>
      </c>
    </row>
    <row r="1753" spans="1:2" x14ac:dyDescent="0.25">
      <c r="A1753" t="s">
        <v>2869</v>
      </c>
      <c r="B1753" t="s">
        <v>337</v>
      </c>
    </row>
    <row r="1754" spans="1:2" x14ac:dyDescent="0.25">
      <c r="A1754" t="s">
        <v>338</v>
      </c>
      <c r="B1754" t="s">
        <v>337</v>
      </c>
    </row>
    <row r="1755" spans="1:2" x14ac:dyDescent="0.25">
      <c r="A1755" t="s">
        <v>2870</v>
      </c>
      <c r="B1755" t="s">
        <v>337</v>
      </c>
    </row>
    <row r="1756" spans="1:2" x14ac:dyDescent="0.25">
      <c r="A1756" t="s">
        <v>2871</v>
      </c>
      <c r="B1756" t="s">
        <v>337</v>
      </c>
    </row>
    <row r="1757" spans="1:2" x14ac:dyDescent="0.25">
      <c r="A1757" t="s">
        <v>2872</v>
      </c>
      <c r="B1757" t="s">
        <v>337</v>
      </c>
    </row>
    <row r="1758" spans="1:2" x14ac:dyDescent="0.25">
      <c r="A1758" t="s">
        <v>2873</v>
      </c>
      <c r="B1758" t="s">
        <v>337</v>
      </c>
    </row>
    <row r="1759" spans="1:2" x14ac:dyDescent="0.25">
      <c r="A1759" t="s">
        <v>2874</v>
      </c>
      <c r="B1759" t="s">
        <v>337</v>
      </c>
    </row>
    <row r="1760" spans="1:2" x14ac:dyDescent="0.25">
      <c r="A1760" t="s">
        <v>339</v>
      </c>
      <c r="B1760" t="s">
        <v>337</v>
      </c>
    </row>
    <row r="1761" spans="1:2" x14ac:dyDescent="0.25">
      <c r="A1761" t="s">
        <v>2875</v>
      </c>
      <c r="B1761" t="s">
        <v>337</v>
      </c>
    </row>
    <row r="1762" spans="1:2" x14ac:dyDescent="0.25">
      <c r="A1762" t="s">
        <v>2876</v>
      </c>
      <c r="B1762" t="s">
        <v>337</v>
      </c>
    </row>
    <row r="1763" spans="1:2" x14ac:dyDescent="0.25">
      <c r="A1763" t="s">
        <v>2877</v>
      </c>
      <c r="B1763" t="s">
        <v>337</v>
      </c>
    </row>
    <row r="1764" spans="1:2" x14ac:dyDescent="0.25">
      <c r="A1764" t="s">
        <v>2878</v>
      </c>
      <c r="B1764" t="s">
        <v>337</v>
      </c>
    </row>
    <row r="1765" spans="1:2" x14ac:dyDescent="0.25">
      <c r="A1765" t="s">
        <v>2879</v>
      </c>
      <c r="B1765" t="s">
        <v>337</v>
      </c>
    </row>
    <row r="1766" spans="1:2" x14ac:dyDescent="0.25">
      <c r="A1766" t="s">
        <v>340</v>
      </c>
      <c r="B1766" t="s">
        <v>337</v>
      </c>
    </row>
    <row r="1767" spans="1:2" x14ac:dyDescent="0.25">
      <c r="A1767" t="s">
        <v>2880</v>
      </c>
      <c r="B1767" t="s">
        <v>337</v>
      </c>
    </row>
    <row r="1768" spans="1:2" x14ac:dyDescent="0.25">
      <c r="A1768" t="s">
        <v>2881</v>
      </c>
      <c r="B1768" t="s">
        <v>337</v>
      </c>
    </row>
    <row r="1769" spans="1:2" x14ac:dyDescent="0.25">
      <c r="A1769" t="s">
        <v>2882</v>
      </c>
      <c r="B1769" t="s">
        <v>337</v>
      </c>
    </row>
    <row r="1770" spans="1:2" x14ac:dyDescent="0.25">
      <c r="A1770" t="s">
        <v>2883</v>
      </c>
      <c r="B1770" t="s">
        <v>337</v>
      </c>
    </row>
    <row r="1771" spans="1:2" x14ac:dyDescent="0.25">
      <c r="A1771" t="s">
        <v>2884</v>
      </c>
      <c r="B1771" t="s">
        <v>337</v>
      </c>
    </row>
    <row r="1772" spans="1:2" x14ac:dyDescent="0.25">
      <c r="A1772" t="s">
        <v>341</v>
      </c>
      <c r="B1772" t="s">
        <v>337</v>
      </c>
    </row>
    <row r="1773" spans="1:2" x14ac:dyDescent="0.25">
      <c r="A1773" t="s">
        <v>2885</v>
      </c>
      <c r="B1773" t="s">
        <v>337</v>
      </c>
    </row>
    <row r="1774" spans="1:2" x14ac:dyDescent="0.25">
      <c r="A1774" t="s">
        <v>2886</v>
      </c>
      <c r="B1774" t="s">
        <v>337</v>
      </c>
    </row>
    <row r="1775" spans="1:2" x14ac:dyDescent="0.25">
      <c r="A1775" t="s">
        <v>2887</v>
      </c>
      <c r="B1775" t="s">
        <v>337</v>
      </c>
    </row>
    <row r="1776" spans="1:2" x14ac:dyDescent="0.25">
      <c r="A1776" t="s">
        <v>2888</v>
      </c>
      <c r="B1776" t="s">
        <v>337</v>
      </c>
    </row>
    <row r="1777" spans="1:2" x14ac:dyDescent="0.25">
      <c r="A1777" t="s">
        <v>342</v>
      </c>
      <c r="B1777" t="s">
        <v>337</v>
      </c>
    </row>
    <row r="1778" spans="1:2" x14ac:dyDescent="0.25">
      <c r="A1778" t="s">
        <v>2889</v>
      </c>
      <c r="B1778" t="s">
        <v>337</v>
      </c>
    </row>
    <row r="1779" spans="1:2" x14ac:dyDescent="0.25">
      <c r="A1779" t="s">
        <v>2890</v>
      </c>
      <c r="B1779" t="s">
        <v>337</v>
      </c>
    </row>
    <row r="1780" spans="1:2" x14ac:dyDescent="0.25">
      <c r="A1780" t="s">
        <v>2891</v>
      </c>
      <c r="B1780" t="s">
        <v>337</v>
      </c>
    </row>
    <row r="1781" spans="1:2" x14ac:dyDescent="0.25">
      <c r="A1781" t="s">
        <v>2892</v>
      </c>
      <c r="B1781" t="s">
        <v>337</v>
      </c>
    </row>
    <row r="1782" spans="1:2" x14ac:dyDescent="0.25">
      <c r="A1782" t="s">
        <v>343</v>
      </c>
      <c r="B1782" t="s">
        <v>337</v>
      </c>
    </row>
    <row r="1783" spans="1:2" x14ac:dyDescent="0.25">
      <c r="A1783" t="s">
        <v>2893</v>
      </c>
      <c r="B1783" t="s">
        <v>337</v>
      </c>
    </row>
    <row r="1784" spans="1:2" x14ac:dyDescent="0.25">
      <c r="A1784" t="s">
        <v>2894</v>
      </c>
      <c r="B1784" t="s">
        <v>337</v>
      </c>
    </row>
    <row r="1785" spans="1:2" x14ac:dyDescent="0.25">
      <c r="A1785" t="s">
        <v>2895</v>
      </c>
      <c r="B1785" t="s">
        <v>337</v>
      </c>
    </row>
    <row r="1786" spans="1:2" x14ac:dyDescent="0.25">
      <c r="A1786" t="s">
        <v>2896</v>
      </c>
      <c r="B1786" t="s">
        <v>337</v>
      </c>
    </row>
    <row r="1787" spans="1:2" x14ac:dyDescent="0.25">
      <c r="A1787" t="s">
        <v>344</v>
      </c>
      <c r="B1787" t="s">
        <v>337</v>
      </c>
    </row>
    <row r="1788" spans="1:2" x14ac:dyDescent="0.25">
      <c r="A1788" t="s">
        <v>2897</v>
      </c>
      <c r="B1788" t="s">
        <v>337</v>
      </c>
    </row>
    <row r="1789" spans="1:2" x14ac:dyDescent="0.25">
      <c r="A1789" t="s">
        <v>2898</v>
      </c>
      <c r="B1789" t="s">
        <v>337</v>
      </c>
    </row>
    <row r="1790" spans="1:2" x14ac:dyDescent="0.25">
      <c r="A1790" t="s">
        <v>2899</v>
      </c>
      <c r="B1790" t="s">
        <v>337</v>
      </c>
    </row>
    <row r="1791" spans="1:2" x14ac:dyDescent="0.25">
      <c r="A1791" t="s">
        <v>2900</v>
      </c>
      <c r="B1791" t="s">
        <v>337</v>
      </c>
    </row>
    <row r="1792" spans="1:2" x14ac:dyDescent="0.25">
      <c r="A1792" t="s">
        <v>371</v>
      </c>
      <c r="B1792" t="s">
        <v>337</v>
      </c>
    </row>
    <row r="1793" spans="1:2" x14ac:dyDescent="0.25">
      <c r="A1793" t="s">
        <v>2901</v>
      </c>
      <c r="B1793" t="s">
        <v>337</v>
      </c>
    </row>
    <row r="1794" spans="1:2" x14ac:dyDescent="0.25">
      <c r="A1794" t="s">
        <v>2902</v>
      </c>
      <c r="B1794" t="s">
        <v>337</v>
      </c>
    </row>
    <row r="1795" spans="1:2" x14ac:dyDescent="0.25">
      <c r="A1795" t="s">
        <v>2903</v>
      </c>
      <c r="B1795" t="s">
        <v>337</v>
      </c>
    </row>
    <row r="1796" spans="1:2" x14ac:dyDescent="0.25">
      <c r="A1796" t="s">
        <v>2904</v>
      </c>
      <c r="B1796" t="s">
        <v>337</v>
      </c>
    </row>
    <row r="1797" spans="1:2" x14ac:dyDescent="0.25">
      <c r="A1797" t="s">
        <v>2905</v>
      </c>
      <c r="B1797" t="s">
        <v>337</v>
      </c>
    </row>
    <row r="1798" spans="1:2" x14ac:dyDescent="0.25">
      <c r="A1798" t="s">
        <v>2906</v>
      </c>
      <c r="B1798" t="s">
        <v>337</v>
      </c>
    </row>
    <row r="1799" spans="1:2" x14ac:dyDescent="0.25">
      <c r="A1799" t="s">
        <v>2907</v>
      </c>
      <c r="B1799" t="s">
        <v>337</v>
      </c>
    </row>
    <row r="1800" spans="1:2" x14ac:dyDescent="0.25">
      <c r="A1800" t="s">
        <v>2908</v>
      </c>
      <c r="B1800" t="s">
        <v>337</v>
      </c>
    </row>
    <row r="1801" spans="1:2" x14ac:dyDescent="0.25">
      <c r="A1801" t="s">
        <v>2909</v>
      </c>
      <c r="B1801" t="s">
        <v>337</v>
      </c>
    </row>
    <row r="1802" spans="1:2" x14ac:dyDescent="0.25">
      <c r="A1802" t="s">
        <v>2910</v>
      </c>
      <c r="B1802" t="s">
        <v>337</v>
      </c>
    </row>
    <row r="1803" spans="1:2" x14ac:dyDescent="0.25">
      <c r="A1803" t="s">
        <v>2911</v>
      </c>
      <c r="B1803" t="s">
        <v>337</v>
      </c>
    </row>
    <row r="1804" spans="1:2" x14ac:dyDescent="0.25">
      <c r="A1804" t="s">
        <v>2912</v>
      </c>
      <c r="B1804" t="s">
        <v>337</v>
      </c>
    </row>
    <row r="1805" spans="1:2" x14ac:dyDescent="0.25">
      <c r="A1805" t="s">
        <v>2913</v>
      </c>
      <c r="B1805" t="s">
        <v>337</v>
      </c>
    </row>
    <row r="1806" spans="1:2" x14ac:dyDescent="0.25">
      <c r="A1806" t="s">
        <v>2914</v>
      </c>
      <c r="B1806" t="s">
        <v>337</v>
      </c>
    </row>
    <row r="1807" spans="1:2" x14ac:dyDescent="0.25">
      <c r="A1807" t="s">
        <v>2915</v>
      </c>
      <c r="B1807" t="s">
        <v>337</v>
      </c>
    </row>
    <row r="1808" spans="1:2" x14ac:dyDescent="0.25">
      <c r="A1808" t="s">
        <v>2916</v>
      </c>
      <c r="B1808" t="s">
        <v>337</v>
      </c>
    </row>
    <row r="1809" spans="1:2" x14ac:dyDescent="0.25">
      <c r="A1809" t="s">
        <v>2917</v>
      </c>
      <c r="B1809" t="s">
        <v>337</v>
      </c>
    </row>
    <row r="1810" spans="1:2" x14ac:dyDescent="0.25">
      <c r="A1810" t="s">
        <v>2918</v>
      </c>
      <c r="B1810" t="s">
        <v>337</v>
      </c>
    </row>
    <row r="1811" spans="1:2" x14ac:dyDescent="0.25">
      <c r="A1811" t="s">
        <v>2919</v>
      </c>
      <c r="B1811" t="s">
        <v>337</v>
      </c>
    </row>
    <row r="1812" spans="1:2" x14ac:dyDescent="0.25">
      <c r="A1812" t="s">
        <v>2920</v>
      </c>
      <c r="B1812" t="s">
        <v>337</v>
      </c>
    </row>
    <row r="1813" spans="1:2" x14ac:dyDescent="0.25">
      <c r="A1813" t="s">
        <v>2921</v>
      </c>
      <c r="B1813" t="s">
        <v>337</v>
      </c>
    </row>
    <row r="1814" spans="1:2" x14ac:dyDescent="0.25">
      <c r="A1814" t="s">
        <v>2922</v>
      </c>
      <c r="B1814" t="s">
        <v>337</v>
      </c>
    </row>
    <row r="1815" spans="1:2" x14ac:dyDescent="0.25">
      <c r="A1815" t="s">
        <v>373</v>
      </c>
      <c r="B1815" t="s">
        <v>337</v>
      </c>
    </row>
    <row r="1816" spans="1:2" x14ac:dyDescent="0.25">
      <c r="A1816" t="s">
        <v>2923</v>
      </c>
      <c r="B1816" t="s">
        <v>337</v>
      </c>
    </row>
    <row r="1817" spans="1:2" x14ac:dyDescent="0.25">
      <c r="A1817" t="s">
        <v>2924</v>
      </c>
      <c r="B1817" t="s">
        <v>337</v>
      </c>
    </row>
    <row r="1818" spans="1:2" x14ac:dyDescent="0.25">
      <c r="A1818" t="s">
        <v>2925</v>
      </c>
      <c r="B1818" t="s">
        <v>337</v>
      </c>
    </row>
    <row r="1819" spans="1:2" x14ac:dyDescent="0.25">
      <c r="A1819" t="s">
        <v>2926</v>
      </c>
      <c r="B1819" t="s">
        <v>337</v>
      </c>
    </row>
    <row r="1820" spans="1:2" x14ac:dyDescent="0.25">
      <c r="A1820" t="s">
        <v>2927</v>
      </c>
      <c r="B1820" t="s">
        <v>337</v>
      </c>
    </row>
    <row r="1821" spans="1:2" x14ac:dyDescent="0.25">
      <c r="A1821" t="s">
        <v>2928</v>
      </c>
      <c r="B1821" t="s">
        <v>337</v>
      </c>
    </row>
    <row r="1822" spans="1:2" x14ac:dyDescent="0.25">
      <c r="A1822" t="s">
        <v>2929</v>
      </c>
      <c r="B1822" t="s">
        <v>337</v>
      </c>
    </row>
    <row r="1823" spans="1:2" x14ac:dyDescent="0.25">
      <c r="A1823" t="s">
        <v>2930</v>
      </c>
      <c r="B1823" t="s">
        <v>337</v>
      </c>
    </row>
    <row r="1824" spans="1:2" x14ac:dyDescent="0.25">
      <c r="A1824" t="s">
        <v>2931</v>
      </c>
      <c r="B1824" t="s">
        <v>337</v>
      </c>
    </row>
    <row r="1825" spans="1:2" x14ac:dyDescent="0.25">
      <c r="A1825" t="s">
        <v>2932</v>
      </c>
      <c r="B1825" t="s">
        <v>337</v>
      </c>
    </row>
    <row r="1826" spans="1:2" x14ac:dyDescent="0.25">
      <c r="A1826" t="s">
        <v>2933</v>
      </c>
      <c r="B1826" t="s">
        <v>337</v>
      </c>
    </row>
    <row r="1827" spans="1:2" x14ac:dyDescent="0.25">
      <c r="A1827" t="s">
        <v>2934</v>
      </c>
      <c r="B1827" t="s">
        <v>337</v>
      </c>
    </row>
    <row r="1828" spans="1:2" x14ac:dyDescent="0.25">
      <c r="A1828" t="s">
        <v>2935</v>
      </c>
      <c r="B1828" t="s">
        <v>337</v>
      </c>
    </row>
    <row r="1829" spans="1:2" x14ac:dyDescent="0.25">
      <c r="A1829" t="s">
        <v>2936</v>
      </c>
      <c r="B1829" t="s">
        <v>337</v>
      </c>
    </row>
    <row r="1830" spans="1:2" x14ac:dyDescent="0.25">
      <c r="A1830" t="s">
        <v>2937</v>
      </c>
      <c r="B1830" t="s">
        <v>337</v>
      </c>
    </row>
    <row r="1831" spans="1:2" x14ac:dyDescent="0.25">
      <c r="A1831" t="s">
        <v>2938</v>
      </c>
      <c r="B1831" t="s">
        <v>337</v>
      </c>
    </row>
    <row r="1832" spans="1:2" x14ac:dyDescent="0.25">
      <c r="A1832" t="s">
        <v>2939</v>
      </c>
      <c r="B1832" t="s">
        <v>337</v>
      </c>
    </row>
    <row r="1833" spans="1:2" x14ac:dyDescent="0.25">
      <c r="A1833" t="s">
        <v>2940</v>
      </c>
      <c r="B1833" t="s">
        <v>337</v>
      </c>
    </row>
    <row r="1834" spans="1:2" x14ac:dyDescent="0.25">
      <c r="A1834" t="s">
        <v>2941</v>
      </c>
      <c r="B1834" t="s">
        <v>337</v>
      </c>
    </row>
    <row r="1835" spans="1:2" x14ac:dyDescent="0.25">
      <c r="A1835" t="s">
        <v>2942</v>
      </c>
      <c r="B1835" t="s">
        <v>337</v>
      </c>
    </row>
    <row r="1836" spans="1:2" x14ac:dyDescent="0.25">
      <c r="A1836" t="s">
        <v>2943</v>
      </c>
      <c r="B1836" t="s">
        <v>337</v>
      </c>
    </row>
    <row r="1837" spans="1:2" x14ac:dyDescent="0.25">
      <c r="A1837" t="s">
        <v>2944</v>
      </c>
      <c r="B1837" t="s">
        <v>337</v>
      </c>
    </row>
    <row r="1838" spans="1:2" x14ac:dyDescent="0.25">
      <c r="A1838" t="s">
        <v>374</v>
      </c>
      <c r="B1838" t="s">
        <v>337</v>
      </c>
    </row>
    <row r="1839" spans="1:2" x14ac:dyDescent="0.25">
      <c r="A1839" t="s">
        <v>2945</v>
      </c>
      <c r="B1839" t="s">
        <v>337</v>
      </c>
    </row>
    <row r="1840" spans="1:2" x14ac:dyDescent="0.25">
      <c r="A1840" t="s">
        <v>2946</v>
      </c>
      <c r="B1840" t="s">
        <v>337</v>
      </c>
    </row>
    <row r="1841" spans="1:2" x14ac:dyDescent="0.25">
      <c r="A1841" t="s">
        <v>2947</v>
      </c>
      <c r="B1841" t="s">
        <v>337</v>
      </c>
    </row>
    <row r="1842" spans="1:2" x14ac:dyDescent="0.25">
      <c r="A1842" t="s">
        <v>2948</v>
      </c>
      <c r="B1842" t="s">
        <v>337</v>
      </c>
    </row>
    <row r="1843" spans="1:2" x14ac:dyDescent="0.25">
      <c r="A1843" t="s">
        <v>2949</v>
      </c>
      <c r="B1843" t="s">
        <v>337</v>
      </c>
    </row>
    <row r="1844" spans="1:2" x14ac:dyDescent="0.25">
      <c r="A1844" t="s">
        <v>2950</v>
      </c>
      <c r="B1844" t="s">
        <v>337</v>
      </c>
    </row>
    <row r="1845" spans="1:2" x14ac:dyDescent="0.25">
      <c r="A1845" t="s">
        <v>2951</v>
      </c>
      <c r="B1845" t="s">
        <v>337</v>
      </c>
    </row>
    <row r="1846" spans="1:2" x14ac:dyDescent="0.25">
      <c r="A1846" t="s">
        <v>2952</v>
      </c>
      <c r="B1846" t="s">
        <v>337</v>
      </c>
    </row>
    <row r="1847" spans="1:2" x14ac:dyDescent="0.25">
      <c r="A1847" t="s">
        <v>2953</v>
      </c>
      <c r="B1847" t="s">
        <v>337</v>
      </c>
    </row>
    <row r="1848" spans="1:2" x14ac:dyDescent="0.25">
      <c r="A1848" t="s">
        <v>2954</v>
      </c>
      <c r="B1848" t="s">
        <v>337</v>
      </c>
    </row>
    <row r="1849" spans="1:2" x14ac:dyDescent="0.25">
      <c r="A1849" t="s">
        <v>2955</v>
      </c>
      <c r="B1849" t="s">
        <v>337</v>
      </c>
    </row>
    <row r="1850" spans="1:2" x14ac:dyDescent="0.25">
      <c r="A1850" t="s">
        <v>2956</v>
      </c>
      <c r="B1850" t="s">
        <v>337</v>
      </c>
    </row>
    <row r="1851" spans="1:2" x14ac:dyDescent="0.25">
      <c r="A1851" t="s">
        <v>2957</v>
      </c>
      <c r="B1851" t="s">
        <v>337</v>
      </c>
    </row>
    <row r="1852" spans="1:2" x14ac:dyDescent="0.25">
      <c r="A1852" t="s">
        <v>2958</v>
      </c>
      <c r="B1852" t="s">
        <v>337</v>
      </c>
    </row>
    <row r="1853" spans="1:2" x14ac:dyDescent="0.25">
      <c r="A1853" t="s">
        <v>2959</v>
      </c>
      <c r="B1853" t="s">
        <v>337</v>
      </c>
    </row>
    <row r="1854" spans="1:2" x14ac:dyDescent="0.25">
      <c r="A1854" t="s">
        <v>2960</v>
      </c>
      <c r="B1854" t="s">
        <v>337</v>
      </c>
    </row>
    <row r="1855" spans="1:2" x14ac:dyDescent="0.25">
      <c r="A1855" t="s">
        <v>2961</v>
      </c>
      <c r="B1855" t="s">
        <v>337</v>
      </c>
    </row>
    <row r="1856" spans="1:2" x14ac:dyDescent="0.25">
      <c r="A1856" t="s">
        <v>2962</v>
      </c>
      <c r="B1856" t="s">
        <v>337</v>
      </c>
    </row>
    <row r="1857" spans="1:2" x14ac:dyDescent="0.25">
      <c r="A1857" t="s">
        <v>2963</v>
      </c>
      <c r="B1857" t="s">
        <v>337</v>
      </c>
    </row>
    <row r="1858" spans="1:2" x14ac:dyDescent="0.25">
      <c r="A1858" t="s">
        <v>2964</v>
      </c>
      <c r="B1858" t="s">
        <v>337</v>
      </c>
    </row>
    <row r="1859" spans="1:2" x14ac:dyDescent="0.25">
      <c r="A1859" t="s">
        <v>2965</v>
      </c>
      <c r="B1859" t="s">
        <v>337</v>
      </c>
    </row>
    <row r="1860" spans="1:2" x14ac:dyDescent="0.25">
      <c r="A1860" t="s">
        <v>2966</v>
      </c>
      <c r="B1860" t="s">
        <v>337</v>
      </c>
    </row>
    <row r="1861" spans="1:2" x14ac:dyDescent="0.25">
      <c r="A1861" t="s">
        <v>375</v>
      </c>
      <c r="B1861" t="s">
        <v>337</v>
      </c>
    </row>
    <row r="1862" spans="1:2" x14ac:dyDescent="0.25">
      <c r="A1862" t="s">
        <v>2967</v>
      </c>
      <c r="B1862" t="s">
        <v>337</v>
      </c>
    </row>
    <row r="1863" spans="1:2" x14ac:dyDescent="0.25">
      <c r="A1863" t="s">
        <v>2968</v>
      </c>
      <c r="B1863" t="s">
        <v>337</v>
      </c>
    </row>
    <row r="1864" spans="1:2" x14ac:dyDescent="0.25">
      <c r="A1864" t="s">
        <v>2969</v>
      </c>
      <c r="B1864" t="s">
        <v>337</v>
      </c>
    </row>
    <row r="1865" spans="1:2" x14ac:dyDescent="0.25">
      <c r="A1865" t="s">
        <v>2970</v>
      </c>
      <c r="B1865" t="s">
        <v>337</v>
      </c>
    </row>
    <row r="1866" spans="1:2" x14ac:dyDescent="0.25">
      <c r="A1866" t="s">
        <v>2971</v>
      </c>
      <c r="B1866" t="s">
        <v>337</v>
      </c>
    </row>
    <row r="1867" spans="1:2" x14ac:dyDescent="0.25">
      <c r="A1867" t="s">
        <v>2972</v>
      </c>
      <c r="B1867" t="s">
        <v>337</v>
      </c>
    </row>
    <row r="1868" spans="1:2" x14ac:dyDescent="0.25">
      <c r="A1868" t="s">
        <v>2973</v>
      </c>
      <c r="B1868" t="s">
        <v>337</v>
      </c>
    </row>
    <row r="1869" spans="1:2" x14ac:dyDescent="0.25">
      <c r="A1869" t="s">
        <v>2974</v>
      </c>
      <c r="B1869" t="s">
        <v>337</v>
      </c>
    </row>
    <row r="1870" spans="1:2" x14ac:dyDescent="0.25">
      <c r="A1870" t="s">
        <v>2975</v>
      </c>
      <c r="B1870" t="s">
        <v>337</v>
      </c>
    </row>
    <row r="1871" spans="1:2" x14ac:dyDescent="0.25">
      <c r="A1871" t="s">
        <v>2976</v>
      </c>
      <c r="B1871" t="s">
        <v>337</v>
      </c>
    </row>
    <row r="1872" spans="1:2" x14ac:dyDescent="0.25">
      <c r="A1872" t="s">
        <v>2977</v>
      </c>
      <c r="B1872" t="s">
        <v>337</v>
      </c>
    </row>
    <row r="1873" spans="1:2" x14ac:dyDescent="0.25">
      <c r="A1873" t="s">
        <v>2978</v>
      </c>
      <c r="B1873" t="s">
        <v>337</v>
      </c>
    </row>
    <row r="1874" spans="1:2" x14ac:dyDescent="0.25">
      <c r="A1874" t="s">
        <v>2979</v>
      </c>
      <c r="B1874" t="s">
        <v>337</v>
      </c>
    </row>
    <row r="1875" spans="1:2" x14ac:dyDescent="0.25">
      <c r="A1875" t="s">
        <v>2980</v>
      </c>
      <c r="B1875" t="s">
        <v>337</v>
      </c>
    </row>
    <row r="1876" spans="1:2" x14ac:dyDescent="0.25">
      <c r="A1876" t="s">
        <v>2981</v>
      </c>
      <c r="B1876" t="s">
        <v>337</v>
      </c>
    </row>
    <row r="1877" spans="1:2" x14ac:dyDescent="0.25">
      <c r="A1877" t="s">
        <v>2982</v>
      </c>
      <c r="B1877" t="s">
        <v>337</v>
      </c>
    </row>
    <row r="1878" spans="1:2" x14ac:dyDescent="0.25">
      <c r="A1878" t="s">
        <v>2983</v>
      </c>
      <c r="B1878" t="s">
        <v>337</v>
      </c>
    </row>
    <row r="1879" spans="1:2" x14ac:dyDescent="0.25">
      <c r="A1879" t="s">
        <v>2984</v>
      </c>
      <c r="B1879" t="s">
        <v>337</v>
      </c>
    </row>
    <row r="1880" spans="1:2" x14ac:dyDescent="0.25">
      <c r="A1880" t="s">
        <v>2985</v>
      </c>
      <c r="B1880" t="s">
        <v>337</v>
      </c>
    </row>
    <row r="1881" spans="1:2" x14ac:dyDescent="0.25">
      <c r="A1881" t="s">
        <v>2986</v>
      </c>
      <c r="B1881" t="s">
        <v>337</v>
      </c>
    </row>
    <row r="1882" spans="1:2" x14ac:dyDescent="0.25">
      <c r="A1882" t="s">
        <v>2987</v>
      </c>
      <c r="B1882" t="s">
        <v>337</v>
      </c>
    </row>
    <row r="1883" spans="1:2" x14ac:dyDescent="0.25">
      <c r="A1883" t="s">
        <v>2988</v>
      </c>
      <c r="B1883" t="s">
        <v>337</v>
      </c>
    </row>
    <row r="1884" spans="1:2" x14ac:dyDescent="0.25">
      <c r="A1884" t="s">
        <v>345</v>
      </c>
      <c r="B1884" t="s">
        <v>337</v>
      </c>
    </row>
    <row r="1885" spans="1:2" x14ac:dyDescent="0.25">
      <c r="A1885" t="s">
        <v>2989</v>
      </c>
      <c r="B1885" t="s">
        <v>337</v>
      </c>
    </row>
    <row r="1886" spans="1:2" x14ac:dyDescent="0.25">
      <c r="A1886" t="s">
        <v>2990</v>
      </c>
      <c r="B1886" t="s">
        <v>337</v>
      </c>
    </row>
    <row r="1887" spans="1:2" x14ac:dyDescent="0.25">
      <c r="A1887" t="s">
        <v>347</v>
      </c>
      <c r="B1887" t="s">
        <v>337</v>
      </c>
    </row>
    <row r="1888" spans="1:2" x14ac:dyDescent="0.25">
      <c r="A1888" t="s">
        <v>2991</v>
      </c>
      <c r="B1888" t="s">
        <v>337</v>
      </c>
    </row>
    <row r="1889" spans="1:2" x14ac:dyDescent="0.25">
      <c r="A1889" t="s">
        <v>2992</v>
      </c>
      <c r="B1889" t="s">
        <v>337</v>
      </c>
    </row>
    <row r="1890" spans="1:2" x14ac:dyDescent="0.25">
      <c r="A1890" t="s">
        <v>527</v>
      </c>
      <c r="B1890" t="s">
        <v>337</v>
      </c>
    </row>
    <row r="1891" spans="1:2" x14ac:dyDescent="0.25">
      <c r="A1891" t="s">
        <v>2993</v>
      </c>
      <c r="B1891" t="s">
        <v>337</v>
      </c>
    </row>
    <row r="1892" spans="1:2" x14ac:dyDescent="0.25">
      <c r="A1892" t="s">
        <v>2994</v>
      </c>
      <c r="B1892" t="s">
        <v>337</v>
      </c>
    </row>
    <row r="1893" spans="1:2" x14ac:dyDescent="0.25">
      <c r="A1893" t="s">
        <v>2995</v>
      </c>
      <c r="B1893" t="s">
        <v>337</v>
      </c>
    </row>
    <row r="1894" spans="1:2" x14ac:dyDescent="0.25">
      <c r="A1894" t="s">
        <v>2996</v>
      </c>
      <c r="B1894" t="s">
        <v>337</v>
      </c>
    </row>
    <row r="1895" spans="1:2" x14ac:dyDescent="0.25">
      <c r="A1895" t="s">
        <v>2997</v>
      </c>
      <c r="B1895" t="s">
        <v>337</v>
      </c>
    </row>
    <row r="1896" spans="1:2" x14ac:dyDescent="0.25">
      <c r="A1896" t="s">
        <v>2998</v>
      </c>
      <c r="B1896" t="s">
        <v>337</v>
      </c>
    </row>
    <row r="1897" spans="1:2" x14ac:dyDescent="0.25">
      <c r="A1897" t="s">
        <v>2999</v>
      </c>
      <c r="B1897" t="s">
        <v>337</v>
      </c>
    </row>
    <row r="1898" spans="1:2" x14ac:dyDescent="0.25">
      <c r="A1898" t="s">
        <v>3000</v>
      </c>
      <c r="B1898" t="s">
        <v>337</v>
      </c>
    </row>
    <row r="1899" spans="1:2" x14ac:dyDescent="0.25">
      <c r="A1899" t="s">
        <v>3001</v>
      </c>
      <c r="B1899" t="s">
        <v>337</v>
      </c>
    </row>
    <row r="1900" spans="1:2" x14ac:dyDescent="0.25">
      <c r="A1900" t="s">
        <v>3002</v>
      </c>
      <c r="B1900" t="s">
        <v>337</v>
      </c>
    </row>
    <row r="1901" spans="1:2" x14ac:dyDescent="0.25">
      <c r="A1901" t="s">
        <v>3003</v>
      </c>
      <c r="B1901" t="s">
        <v>337</v>
      </c>
    </row>
    <row r="1902" spans="1:2" x14ac:dyDescent="0.25">
      <c r="A1902" t="s">
        <v>3004</v>
      </c>
      <c r="B1902" t="s">
        <v>337</v>
      </c>
    </row>
    <row r="1903" spans="1:2" x14ac:dyDescent="0.25">
      <c r="A1903" t="s">
        <v>3005</v>
      </c>
      <c r="B1903" t="s">
        <v>337</v>
      </c>
    </row>
    <row r="1904" spans="1:2" x14ac:dyDescent="0.25">
      <c r="A1904" t="s">
        <v>3006</v>
      </c>
      <c r="B1904" t="s">
        <v>337</v>
      </c>
    </row>
    <row r="1905" spans="1:2" x14ac:dyDescent="0.25">
      <c r="A1905" t="s">
        <v>3007</v>
      </c>
      <c r="B1905" t="s">
        <v>337</v>
      </c>
    </row>
    <row r="1906" spans="1:2" x14ac:dyDescent="0.25">
      <c r="A1906" t="s">
        <v>348</v>
      </c>
      <c r="B1906" t="s">
        <v>337</v>
      </c>
    </row>
    <row r="1907" spans="1:2" x14ac:dyDescent="0.25">
      <c r="A1907" t="s">
        <v>3008</v>
      </c>
      <c r="B1907" t="s">
        <v>337</v>
      </c>
    </row>
    <row r="1908" spans="1:2" x14ac:dyDescent="0.25">
      <c r="A1908" t="s">
        <v>3009</v>
      </c>
      <c r="B1908" t="s">
        <v>337</v>
      </c>
    </row>
    <row r="1909" spans="1:2" x14ac:dyDescent="0.25">
      <c r="A1909" t="s">
        <v>3010</v>
      </c>
      <c r="B1909" t="s">
        <v>337</v>
      </c>
    </row>
    <row r="1910" spans="1:2" x14ac:dyDescent="0.25">
      <c r="A1910" t="s">
        <v>3011</v>
      </c>
      <c r="B1910" t="s">
        <v>337</v>
      </c>
    </row>
    <row r="1911" spans="1:2" x14ac:dyDescent="0.25">
      <c r="A1911" t="s">
        <v>3012</v>
      </c>
      <c r="B1911" t="s">
        <v>337</v>
      </c>
    </row>
    <row r="1912" spans="1:2" x14ac:dyDescent="0.25">
      <c r="A1912" t="s">
        <v>3013</v>
      </c>
      <c r="B1912" t="s">
        <v>337</v>
      </c>
    </row>
    <row r="1913" spans="1:2" x14ac:dyDescent="0.25">
      <c r="A1913" t="s">
        <v>3014</v>
      </c>
      <c r="B1913" t="s">
        <v>337</v>
      </c>
    </row>
    <row r="1914" spans="1:2" x14ac:dyDescent="0.25">
      <c r="A1914" t="s">
        <v>3015</v>
      </c>
      <c r="B1914" t="s">
        <v>337</v>
      </c>
    </row>
    <row r="1915" spans="1:2" x14ac:dyDescent="0.25">
      <c r="A1915" t="s">
        <v>3016</v>
      </c>
      <c r="B1915" t="s">
        <v>337</v>
      </c>
    </row>
    <row r="1916" spans="1:2" x14ac:dyDescent="0.25">
      <c r="A1916" t="s">
        <v>3017</v>
      </c>
      <c r="B1916" t="s">
        <v>337</v>
      </c>
    </row>
    <row r="1917" spans="1:2" x14ac:dyDescent="0.25">
      <c r="A1917" t="s">
        <v>3018</v>
      </c>
      <c r="B1917" t="s">
        <v>337</v>
      </c>
    </row>
    <row r="1918" spans="1:2" x14ac:dyDescent="0.25">
      <c r="A1918" t="s">
        <v>3019</v>
      </c>
      <c r="B1918" t="s">
        <v>337</v>
      </c>
    </row>
    <row r="1919" spans="1:2" x14ac:dyDescent="0.25">
      <c r="A1919" t="s">
        <v>3020</v>
      </c>
      <c r="B1919" t="s">
        <v>337</v>
      </c>
    </row>
    <row r="1920" spans="1:2" x14ac:dyDescent="0.25">
      <c r="A1920" t="s">
        <v>3021</v>
      </c>
      <c r="B1920" t="s">
        <v>337</v>
      </c>
    </row>
    <row r="1921" spans="1:2" x14ac:dyDescent="0.25">
      <c r="A1921" t="s">
        <v>3022</v>
      </c>
      <c r="B1921" t="s">
        <v>337</v>
      </c>
    </row>
    <row r="1922" spans="1:2" x14ac:dyDescent="0.25">
      <c r="A1922" t="s">
        <v>353</v>
      </c>
      <c r="B1922" t="s">
        <v>337</v>
      </c>
    </row>
    <row r="1923" spans="1:2" x14ac:dyDescent="0.25">
      <c r="A1923" t="s">
        <v>3023</v>
      </c>
      <c r="B1923" t="s">
        <v>337</v>
      </c>
    </row>
    <row r="1924" spans="1:2" x14ac:dyDescent="0.25">
      <c r="A1924" t="s">
        <v>3024</v>
      </c>
      <c r="B1924" t="s">
        <v>337</v>
      </c>
    </row>
    <row r="1925" spans="1:2" x14ac:dyDescent="0.25">
      <c r="A1925" t="s">
        <v>3025</v>
      </c>
      <c r="B1925" t="s">
        <v>337</v>
      </c>
    </row>
    <row r="1926" spans="1:2" x14ac:dyDescent="0.25">
      <c r="A1926" t="s">
        <v>3026</v>
      </c>
      <c r="B1926" t="s">
        <v>337</v>
      </c>
    </row>
    <row r="1927" spans="1:2" x14ac:dyDescent="0.25">
      <c r="A1927" t="s">
        <v>3027</v>
      </c>
      <c r="B1927" t="s">
        <v>337</v>
      </c>
    </row>
    <row r="1928" spans="1:2" x14ac:dyDescent="0.25">
      <c r="A1928" t="s">
        <v>3028</v>
      </c>
      <c r="B1928" t="s">
        <v>337</v>
      </c>
    </row>
    <row r="1929" spans="1:2" x14ac:dyDescent="0.25">
      <c r="A1929" t="s">
        <v>355</v>
      </c>
      <c r="B1929" t="s">
        <v>337</v>
      </c>
    </row>
    <row r="1930" spans="1:2" x14ac:dyDescent="0.25">
      <c r="A1930" t="s">
        <v>3029</v>
      </c>
      <c r="B1930" t="s">
        <v>337</v>
      </c>
    </row>
    <row r="1931" spans="1:2" x14ac:dyDescent="0.25">
      <c r="A1931" t="s">
        <v>3030</v>
      </c>
      <c r="B1931" t="s">
        <v>337</v>
      </c>
    </row>
    <row r="1932" spans="1:2" x14ac:dyDescent="0.25">
      <c r="A1932" t="s">
        <v>3031</v>
      </c>
      <c r="B1932" t="s">
        <v>337</v>
      </c>
    </row>
    <row r="1933" spans="1:2" x14ac:dyDescent="0.25">
      <c r="A1933" t="s">
        <v>3032</v>
      </c>
      <c r="B1933" t="s">
        <v>337</v>
      </c>
    </row>
    <row r="1934" spans="1:2" x14ac:dyDescent="0.25">
      <c r="A1934" t="s">
        <v>3033</v>
      </c>
      <c r="B1934" t="s">
        <v>337</v>
      </c>
    </row>
    <row r="1935" spans="1:2" x14ac:dyDescent="0.25">
      <c r="A1935" t="s">
        <v>3034</v>
      </c>
      <c r="B1935" t="s">
        <v>337</v>
      </c>
    </row>
    <row r="1936" spans="1:2" x14ac:dyDescent="0.25">
      <c r="A1936" t="s">
        <v>3035</v>
      </c>
      <c r="B1936" t="s">
        <v>337</v>
      </c>
    </row>
    <row r="1937" spans="1:2" x14ac:dyDescent="0.25">
      <c r="A1937" t="s">
        <v>3036</v>
      </c>
      <c r="B1937" t="s">
        <v>337</v>
      </c>
    </row>
    <row r="1938" spans="1:2" x14ac:dyDescent="0.25">
      <c r="A1938" t="s">
        <v>3037</v>
      </c>
      <c r="B1938" t="s">
        <v>337</v>
      </c>
    </row>
    <row r="1939" spans="1:2" x14ac:dyDescent="0.25">
      <c r="A1939" t="s">
        <v>3038</v>
      </c>
      <c r="B1939" t="s">
        <v>337</v>
      </c>
    </row>
    <row r="1940" spans="1:2" x14ac:dyDescent="0.25">
      <c r="A1940" t="s">
        <v>3039</v>
      </c>
      <c r="B1940" t="s">
        <v>337</v>
      </c>
    </row>
    <row r="1941" spans="1:2" x14ac:dyDescent="0.25">
      <c r="A1941" t="s">
        <v>3040</v>
      </c>
      <c r="B1941" t="s">
        <v>337</v>
      </c>
    </row>
    <row r="1942" spans="1:2" x14ac:dyDescent="0.25">
      <c r="A1942" t="s">
        <v>3041</v>
      </c>
      <c r="B1942" t="s">
        <v>337</v>
      </c>
    </row>
    <row r="1943" spans="1:2" x14ac:dyDescent="0.25">
      <c r="A1943" t="s">
        <v>3042</v>
      </c>
      <c r="B1943" t="s">
        <v>337</v>
      </c>
    </row>
    <row r="1944" spans="1:2" x14ac:dyDescent="0.25">
      <c r="A1944" t="s">
        <v>3043</v>
      </c>
      <c r="B1944" t="s">
        <v>337</v>
      </c>
    </row>
    <row r="1945" spans="1:2" x14ac:dyDescent="0.25">
      <c r="A1945" t="s">
        <v>3044</v>
      </c>
      <c r="B1945" t="s">
        <v>337</v>
      </c>
    </row>
    <row r="1946" spans="1:2" x14ac:dyDescent="0.25">
      <c r="A1946" t="s">
        <v>3045</v>
      </c>
      <c r="B1946" t="s">
        <v>337</v>
      </c>
    </row>
    <row r="1947" spans="1:2" x14ac:dyDescent="0.25">
      <c r="A1947" t="s">
        <v>3046</v>
      </c>
      <c r="B1947" t="s">
        <v>337</v>
      </c>
    </row>
    <row r="1948" spans="1:2" x14ac:dyDescent="0.25">
      <c r="A1948" t="s">
        <v>3047</v>
      </c>
      <c r="B1948" t="s">
        <v>337</v>
      </c>
    </row>
    <row r="1949" spans="1:2" x14ac:dyDescent="0.25">
      <c r="A1949" t="s">
        <v>3048</v>
      </c>
      <c r="B1949" t="s">
        <v>337</v>
      </c>
    </row>
    <row r="1950" spans="1:2" x14ac:dyDescent="0.25">
      <c r="A1950" t="s">
        <v>3049</v>
      </c>
      <c r="B1950" t="s">
        <v>337</v>
      </c>
    </row>
    <row r="1951" spans="1:2" x14ac:dyDescent="0.25">
      <c r="A1951" t="s">
        <v>3050</v>
      </c>
      <c r="B1951" t="s">
        <v>337</v>
      </c>
    </row>
    <row r="1952" spans="1:2" x14ac:dyDescent="0.25">
      <c r="A1952" t="s">
        <v>3051</v>
      </c>
      <c r="B1952" t="s">
        <v>337</v>
      </c>
    </row>
    <row r="1953" spans="1:2" x14ac:dyDescent="0.25">
      <c r="A1953" t="s">
        <v>3052</v>
      </c>
      <c r="B1953" t="s">
        <v>337</v>
      </c>
    </row>
    <row r="1954" spans="1:2" x14ac:dyDescent="0.25">
      <c r="A1954" t="s">
        <v>358</v>
      </c>
      <c r="B1954" t="s">
        <v>337</v>
      </c>
    </row>
    <row r="1955" spans="1:2" x14ac:dyDescent="0.25">
      <c r="A1955" t="s">
        <v>3053</v>
      </c>
      <c r="B1955" t="s">
        <v>337</v>
      </c>
    </row>
    <row r="1956" spans="1:2" x14ac:dyDescent="0.25">
      <c r="A1956" t="s">
        <v>3054</v>
      </c>
      <c r="B1956" t="s">
        <v>337</v>
      </c>
    </row>
    <row r="1957" spans="1:2" x14ac:dyDescent="0.25">
      <c r="A1957" t="s">
        <v>3055</v>
      </c>
      <c r="B1957" t="s">
        <v>337</v>
      </c>
    </row>
    <row r="1958" spans="1:2" x14ac:dyDescent="0.25">
      <c r="A1958" t="s">
        <v>3056</v>
      </c>
      <c r="B1958" t="s">
        <v>337</v>
      </c>
    </row>
    <row r="1959" spans="1:2" x14ac:dyDescent="0.25">
      <c r="A1959" t="s">
        <v>3057</v>
      </c>
      <c r="B1959" t="s">
        <v>337</v>
      </c>
    </row>
    <row r="1960" spans="1:2" x14ac:dyDescent="0.25">
      <c r="A1960" t="s">
        <v>3058</v>
      </c>
      <c r="B1960" t="s">
        <v>337</v>
      </c>
    </row>
    <row r="1961" spans="1:2" x14ac:dyDescent="0.25">
      <c r="A1961" t="s">
        <v>3059</v>
      </c>
      <c r="B1961" t="s">
        <v>337</v>
      </c>
    </row>
    <row r="1962" spans="1:2" x14ac:dyDescent="0.25">
      <c r="A1962" t="s">
        <v>3060</v>
      </c>
      <c r="B1962" t="s">
        <v>337</v>
      </c>
    </row>
    <row r="1963" spans="1:2" x14ac:dyDescent="0.25">
      <c r="A1963" t="s">
        <v>3061</v>
      </c>
      <c r="B1963" t="s">
        <v>337</v>
      </c>
    </row>
    <row r="1964" spans="1:2" x14ac:dyDescent="0.25">
      <c r="A1964" t="s">
        <v>3062</v>
      </c>
      <c r="B1964" t="s">
        <v>337</v>
      </c>
    </row>
    <row r="1965" spans="1:2" x14ac:dyDescent="0.25">
      <c r="A1965" t="s">
        <v>3063</v>
      </c>
      <c r="B1965" t="s">
        <v>337</v>
      </c>
    </row>
    <row r="1966" spans="1:2" x14ac:dyDescent="0.25">
      <c r="A1966" t="s">
        <v>3064</v>
      </c>
      <c r="B1966" t="s">
        <v>337</v>
      </c>
    </row>
    <row r="1967" spans="1:2" x14ac:dyDescent="0.25">
      <c r="A1967" t="s">
        <v>3065</v>
      </c>
      <c r="B1967" t="s">
        <v>337</v>
      </c>
    </row>
    <row r="1968" spans="1:2" x14ac:dyDescent="0.25">
      <c r="A1968" t="s">
        <v>3066</v>
      </c>
      <c r="B1968" t="s">
        <v>337</v>
      </c>
    </row>
    <row r="1969" spans="1:2" x14ac:dyDescent="0.25">
      <c r="A1969" t="s">
        <v>3067</v>
      </c>
      <c r="B1969" t="s">
        <v>337</v>
      </c>
    </row>
    <row r="1970" spans="1:2" x14ac:dyDescent="0.25">
      <c r="A1970" t="s">
        <v>3068</v>
      </c>
      <c r="B1970" t="s">
        <v>337</v>
      </c>
    </row>
    <row r="1971" spans="1:2" x14ac:dyDescent="0.25">
      <c r="A1971" t="s">
        <v>3069</v>
      </c>
      <c r="B1971" t="s">
        <v>337</v>
      </c>
    </row>
    <row r="1972" spans="1:2" x14ac:dyDescent="0.25">
      <c r="A1972" t="s">
        <v>3070</v>
      </c>
      <c r="B1972" t="s">
        <v>337</v>
      </c>
    </row>
    <row r="1973" spans="1:2" x14ac:dyDescent="0.25">
      <c r="A1973" t="s">
        <v>3071</v>
      </c>
      <c r="B1973" t="s">
        <v>337</v>
      </c>
    </row>
    <row r="1974" spans="1:2" x14ac:dyDescent="0.25">
      <c r="A1974" t="s">
        <v>3072</v>
      </c>
      <c r="B1974" t="s">
        <v>337</v>
      </c>
    </row>
    <row r="1975" spans="1:2" x14ac:dyDescent="0.25">
      <c r="A1975" t="s">
        <v>3073</v>
      </c>
      <c r="B1975" t="s">
        <v>337</v>
      </c>
    </row>
    <row r="1976" spans="1:2" x14ac:dyDescent="0.25">
      <c r="A1976" t="s">
        <v>3074</v>
      </c>
      <c r="B1976" t="s">
        <v>337</v>
      </c>
    </row>
    <row r="1977" spans="1:2" x14ac:dyDescent="0.25">
      <c r="A1977" t="s">
        <v>3075</v>
      </c>
      <c r="B1977" t="s">
        <v>337</v>
      </c>
    </row>
    <row r="1978" spans="1:2" x14ac:dyDescent="0.25">
      <c r="A1978" t="s">
        <v>3076</v>
      </c>
      <c r="B1978" t="s">
        <v>337</v>
      </c>
    </row>
    <row r="1979" spans="1:2" x14ac:dyDescent="0.25">
      <c r="A1979" t="s">
        <v>359</v>
      </c>
      <c r="B1979" t="s">
        <v>337</v>
      </c>
    </row>
    <row r="1980" spans="1:2" x14ac:dyDescent="0.25">
      <c r="A1980" t="s">
        <v>3077</v>
      </c>
      <c r="B1980" t="s">
        <v>337</v>
      </c>
    </row>
    <row r="1981" spans="1:2" x14ac:dyDescent="0.25">
      <c r="A1981" t="s">
        <v>3078</v>
      </c>
      <c r="B1981" t="s">
        <v>337</v>
      </c>
    </row>
    <row r="1982" spans="1:2" x14ac:dyDescent="0.25">
      <c r="A1982" t="s">
        <v>3079</v>
      </c>
      <c r="B1982" t="s">
        <v>337</v>
      </c>
    </row>
    <row r="1983" spans="1:2" x14ac:dyDescent="0.25">
      <c r="A1983" t="s">
        <v>3080</v>
      </c>
      <c r="B1983" t="s">
        <v>337</v>
      </c>
    </row>
    <row r="1984" spans="1:2" x14ac:dyDescent="0.25">
      <c r="A1984" t="s">
        <v>3081</v>
      </c>
      <c r="B1984" t="s">
        <v>337</v>
      </c>
    </row>
    <row r="1985" spans="1:2" x14ac:dyDescent="0.25">
      <c r="A1985" t="s">
        <v>3082</v>
      </c>
      <c r="B1985" t="s">
        <v>337</v>
      </c>
    </row>
    <row r="1986" spans="1:2" x14ac:dyDescent="0.25">
      <c r="A1986" t="s">
        <v>3083</v>
      </c>
      <c r="B1986" t="s">
        <v>337</v>
      </c>
    </row>
    <row r="1987" spans="1:2" x14ac:dyDescent="0.25">
      <c r="A1987" t="s">
        <v>3084</v>
      </c>
      <c r="B1987" t="s">
        <v>337</v>
      </c>
    </row>
    <row r="1988" spans="1:2" x14ac:dyDescent="0.25">
      <c r="A1988" t="s">
        <v>3085</v>
      </c>
      <c r="B1988" t="s">
        <v>337</v>
      </c>
    </row>
    <row r="1989" spans="1:2" x14ac:dyDescent="0.25">
      <c r="A1989" t="s">
        <v>3086</v>
      </c>
      <c r="B1989" t="s">
        <v>337</v>
      </c>
    </row>
    <row r="1990" spans="1:2" x14ac:dyDescent="0.25">
      <c r="A1990" t="s">
        <v>3087</v>
      </c>
      <c r="B1990" t="s">
        <v>337</v>
      </c>
    </row>
    <row r="1991" spans="1:2" x14ac:dyDescent="0.25">
      <c r="A1991" t="s">
        <v>3088</v>
      </c>
      <c r="B1991" t="s">
        <v>337</v>
      </c>
    </row>
    <row r="1992" spans="1:2" x14ac:dyDescent="0.25">
      <c r="A1992" t="s">
        <v>3089</v>
      </c>
      <c r="B1992" t="s">
        <v>337</v>
      </c>
    </row>
    <row r="1993" spans="1:2" x14ac:dyDescent="0.25">
      <c r="A1993" t="s">
        <v>3090</v>
      </c>
      <c r="B1993" t="s">
        <v>337</v>
      </c>
    </row>
    <row r="1994" spans="1:2" x14ac:dyDescent="0.25">
      <c r="A1994" t="s">
        <v>3091</v>
      </c>
      <c r="B1994" t="s">
        <v>337</v>
      </c>
    </row>
    <row r="1995" spans="1:2" x14ac:dyDescent="0.25">
      <c r="A1995" t="s">
        <v>3092</v>
      </c>
      <c r="B1995" t="s">
        <v>337</v>
      </c>
    </row>
    <row r="1996" spans="1:2" x14ac:dyDescent="0.25">
      <c r="A1996" t="s">
        <v>3093</v>
      </c>
      <c r="B1996" t="s">
        <v>337</v>
      </c>
    </row>
    <row r="1997" spans="1:2" x14ac:dyDescent="0.25">
      <c r="A1997" t="s">
        <v>3094</v>
      </c>
      <c r="B1997" t="s">
        <v>337</v>
      </c>
    </row>
    <row r="1998" spans="1:2" x14ac:dyDescent="0.25">
      <c r="A1998" t="s">
        <v>3095</v>
      </c>
      <c r="B1998" t="s">
        <v>337</v>
      </c>
    </row>
    <row r="1999" spans="1:2" x14ac:dyDescent="0.25">
      <c r="A1999" t="s">
        <v>3096</v>
      </c>
      <c r="B1999" t="s">
        <v>337</v>
      </c>
    </row>
    <row r="2000" spans="1:2" x14ac:dyDescent="0.25">
      <c r="A2000" t="s">
        <v>3097</v>
      </c>
      <c r="B2000" t="s">
        <v>337</v>
      </c>
    </row>
    <row r="2001" spans="1:2" x14ac:dyDescent="0.25">
      <c r="A2001" t="s">
        <v>3098</v>
      </c>
      <c r="B2001" t="s">
        <v>337</v>
      </c>
    </row>
    <row r="2002" spans="1:2" x14ac:dyDescent="0.25">
      <c r="A2002" t="s">
        <v>3099</v>
      </c>
      <c r="B2002" t="s">
        <v>337</v>
      </c>
    </row>
    <row r="2003" spans="1:2" x14ac:dyDescent="0.25">
      <c r="A2003" t="s">
        <v>3100</v>
      </c>
      <c r="B2003" t="s">
        <v>337</v>
      </c>
    </row>
    <row r="2004" spans="1:2" x14ac:dyDescent="0.25">
      <c r="A2004" t="s">
        <v>360</v>
      </c>
      <c r="B2004" t="s">
        <v>337</v>
      </c>
    </row>
    <row r="2005" spans="1:2" x14ac:dyDescent="0.25">
      <c r="A2005" t="s">
        <v>3101</v>
      </c>
      <c r="B2005" t="s">
        <v>337</v>
      </c>
    </row>
    <row r="2006" spans="1:2" x14ac:dyDescent="0.25">
      <c r="A2006" t="s">
        <v>3102</v>
      </c>
      <c r="B2006" t="s">
        <v>337</v>
      </c>
    </row>
    <row r="2007" spans="1:2" x14ac:dyDescent="0.25">
      <c r="A2007" t="s">
        <v>3103</v>
      </c>
      <c r="B2007" t="s">
        <v>337</v>
      </c>
    </row>
    <row r="2008" spans="1:2" x14ac:dyDescent="0.25">
      <c r="A2008" t="s">
        <v>3104</v>
      </c>
      <c r="B2008" t="s">
        <v>337</v>
      </c>
    </row>
    <row r="2009" spans="1:2" x14ac:dyDescent="0.25">
      <c r="A2009" t="s">
        <v>3105</v>
      </c>
      <c r="B2009" t="s">
        <v>337</v>
      </c>
    </row>
    <row r="2010" spans="1:2" x14ac:dyDescent="0.25">
      <c r="A2010" t="s">
        <v>3106</v>
      </c>
      <c r="B2010" t="s">
        <v>337</v>
      </c>
    </row>
    <row r="2011" spans="1:2" x14ac:dyDescent="0.25">
      <c r="A2011" t="s">
        <v>3107</v>
      </c>
      <c r="B2011" t="s">
        <v>337</v>
      </c>
    </row>
    <row r="2012" spans="1:2" x14ac:dyDescent="0.25">
      <c r="A2012" t="s">
        <v>3108</v>
      </c>
      <c r="B2012" t="s">
        <v>337</v>
      </c>
    </row>
    <row r="2013" spans="1:2" x14ac:dyDescent="0.25">
      <c r="A2013" t="s">
        <v>3109</v>
      </c>
      <c r="B2013" t="s">
        <v>337</v>
      </c>
    </row>
    <row r="2014" spans="1:2" x14ac:dyDescent="0.25">
      <c r="A2014" t="s">
        <v>3110</v>
      </c>
      <c r="B2014" t="s">
        <v>337</v>
      </c>
    </row>
    <row r="2015" spans="1:2" x14ac:dyDescent="0.25">
      <c r="A2015" t="s">
        <v>3111</v>
      </c>
      <c r="B2015" t="s">
        <v>337</v>
      </c>
    </row>
    <row r="2016" spans="1:2" x14ac:dyDescent="0.25">
      <c r="A2016" t="s">
        <v>3112</v>
      </c>
      <c r="B2016" t="s">
        <v>337</v>
      </c>
    </row>
    <row r="2017" spans="1:2" x14ac:dyDescent="0.25">
      <c r="A2017" t="s">
        <v>3113</v>
      </c>
      <c r="B2017" t="s">
        <v>337</v>
      </c>
    </row>
    <row r="2018" spans="1:2" x14ac:dyDescent="0.25">
      <c r="A2018" t="s">
        <v>3114</v>
      </c>
      <c r="B2018" t="s">
        <v>337</v>
      </c>
    </row>
    <row r="2019" spans="1:2" x14ac:dyDescent="0.25">
      <c r="A2019" t="s">
        <v>3115</v>
      </c>
      <c r="B2019" t="s">
        <v>337</v>
      </c>
    </row>
    <row r="2020" spans="1:2" x14ac:dyDescent="0.25">
      <c r="A2020" t="s">
        <v>3116</v>
      </c>
      <c r="B2020" t="s">
        <v>337</v>
      </c>
    </row>
    <row r="2021" spans="1:2" x14ac:dyDescent="0.25">
      <c r="A2021" t="s">
        <v>3117</v>
      </c>
      <c r="B2021" t="s">
        <v>337</v>
      </c>
    </row>
    <row r="2022" spans="1:2" x14ac:dyDescent="0.25">
      <c r="A2022" t="s">
        <v>3118</v>
      </c>
      <c r="B2022" t="s">
        <v>337</v>
      </c>
    </row>
    <row r="2023" spans="1:2" x14ac:dyDescent="0.25">
      <c r="A2023" t="s">
        <v>3119</v>
      </c>
      <c r="B2023" t="s">
        <v>337</v>
      </c>
    </row>
    <row r="2024" spans="1:2" x14ac:dyDescent="0.25">
      <c r="A2024" t="s">
        <v>3120</v>
      </c>
      <c r="B2024" t="s">
        <v>337</v>
      </c>
    </row>
    <row r="2025" spans="1:2" x14ac:dyDescent="0.25">
      <c r="A2025" t="s">
        <v>3121</v>
      </c>
      <c r="B2025" t="s">
        <v>337</v>
      </c>
    </row>
    <row r="2026" spans="1:2" x14ac:dyDescent="0.25">
      <c r="A2026" t="s">
        <v>3122</v>
      </c>
      <c r="B2026" t="s">
        <v>337</v>
      </c>
    </row>
    <row r="2027" spans="1:2" x14ac:dyDescent="0.25">
      <c r="A2027" t="s">
        <v>3123</v>
      </c>
      <c r="B2027" t="s">
        <v>337</v>
      </c>
    </row>
    <row r="2028" spans="1:2" x14ac:dyDescent="0.25">
      <c r="A2028" t="s">
        <v>3124</v>
      </c>
      <c r="B2028" t="s">
        <v>337</v>
      </c>
    </row>
    <row r="2029" spans="1:2" x14ac:dyDescent="0.25">
      <c r="A2029" t="s">
        <v>946</v>
      </c>
      <c r="B2029" t="s">
        <v>947</v>
      </c>
    </row>
    <row r="2030" spans="1:2" x14ac:dyDescent="0.25">
      <c r="A2030" t="s">
        <v>3125</v>
      </c>
      <c r="B2030" t="s">
        <v>152</v>
      </c>
    </row>
    <row r="2031" spans="1:2" x14ac:dyDescent="0.25">
      <c r="A2031" t="s">
        <v>3126</v>
      </c>
      <c r="B2031" t="s">
        <v>152</v>
      </c>
    </row>
    <row r="2032" spans="1:2" x14ac:dyDescent="0.25">
      <c r="A2032" t="s">
        <v>3127</v>
      </c>
      <c r="B2032" t="s">
        <v>152</v>
      </c>
    </row>
    <row r="2033" spans="1:2" x14ac:dyDescent="0.25">
      <c r="A2033" t="s">
        <v>1338</v>
      </c>
      <c r="B2033" t="s">
        <v>1339</v>
      </c>
    </row>
    <row r="2034" spans="1:2" x14ac:dyDescent="0.25">
      <c r="A2034" t="s">
        <v>948</v>
      </c>
      <c r="B2034" t="s">
        <v>949</v>
      </c>
    </row>
    <row r="2035" spans="1:2" x14ac:dyDescent="0.25">
      <c r="A2035" t="s">
        <v>950</v>
      </c>
      <c r="B2035" t="s">
        <v>949</v>
      </c>
    </row>
    <row r="2036" spans="1:2" x14ac:dyDescent="0.25">
      <c r="A2036" t="s">
        <v>951</v>
      </c>
      <c r="B2036" t="s">
        <v>949</v>
      </c>
    </row>
    <row r="2037" spans="1:2" x14ac:dyDescent="0.25">
      <c r="A2037" t="s">
        <v>952</v>
      </c>
      <c r="B2037" t="s">
        <v>949</v>
      </c>
    </row>
    <row r="2038" spans="1:2" x14ac:dyDescent="0.25">
      <c r="A2038" t="s">
        <v>953</v>
      </c>
      <c r="B2038" t="s">
        <v>949</v>
      </c>
    </row>
    <row r="2039" spans="1:2" x14ac:dyDescent="0.25">
      <c r="A2039" t="s">
        <v>3128</v>
      </c>
      <c r="B2039" t="s">
        <v>949</v>
      </c>
    </row>
    <row r="2040" spans="1:2" x14ac:dyDescent="0.25">
      <c r="A2040" t="s">
        <v>1340</v>
      </c>
      <c r="B2040" t="s">
        <v>949</v>
      </c>
    </row>
    <row r="2041" spans="1:2" x14ac:dyDescent="0.25">
      <c r="A2041" t="s">
        <v>955</v>
      </c>
      <c r="B2041" t="s">
        <v>949</v>
      </c>
    </row>
    <row r="2042" spans="1:2" x14ac:dyDescent="0.25">
      <c r="A2042" t="s">
        <v>1341</v>
      </c>
      <c r="B2042" t="s">
        <v>1342</v>
      </c>
    </row>
    <row r="2043" spans="1:2" x14ac:dyDescent="0.25">
      <c r="A2043" t="s">
        <v>956</v>
      </c>
      <c r="B2043" t="s">
        <v>155</v>
      </c>
    </row>
    <row r="2044" spans="1:2" x14ac:dyDescent="0.25">
      <c r="A2044" t="s">
        <v>153</v>
      </c>
      <c r="B2044" t="s">
        <v>155</v>
      </c>
    </row>
    <row r="2045" spans="1:2" x14ac:dyDescent="0.25">
      <c r="A2045" t="s">
        <v>957</v>
      </c>
      <c r="B2045" t="s">
        <v>958</v>
      </c>
    </row>
    <row r="2046" spans="1:2" x14ac:dyDescent="0.25">
      <c r="A2046" t="s">
        <v>959</v>
      </c>
      <c r="B2046" t="s">
        <v>960</v>
      </c>
    </row>
    <row r="2047" spans="1:2" x14ac:dyDescent="0.25">
      <c r="A2047" t="s">
        <v>3129</v>
      </c>
      <c r="B2047" t="s">
        <v>490</v>
      </c>
    </row>
    <row r="2048" spans="1:2" x14ac:dyDescent="0.25">
      <c r="A2048" t="s">
        <v>3130</v>
      </c>
      <c r="B2048" t="s">
        <v>490</v>
      </c>
    </row>
    <row r="2049" spans="1:2" x14ac:dyDescent="0.25">
      <c r="A2049" t="s">
        <v>3131</v>
      </c>
      <c r="B2049" t="s">
        <v>490</v>
      </c>
    </row>
    <row r="2050" spans="1:2" x14ac:dyDescent="0.25">
      <c r="A2050" t="s">
        <v>3132</v>
      </c>
      <c r="B2050" t="s">
        <v>490</v>
      </c>
    </row>
    <row r="2051" spans="1:2" x14ac:dyDescent="0.25">
      <c r="A2051" t="s">
        <v>3133</v>
      </c>
      <c r="B2051" t="s">
        <v>490</v>
      </c>
    </row>
    <row r="2052" spans="1:2" x14ac:dyDescent="0.25">
      <c r="A2052" t="s">
        <v>3134</v>
      </c>
      <c r="B2052" t="s">
        <v>490</v>
      </c>
    </row>
    <row r="2053" spans="1:2" x14ac:dyDescent="0.25">
      <c r="A2053" t="s">
        <v>3135</v>
      </c>
      <c r="B2053" t="s">
        <v>490</v>
      </c>
    </row>
    <row r="2054" spans="1:2" x14ac:dyDescent="0.25">
      <c r="A2054" t="s">
        <v>3136</v>
      </c>
      <c r="B2054" t="s">
        <v>490</v>
      </c>
    </row>
    <row r="2055" spans="1:2" x14ac:dyDescent="0.25">
      <c r="A2055" t="s">
        <v>3137</v>
      </c>
      <c r="B2055" t="s">
        <v>490</v>
      </c>
    </row>
    <row r="2056" spans="1:2" x14ac:dyDescent="0.25">
      <c r="A2056" t="s">
        <v>3138</v>
      </c>
      <c r="B2056" t="s">
        <v>490</v>
      </c>
    </row>
    <row r="2057" spans="1:2" x14ac:dyDescent="0.25">
      <c r="A2057" t="s">
        <v>3139</v>
      </c>
      <c r="B2057" t="s">
        <v>490</v>
      </c>
    </row>
    <row r="2058" spans="1:2" x14ac:dyDescent="0.25">
      <c r="A2058" t="s">
        <v>3140</v>
      </c>
      <c r="B2058" t="s">
        <v>490</v>
      </c>
    </row>
    <row r="2059" spans="1:2" x14ac:dyDescent="0.25">
      <c r="A2059" t="s">
        <v>3141</v>
      </c>
      <c r="B2059" t="s">
        <v>490</v>
      </c>
    </row>
    <row r="2060" spans="1:2" x14ac:dyDescent="0.25">
      <c r="A2060" t="s">
        <v>3142</v>
      </c>
      <c r="B2060" t="s">
        <v>490</v>
      </c>
    </row>
    <row r="2061" spans="1:2" x14ac:dyDescent="0.25">
      <c r="A2061" t="s">
        <v>3143</v>
      </c>
      <c r="B2061" t="s">
        <v>490</v>
      </c>
    </row>
    <row r="2062" spans="1:2" x14ac:dyDescent="0.25">
      <c r="A2062" t="s">
        <v>3144</v>
      </c>
      <c r="B2062" t="s">
        <v>490</v>
      </c>
    </row>
    <row r="2063" spans="1:2" x14ac:dyDescent="0.25">
      <c r="A2063" t="s">
        <v>3145</v>
      </c>
      <c r="B2063" t="s">
        <v>490</v>
      </c>
    </row>
    <row r="2064" spans="1:2" x14ac:dyDescent="0.25">
      <c r="A2064" t="s">
        <v>3146</v>
      </c>
      <c r="B2064" t="s">
        <v>490</v>
      </c>
    </row>
    <row r="2065" spans="1:2" x14ac:dyDescent="0.25">
      <c r="A2065" t="s">
        <v>3147</v>
      </c>
      <c r="B2065" t="s">
        <v>490</v>
      </c>
    </row>
    <row r="2066" spans="1:2" x14ac:dyDescent="0.25">
      <c r="A2066" t="s">
        <v>3148</v>
      </c>
      <c r="B2066" t="s">
        <v>490</v>
      </c>
    </row>
    <row r="2067" spans="1:2" x14ac:dyDescent="0.25">
      <c r="A2067" t="s">
        <v>3149</v>
      </c>
      <c r="B2067" t="s">
        <v>490</v>
      </c>
    </row>
    <row r="2068" spans="1:2" x14ac:dyDescent="0.25">
      <c r="A2068" t="s">
        <v>3150</v>
      </c>
      <c r="B2068" t="s">
        <v>490</v>
      </c>
    </row>
    <row r="2069" spans="1:2" x14ac:dyDescent="0.25">
      <c r="A2069" t="s">
        <v>3151</v>
      </c>
      <c r="B2069" t="s">
        <v>490</v>
      </c>
    </row>
    <row r="2070" spans="1:2" x14ac:dyDescent="0.25">
      <c r="A2070" t="s">
        <v>3152</v>
      </c>
      <c r="B2070" t="s">
        <v>490</v>
      </c>
    </row>
    <row r="2071" spans="1:2" x14ac:dyDescent="0.25">
      <c r="A2071" t="s">
        <v>3153</v>
      </c>
      <c r="B2071" t="s">
        <v>490</v>
      </c>
    </row>
    <row r="2072" spans="1:2" x14ac:dyDescent="0.25">
      <c r="A2072" t="s">
        <v>3154</v>
      </c>
      <c r="B2072" t="s">
        <v>490</v>
      </c>
    </row>
    <row r="2073" spans="1:2" x14ac:dyDescent="0.25">
      <c r="A2073" t="s">
        <v>3155</v>
      </c>
      <c r="B2073" t="s">
        <v>490</v>
      </c>
    </row>
    <row r="2074" spans="1:2" x14ac:dyDescent="0.25">
      <c r="A2074" t="s">
        <v>3156</v>
      </c>
      <c r="B2074" t="s">
        <v>490</v>
      </c>
    </row>
    <row r="2075" spans="1:2" x14ac:dyDescent="0.25">
      <c r="A2075" t="s">
        <v>3157</v>
      </c>
      <c r="B2075" t="s">
        <v>490</v>
      </c>
    </row>
    <row r="2076" spans="1:2" x14ac:dyDescent="0.25">
      <c r="A2076" t="s">
        <v>3158</v>
      </c>
      <c r="B2076" t="s">
        <v>490</v>
      </c>
    </row>
    <row r="2077" spans="1:2" x14ac:dyDescent="0.25">
      <c r="A2077" t="s">
        <v>3159</v>
      </c>
      <c r="B2077" t="s">
        <v>490</v>
      </c>
    </row>
    <row r="2078" spans="1:2" x14ac:dyDescent="0.25">
      <c r="A2078" t="s">
        <v>3160</v>
      </c>
      <c r="B2078" t="s">
        <v>490</v>
      </c>
    </row>
    <row r="2079" spans="1:2" x14ac:dyDescent="0.25">
      <c r="A2079" t="s">
        <v>3161</v>
      </c>
      <c r="B2079" t="s">
        <v>490</v>
      </c>
    </row>
    <row r="2080" spans="1:2" x14ac:dyDescent="0.25">
      <c r="A2080" t="s">
        <v>3162</v>
      </c>
      <c r="B2080" t="s">
        <v>490</v>
      </c>
    </row>
    <row r="2081" spans="1:2" x14ac:dyDescent="0.25">
      <c r="A2081" t="s">
        <v>3163</v>
      </c>
      <c r="B2081" t="s">
        <v>490</v>
      </c>
    </row>
    <row r="2082" spans="1:2" x14ac:dyDescent="0.25">
      <c r="A2082" t="s">
        <v>3164</v>
      </c>
      <c r="B2082" t="s">
        <v>490</v>
      </c>
    </row>
    <row r="2083" spans="1:2" x14ac:dyDescent="0.25">
      <c r="A2083" t="s">
        <v>3165</v>
      </c>
      <c r="B2083" t="s">
        <v>490</v>
      </c>
    </row>
    <row r="2084" spans="1:2" x14ac:dyDescent="0.25">
      <c r="A2084" t="s">
        <v>3166</v>
      </c>
      <c r="B2084" t="s">
        <v>490</v>
      </c>
    </row>
    <row r="2085" spans="1:2" x14ac:dyDescent="0.25">
      <c r="A2085" t="s">
        <v>3167</v>
      </c>
      <c r="B2085" t="s">
        <v>490</v>
      </c>
    </row>
    <row r="2086" spans="1:2" x14ac:dyDescent="0.25">
      <c r="A2086" t="s">
        <v>3168</v>
      </c>
      <c r="B2086" t="s">
        <v>490</v>
      </c>
    </row>
    <row r="2087" spans="1:2" x14ac:dyDescent="0.25">
      <c r="A2087" t="s">
        <v>3169</v>
      </c>
      <c r="B2087" t="s">
        <v>490</v>
      </c>
    </row>
    <row r="2088" spans="1:2" x14ac:dyDescent="0.25">
      <c r="A2088" t="s">
        <v>3170</v>
      </c>
      <c r="B2088" t="s">
        <v>490</v>
      </c>
    </row>
    <row r="2089" spans="1:2" x14ac:dyDescent="0.25">
      <c r="A2089" t="s">
        <v>3171</v>
      </c>
      <c r="B2089" t="s">
        <v>490</v>
      </c>
    </row>
    <row r="2090" spans="1:2" x14ac:dyDescent="0.25">
      <c r="A2090" t="s">
        <v>3172</v>
      </c>
      <c r="B2090" t="s">
        <v>490</v>
      </c>
    </row>
    <row r="2091" spans="1:2" x14ac:dyDescent="0.25">
      <c r="A2091" t="s">
        <v>3173</v>
      </c>
      <c r="B2091" t="s">
        <v>490</v>
      </c>
    </row>
    <row r="2092" spans="1:2" x14ac:dyDescent="0.25">
      <c r="A2092" t="s">
        <v>3174</v>
      </c>
      <c r="B2092" t="s">
        <v>490</v>
      </c>
    </row>
    <row r="2093" spans="1:2" x14ac:dyDescent="0.25">
      <c r="A2093" t="s">
        <v>3175</v>
      </c>
      <c r="B2093" t="s">
        <v>490</v>
      </c>
    </row>
    <row r="2094" spans="1:2" x14ac:dyDescent="0.25">
      <c r="A2094" t="s">
        <v>3176</v>
      </c>
      <c r="B2094" t="s">
        <v>490</v>
      </c>
    </row>
    <row r="2095" spans="1:2" x14ac:dyDescent="0.25">
      <c r="A2095" t="s">
        <v>3177</v>
      </c>
      <c r="B2095" t="s">
        <v>490</v>
      </c>
    </row>
    <row r="2096" spans="1:2" x14ac:dyDescent="0.25">
      <c r="A2096" t="s">
        <v>3178</v>
      </c>
      <c r="B2096" t="s">
        <v>490</v>
      </c>
    </row>
    <row r="2097" spans="1:2" x14ac:dyDescent="0.25">
      <c r="A2097" t="s">
        <v>3179</v>
      </c>
      <c r="B2097" t="s">
        <v>490</v>
      </c>
    </row>
    <row r="2098" spans="1:2" x14ac:dyDescent="0.25">
      <c r="A2098" t="s">
        <v>3180</v>
      </c>
      <c r="B2098" t="s">
        <v>490</v>
      </c>
    </row>
    <row r="2099" spans="1:2" x14ac:dyDescent="0.25">
      <c r="A2099" t="s">
        <v>3181</v>
      </c>
      <c r="B2099" t="s">
        <v>490</v>
      </c>
    </row>
    <row r="2100" spans="1:2" x14ac:dyDescent="0.25">
      <c r="A2100" t="s">
        <v>3182</v>
      </c>
      <c r="B2100" t="s">
        <v>490</v>
      </c>
    </row>
    <row r="2101" spans="1:2" x14ac:dyDescent="0.25">
      <c r="A2101" t="s">
        <v>3183</v>
      </c>
      <c r="B2101" t="s">
        <v>490</v>
      </c>
    </row>
    <row r="2102" spans="1:2" x14ac:dyDescent="0.25">
      <c r="A2102" t="s">
        <v>3184</v>
      </c>
      <c r="B2102" t="s">
        <v>490</v>
      </c>
    </row>
    <row r="2103" spans="1:2" x14ac:dyDescent="0.25">
      <c r="A2103" t="s">
        <v>3185</v>
      </c>
      <c r="B2103" t="s">
        <v>490</v>
      </c>
    </row>
    <row r="2104" spans="1:2" x14ac:dyDescent="0.25">
      <c r="A2104" t="s">
        <v>3186</v>
      </c>
      <c r="B2104" t="s">
        <v>490</v>
      </c>
    </row>
    <row r="2105" spans="1:2" x14ac:dyDescent="0.25">
      <c r="A2105" t="s">
        <v>3187</v>
      </c>
      <c r="B2105" t="s">
        <v>490</v>
      </c>
    </row>
    <row r="2106" spans="1:2" x14ac:dyDescent="0.25">
      <c r="A2106" t="s">
        <v>3188</v>
      </c>
      <c r="B2106" t="s">
        <v>490</v>
      </c>
    </row>
    <row r="2107" spans="1:2" x14ac:dyDescent="0.25">
      <c r="A2107" t="s">
        <v>3189</v>
      </c>
      <c r="B2107" t="s">
        <v>490</v>
      </c>
    </row>
    <row r="2108" spans="1:2" x14ac:dyDescent="0.25">
      <c r="A2108" t="s">
        <v>3190</v>
      </c>
      <c r="B2108" t="s">
        <v>490</v>
      </c>
    </row>
    <row r="2109" spans="1:2" x14ac:dyDescent="0.25">
      <c r="A2109" t="s">
        <v>3191</v>
      </c>
      <c r="B2109" t="s">
        <v>490</v>
      </c>
    </row>
    <row r="2110" spans="1:2" x14ac:dyDescent="0.25">
      <c r="A2110" t="s">
        <v>3192</v>
      </c>
      <c r="B2110" t="s">
        <v>490</v>
      </c>
    </row>
    <row r="2111" spans="1:2" x14ac:dyDescent="0.25">
      <c r="A2111" t="s">
        <v>3193</v>
      </c>
      <c r="B2111" t="s">
        <v>490</v>
      </c>
    </row>
    <row r="2112" spans="1:2" x14ac:dyDescent="0.25">
      <c r="A2112" t="s">
        <v>3194</v>
      </c>
      <c r="B2112" t="s">
        <v>490</v>
      </c>
    </row>
    <row r="2113" spans="1:2" x14ac:dyDescent="0.25">
      <c r="A2113" t="s">
        <v>3195</v>
      </c>
      <c r="B2113" t="s">
        <v>490</v>
      </c>
    </row>
    <row r="2114" spans="1:2" x14ac:dyDescent="0.25">
      <c r="A2114" t="s">
        <v>3196</v>
      </c>
      <c r="B2114" t="s">
        <v>490</v>
      </c>
    </row>
    <row r="2115" spans="1:2" x14ac:dyDescent="0.25">
      <c r="A2115" t="s">
        <v>3197</v>
      </c>
      <c r="B2115" t="s">
        <v>490</v>
      </c>
    </row>
    <row r="2116" spans="1:2" x14ac:dyDescent="0.25">
      <c r="A2116" t="s">
        <v>3198</v>
      </c>
      <c r="B2116" t="s">
        <v>490</v>
      </c>
    </row>
    <row r="2117" spans="1:2" x14ac:dyDescent="0.25">
      <c r="A2117" t="s">
        <v>3199</v>
      </c>
      <c r="B2117" t="s">
        <v>490</v>
      </c>
    </row>
    <row r="2118" spans="1:2" x14ac:dyDescent="0.25">
      <c r="A2118" t="s">
        <v>3200</v>
      </c>
      <c r="B2118" t="s">
        <v>490</v>
      </c>
    </row>
    <row r="2119" spans="1:2" x14ac:dyDescent="0.25">
      <c r="A2119" t="s">
        <v>3201</v>
      </c>
      <c r="B2119" t="s">
        <v>490</v>
      </c>
    </row>
    <row r="2120" spans="1:2" x14ac:dyDescent="0.25">
      <c r="A2120" t="s">
        <v>3202</v>
      </c>
      <c r="B2120" t="s">
        <v>490</v>
      </c>
    </row>
    <row r="2121" spans="1:2" x14ac:dyDescent="0.25">
      <c r="A2121" t="s">
        <v>3203</v>
      </c>
      <c r="B2121" t="s">
        <v>490</v>
      </c>
    </row>
    <row r="2122" spans="1:2" x14ac:dyDescent="0.25">
      <c r="A2122" t="s">
        <v>3204</v>
      </c>
      <c r="B2122" t="s">
        <v>490</v>
      </c>
    </row>
    <row r="2123" spans="1:2" x14ac:dyDescent="0.25">
      <c r="A2123" t="s">
        <v>3205</v>
      </c>
      <c r="B2123" t="s">
        <v>490</v>
      </c>
    </row>
    <row r="2124" spans="1:2" x14ac:dyDescent="0.25">
      <c r="A2124" t="s">
        <v>3206</v>
      </c>
      <c r="B2124" t="s">
        <v>490</v>
      </c>
    </row>
    <row r="2125" spans="1:2" x14ac:dyDescent="0.25">
      <c r="A2125" t="s">
        <v>3207</v>
      </c>
      <c r="B2125" t="s">
        <v>490</v>
      </c>
    </row>
    <row r="2126" spans="1:2" x14ac:dyDescent="0.25">
      <c r="A2126" t="s">
        <v>3208</v>
      </c>
      <c r="B2126" t="s">
        <v>490</v>
      </c>
    </row>
    <row r="2127" spans="1:2" x14ac:dyDescent="0.25">
      <c r="A2127" t="s">
        <v>3209</v>
      </c>
      <c r="B2127" t="s">
        <v>490</v>
      </c>
    </row>
    <row r="2128" spans="1:2" x14ac:dyDescent="0.25">
      <c r="A2128" t="s">
        <v>3210</v>
      </c>
      <c r="B2128" t="s">
        <v>490</v>
      </c>
    </row>
    <row r="2129" spans="1:2" x14ac:dyDescent="0.25">
      <c r="A2129" t="s">
        <v>3211</v>
      </c>
      <c r="B2129" t="s">
        <v>490</v>
      </c>
    </row>
    <row r="2130" spans="1:2" x14ac:dyDescent="0.25">
      <c r="A2130" t="s">
        <v>3212</v>
      </c>
      <c r="B2130" t="s">
        <v>490</v>
      </c>
    </row>
    <row r="2131" spans="1:2" x14ac:dyDescent="0.25">
      <c r="A2131" t="s">
        <v>3213</v>
      </c>
      <c r="B2131" t="s">
        <v>490</v>
      </c>
    </row>
    <row r="2132" spans="1:2" x14ac:dyDescent="0.25">
      <c r="A2132" t="s">
        <v>3214</v>
      </c>
      <c r="B2132" t="s">
        <v>490</v>
      </c>
    </row>
    <row r="2133" spans="1:2" x14ac:dyDescent="0.25">
      <c r="A2133" t="s">
        <v>3215</v>
      </c>
      <c r="B2133" t="s">
        <v>490</v>
      </c>
    </row>
    <row r="2134" spans="1:2" x14ac:dyDescent="0.25">
      <c r="A2134" t="s">
        <v>3216</v>
      </c>
      <c r="B2134" t="s">
        <v>490</v>
      </c>
    </row>
    <row r="2135" spans="1:2" x14ac:dyDescent="0.25">
      <c r="A2135" t="s">
        <v>3217</v>
      </c>
      <c r="B2135" t="s">
        <v>490</v>
      </c>
    </row>
    <row r="2136" spans="1:2" x14ac:dyDescent="0.25">
      <c r="A2136" t="s">
        <v>3218</v>
      </c>
      <c r="B2136" t="s">
        <v>490</v>
      </c>
    </row>
    <row r="2137" spans="1:2" x14ac:dyDescent="0.25">
      <c r="A2137" t="s">
        <v>3219</v>
      </c>
      <c r="B2137" t="s">
        <v>490</v>
      </c>
    </row>
    <row r="2138" spans="1:2" x14ac:dyDescent="0.25">
      <c r="A2138" t="s">
        <v>3220</v>
      </c>
      <c r="B2138" t="s">
        <v>490</v>
      </c>
    </row>
    <row r="2139" spans="1:2" x14ac:dyDescent="0.25">
      <c r="A2139" t="s">
        <v>3221</v>
      </c>
      <c r="B2139" t="s">
        <v>490</v>
      </c>
    </row>
    <row r="2140" spans="1:2" x14ac:dyDescent="0.25">
      <c r="A2140" t="s">
        <v>3222</v>
      </c>
      <c r="B2140" t="s">
        <v>490</v>
      </c>
    </row>
    <row r="2141" spans="1:2" x14ac:dyDescent="0.25">
      <c r="A2141" t="s">
        <v>3223</v>
      </c>
      <c r="B2141" t="s">
        <v>490</v>
      </c>
    </row>
    <row r="2142" spans="1:2" x14ac:dyDescent="0.25">
      <c r="A2142" t="s">
        <v>3224</v>
      </c>
      <c r="B2142" t="s">
        <v>490</v>
      </c>
    </row>
    <row r="2143" spans="1:2" x14ac:dyDescent="0.25">
      <c r="A2143" t="s">
        <v>3225</v>
      </c>
      <c r="B2143" t="s">
        <v>490</v>
      </c>
    </row>
    <row r="2144" spans="1:2" x14ac:dyDescent="0.25">
      <c r="A2144" t="s">
        <v>3226</v>
      </c>
      <c r="B2144" t="s">
        <v>490</v>
      </c>
    </row>
    <row r="2145" spans="1:2" x14ac:dyDescent="0.25">
      <c r="A2145" t="s">
        <v>3227</v>
      </c>
      <c r="B2145" t="s">
        <v>490</v>
      </c>
    </row>
    <row r="2146" spans="1:2" x14ac:dyDescent="0.25">
      <c r="A2146" t="s">
        <v>3228</v>
      </c>
      <c r="B2146" t="s">
        <v>490</v>
      </c>
    </row>
    <row r="2147" spans="1:2" x14ac:dyDescent="0.25">
      <c r="A2147" t="s">
        <v>3229</v>
      </c>
      <c r="B2147" t="s">
        <v>490</v>
      </c>
    </row>
    <row r="2148" spans="1:2" x14ac:dyDescent="0.25">
      <c r="A2148" t="s">
        <v>3230</v>
      </c>
      <c r="B2148" t="s">
        <v>490</v>
      </c>
    </row>
    <row r="2149" spans="1:2" x14ac:dyDescent="0.25">
      <c r="A2149" t="s">
        <v>3231</v>
      </c>
      <c r="B2149" t="s">
        <v>490</v>
      </c>
    </row>
    <row r="2150" spans="1:2" x14ac:dyDescent="0.25">
      <c r="A2150" t="s">
        <v>3232</v>
      </c>
      <c r="B2150" t="s">
        <v>490</v>
      </c>
    </row>
    <row r="2151" spans="1:2" x14ac:dyDescent="0.25">
      <c r="A2151" t="s">
        <v>3233</v>
      </c>
      <c r="B2151" t="s">
        <v>490</v>
      </c>
    </row>
    <row r="2152" spans="1:2" x14ac:dyDescent="0.25">
      <c r="A2152" t="s">
        <v>3234</v>
      </c>
      <c r="B2152" t="s">
        <v>490</v>
      </c>
    </row>
    <row r="2153" spans="1:2" x14ac:dyDescent="0.25">
      <c r="A2153" t="s">
        <v>3235</v>
      </c>
      <c r="B2153" t="s">
        <v>490</v>
      </c>
    </row>
    <row r="2154" spans="1:2" x14ac:dyDescent="0.25">
      <c r="A2154" t="s">
        <v>3236</v>
      </c>
      <c r="B2154" t="s">
        <v>490</v>
      </c>
    </row>
    <row r="2155" spans="1:2" x14ac:dyDescent="0.25">
      <c r="A2155" t="s">
        <v>3237</v>
      </c>
      <c r="B2155" t="s">
        <v>490</v>
      </c>
    </row>
    <row r="2156" spans="1:2" x14ac:dyDescent="0.25">
      <c r="A2156" t="s">
        <v>3238</v>
      </c>
      <c r="B2156" t="s">
        <v>490</v>
      </c>
    </row>
    <row r="2157" spans="1:2" x14ac:dyDescent="0.25">
      <c r="A2157" t="s">
        <v>3239</v>
      </c>
      <c r="B2157" t="s">
        <v>490</v>
      </c>
    </row>
    <row r="2158" spans="1:2" x14ac:dyDescent="0.25">
      <c r="A2158" t="s">
        <v>3240</v>
      </c>
      <c r="B2158" t="s">
        <v>490</v>
      </c>
    </row>
    <row r="2159" spans="1:2" x14ac:dyDescent="0.25">
      <c r="A2159" t="s">
        <v>3241</v>
      </c>
      <c r="B2159" t="s">
        <v>490</v>
      </c>
    </row>
    <row r="2160" spans="1:2" x14ac:dyDescent="0.25">
      <c r="A2160" t="s">
        <v>3242</v>
      </c>
      <c r="B2160" t="s">
        <v>490</v>
      </c>
    </row>
    <row r="2161" spans="1:2" x14ac:dyDescent="0.25">
      <c r="A2161" t="s">
        <v>3243</v>
      </c>
      <c r="B2161" t="s">
        <v>490</v>
      </c>
    </row>
    <row r="2162" spans="1:2" x14ac:dyDescent="0.25">
      <c r="A2162" t="s">
        <v>3244</v>
      </c>
      <c r="B2162" t="s">
        <v>490</v>
      </c>
    </row>
    <row r="2163" spans="1:2" x14ac:dyDescent="0.25">
      <c r="A2163" t="s">
        <v>3245</v>
      </c>
      <c r="B2163" t="s">
        <v>490</v>
      </c>
    </row>
    <row r="2164" spans="1:2" x14ac:dyDescent="0.25">
      <c r="A2164" t="s">
        <v>3246</v>
      </c>
      <c r="B2164" t="s">
        <v>490</v>
      </c>
    </row>
    <row r="2165" spans="1:2" x14ac:dyDescent="0.25">
      <c r="A2165" t="s">
        <v>3247</v>
      </c>
      <c r="B2165" t="s">
        <v>490</v>
      </c>
    </row>
    <row r="2166" spans="1:2" x14ac:dyDescent="0.25">
      <c r="A2166" t="s">
        <v>3248</v>
      </c>
      <c r="B2166" t="s">
        <v>490</v>
      </c>
    </row>
    <row r="2167" spans="1:2" x14ac:dyDescent="0.25">
      <c r="A2167" t="s">
        <v>3249</v>
      </c>
      <c r="B2167" t="s">
        <v>490</v>
      </c>
    </row>
    <row r="2168" spans="1:2" x14ac:dyDescent="0.25">
      <c r="A2168" t="s">
        <v>3250</v>
      </c>
      <c r="B2168" t="s">
        <v>490</v>
      </c>
    </row>
    <row r="2169" spans="1:2" x14ac:dyDescent="0.25">
      <c r="A2169" t="s">
        <v>3251</v>
      </c>
      <c r="B2169" t="s">
        <v>490</v>
      </c>
    </row>
    <row r="2170" spans="1:2" x14ac:dyDescent="0.25">
      <c r="A2170" t="s">
        <v>3252</v>
      </c>
      <c r="B2170" t="s">
        <v>490</v>
      </c>
    </row>
    <row r="2171" spans="1:2" x14ac:dyDescent="0.25">
      <c r="A2171" t="s">
        <v>3253</v>
      </c>
      <c r="B2171" t="s">
        <v>490</v>
      </c>
    </row>
    <row r="2172" spans="1:2" x14ac:dyDescent="0.25">
      <c r="A2172" t="s">
        <v>3254</v>
      </c>
      <c r="B2172" t="s">
        <v>490</v>
      </c>
    </row>
    <row r="2173" spans="1:2" x14ac:dyDescent="0.25">
      <c r="A2173" t="s">
        <v>3255</v>
      </c>
      <c r="B2173" t="s">
        <v>490</v>
      </c>
    </row>
    <row r="2174" spans="1:2" x14ac:dyDescent="0.25">
      <c r="A2174" t="s">
        <v>3256</v>
      </c>
      <c r="B2174" t="s">
        <v>490</v>
      </c>
    </row>
    <row r="2175" spans="1:2" x14ac:dyDescent="0.25">
      <c r="A2175" t="s">
        <v>3257</v>
      </c>
      <c r="B2175" t="s">
        <v>490</v>
      </c>
    </row>
    <row r="2176" spans="1:2" x14ac:dyDescent="0.25">
      <c r="A2176" t="s">
        <v>3258</v>
      </c>
      <c r="B2176" t="s">
        <v>490</v>
      </c>
    </row>
    <row r="2177" spans="1:2" x14ac:dyDescent="0.25">
      <c r="A2177" t="s">
        <v>3259</v>
      </c>
      <c r="B2177" t="s">
        <v>490</v>
      </c>
    </row>
    <row r="2178" spans="1:2" x14ac:dyDescent="0.25">
      <c r="A2178" t="s">
        <v>3260</v>
      </c>
      <c r="B2178" t="s">
        <v>490</v>
      </c>
    </row>
    <row r="2179" spans="1:2" x14ac:dyDescent="0.25">
      <c r="A2179" t="s">
        <v>3261</v>
      </c>
      <c r="B2179" t="s">
        <v>490</v>
      </c>
    </row>
    <row r="2180" spans="1:2" x14ac:dyDescent="0.25">
      <c r="A2180" t="s">
        <v>3262</v>
      </c>
      <c r="B2180" t="s">
        <v>490</v>
      </c>
    </row>
    <row r="2181" spans="1:2" x14ac:dyDescent="0.25">
      <c r="A2181" t="s">
        <v>3263</v>
      </c>
      <c r="B2181" t="s">
        <v>490</v>
      </c>
    </row>
    <row r="2182" spans="1:2" x14ac:dyDescent="0.25">
      <c r="A2182" t="s">
        <v>3264</v>
      </c>
      <c r="B2182" t="s">
        <v>490</v>
      </c>
    </row>
    <row r="2183" spans="1:2" x14ac:dyDescent="0.25">
      <c r="A2183" t="s">
        <v>3265</v>
      </c>
      <c r="B2183" t="s">
        <v>490</v>
      </c>
    </row>
    <row r="2184" spans="1:2" x14ac:dyDescent="0.25">
      <c r="A2184" t="s">
        <v>3266</v>
      </c>
      <c r="B2184" t="s">
        <v>490</v>
      </c>
    </row>
    <row r="2185" spans="1:2" x14ac:dyDescent="0.25">
      <c r="A2185" t="s">
        <v>3267</v>
      </c>
      <c r="B2185" t="s">
        <v>490</v>
      </c>
    </row>
    <row r="2186" spans="1:2" x14ac:dyDescent="0.25">
      <c r="A2186" t="s">
        <v>3268</v>
      </c>
      <c r="B2186" t="s">
        <v>490</v>
      </c>
    </row>
    <row r="2187" spans="1:2" x14ac:dyDescent="0.25">
      <c r="A2187" t="s">
        <v>3269</v>
      </c>
      <c r="B2187" t="s">
        <v>490</v>
      </c>
    </row>
    <row r="2188" spans="1:2" x14ac:dyDescent="0.25">
      <c r="A2188" t="s">
        <v>3270</v>
      </c>
      <c r="B2188" t="s">
        <v>490</v>
      </c>
    </row>
    <row r="2189" spans="1:2" x14ac:dyDescent="0.25">
      <c r="A2189" t="s">
        <v>143</v>
      </c>
      <c r="B2189" t="s">
        <v>145</v>
      </c>
    </row>
    <row r="2190" spans="1:2" x14ac:dyDescent="0.25">
      <c r="A2190" t="s">
        <v>3271</v>
      </c>
      <c r="B2190" t="s">
        <v>145</v>
      </c>
    </row>
    <row r="2191" spans="1:2" x14ac:dyDescent="0.25">
      <c r="A2191" t="s">
        <v>3272</v>
      </c>
      <c r="B2191" t="s">
        <v>145</v>
      </c>
    </row>
    <row r="2192" spans="1:2" x14ac:dyDescent="0.25">
      <c r="A2192" t="s">
        <v>3273</v>
      </c>
      <c r="B2192" t="s">
        <v>145</v>
      </c>
    </row>
    <row r="2193" spans="1:2" x14ac:dyDescent="0.25">
      <c r="A2193" t="s">
        <v>3274</v>
      </c>
      <c r="B2193" t="s">
        <v>145</v>
      </c>
    </row>
    <row r="2194" spans="1:2" x14ac:dyDescent="0.25">
      <c r="A2194" t="s">
        <v>967</v>
      </c>
      <c r="B2194" t="s">
        <v>145</v>
      </c>
    </row>
    <row r="2195" spans="1:2" x14ac:dyDescent="0.25">
      <c r="A2195" t="s">
        <v>968</v>
      </c>
      <c r="B2195" t="s">
        <v>145</v>
      </c>
    </row>
    <row r="2196" spans="1:2" x14ac:dyDescent="0.25">
      <c r="A2196" t="s">
        <v>961</v>
      </c>
      <c r="B2196" t="s">
        <v>145</v>
      </c>
    </row>
    <row r="2197" spans="1:2" x14ac:dyDescent="0.25">
      <c r="A2197" t="s">
        <v>3275</v>
      </c>
      <c r="B2197" t="s">
        <v>145</v>
      </c>
    </row>
    <row r="2198" spans="1:2" x14ac:dyDescent="0.25">
      <c r="A2198" t="s">
        <v>3276</v>
      </c>
      <c r="B2198" t="s">
        <v>145</v>
      </c>
    </row>
    <row r="2199" spans="1:2" x14ac:dyDescent="0.25">
      <c r="A2199" t="s">
        <v>962</v>
      </c>
      <c r="B2199" t="s">
        <v>145</v>
      </c>
    </row>
    <row r="2200" spans="1:2" x14ac:dyDescent="0.25">
      <c r="A2200" t="s">
        <v>3277</v>
      </c>
      <c r="B2200" t="s">
        <v>145</v>
      </c>
    </row>
    <row r="2201" spans="1:2" x14ac:dyDescent="0.25">
      <c r="A2201" t="s">
        <v>963</v>
      </c>
      <c r="B2201" t="s">
        <v>145</v>
      </c>
    </row>
    <row r="2202" spans="1:2" x14ac:dyDescent="0.25">
      <c r="A2202" t="s">
        <v>3278</v>
      </c>
      <c r="B2202" t="s">
        <v>145</v>
      </c>
    </row>
    <row r="2203" spans="1:2" x14ac:dyDescent="0.25">
      <c r="A2203" t="s">
        <v>964</v>
      </c>
      <c r="B2203" t="s">
        <v>145</v>
      </c>
    </row>
    <row r="2204" spans="1:2" x14ac:dyDescent="0.25">
      <c r="A2204" t="s">
        <v>3279</v>
      </c>
      <c r="B2204" t="s">
        <v>145</v>
      </c>
    </row>
    <row r="2205" spans="1:2" x14ac:dyDescent="0.25">
      <c r="A2205" t="s">
        <v>969</v>
      </c>
      <c r="B2205" t="s">
        <v>145</v>
      </c>
    </row>
    <row r="2206" spans="1:2" x14ac:dyDescent="0.25">
      <c r="A2206" t="s">
        <v>965</v>
      </c>
      <c r="B2206" t="s">
        <v>145</v>
      </c>
    </row>
    <row r="2207" spans="1:2" x14ac:dyDescent="0.25">
      <c r="A2207" t="s">
        <v>3280</v>
      </c>
      <c r="B2207" t="s">
        <v>145</v>
      </c>
    </row>
    <row r="2208" spans="1:2" x14ac:dyDescent="0.25">
      <c r="A2208" t="s">
        <v>3281</v>
      </c>
      <c r="B2208" t="s">
        <v>145</v>
      </c>
    </row>
    <row r="2209" spans="1:2" x14ac:dyDescent="0.25">
      <c r="A2209" t="s">
        <v>966</v>
      </c>
      <c r="B2209" t="s">
        <v>145</v>
      </c>
    </row>
    <row r="2210" spans="1:2" x14ac:dyDescent="0.25">
      <c r="A2210" t="s">
        <v>3282</v>
      </c>
      <c r="B2210" t="s">
        <v>145</v>
      </c>
    </row>
    <row r="2211" spans="1:2" x14ac:dyDescent="0.25">
      <c r="A2211" t="s">
        <v>3283</v>
      </c>
      <c r="B2211" t="s">
        <v>145</v>
      </c>
    </row>
    <row r="2212" spans="1:2" x14ac:dyDescent="0.25">
      <c r="A2212" t="s">
        <v>970</v>
      </c>
      <c r="B2212" t="s">
        <v>145</v>
      </c>
    </row>
    <row r="2213" spans="1:2" x14ac:dyDescent="0.25">
      <c r="A2213" t="s">
        <v>971</v>
      </c>
      <c r="B2213" t="s">
        <v>145</v>
      </c>
    </row>
    <row r="2214" spans="1:2" x14ac:dyDescent="0.25">
      <c r="A2214" t="s">
        <v>1343</v>
      </c>
      <c r="B2214" t="s">
        <v>145</v>
      </c>
    </row>
    <row r="2215" spans="1:2" x14ac:dyDescent="0.25">
      <c r="A2215" t="s">
        <v>972</v>
      </c>
      <c r="B2215" t="s">
        <v>145</v>
      </c>
    </row>
    <row r="2216" spans="1:2" x14ac:dyDescent="0.25">
      <c r="A2216" t="s">
        <v>3284</v>
      </c>
      <c r="B2216" t="s">
        <v>145</v>
      </c>
    </row>
    <row r="2217" spans="1:2" x14ac:dyDescent="0.25">
      <c r="A2217" t="s">
        <v>973</v>
      </c>
      <c r="B2217" t="s">
        <v>974</v>
      </c>
    </row>
    <row r="2218" spans="1:2" x14ac:dyDescent="0.25">
      <c r="A2218" t="s">
        <v>3285</v>
      </c>
      <c r="B2218" t="s">
        <v>976</v>
      </c>
    </row>
    <row r="2219" spans="1:2" x14ac:dyDescent="0.25">
      <c r="A2219" t="s">
        <v>3286</v>
      </c>
      <c r="B2219" t="s">
        <v>976</v>
      </c>
    </row>
    <row r="2220" spans="1:2" x14ac:dyDescent="0.25">
      <c r="A2220" t="s">
        <v>3287</v>
      </c>
      <c r="B2220" t="s">
        <v>1344</v>
      </c>
    </row>
    <row r="2221" spans="1:2" x14ac:dyDescent="0.25">
      <c r="A2221" t="s">
        <v>977</v>
      </c>
      <c r="B2221" t="s">
        <v>978</v>
      </c>
    </row>
    <row r="2222" spans="1:2" x14ac:dyDescent="0.25">
      <c r="A2222" t="s">
        <v>1345</v>
      </c>
      <c r="B2222" t="s">
        <v>978</v>
      </c>
    </row>
    <row r="2223" spans="1:2" x14ac:dyDescent="0.25">
      <c r="A2223" t="s">
        <v>3288</v>
      </c>
      <c r="B2223" t="s">
        <v>1237</v>
      </c>
    </row>
    <row r="2224" spans="1:2" x14ac:dyDescent="0.25">
      <c r="A2224" t="s">
        <v>1238</v>
      </c>
      <c r="B2224" t="s">
        <v>158</v>
      </c>
    </row>
    <row r="2225" spans="1:2" x14ac:dyDescent="0.25">
      <c r="A2225" t="s">
        <v>332</v>
      </c>
      <c r="B2225" t="s">
        <v>158</v>
      </c>
    </row>
    <row r="2226" spans="1:2" x14ac:dyDescent="0.25">
      <c r="A2226" t="s">
        <v>519</v>
      </c>
      <c r="B2226" t="s">
        <v>158</v>
      </c>
    </row>
    <row r="2227" spans="1:2" x14ac:dyDescent="0.25">
      <c r="A2227" t="s">
        <v>157</v>
      </c>
      <c r="B2227" t="s">
        <v>158</v>
      </c>
    </row>
    <row r="2228" spans="1:2" x14ac:dyDescent="0.25">
      <c r="A2228" t="s">
        <v>333</v>
      </c>
      <c r="B2228" t="s">
        <v>158</v>
      </c>
    </row>
    <row r="2229" spans="1:2" x14ac:dyDescent="0.25">
      <c r="A2229" t="s">
        <v>283</v>
      </c>
      <c r="B2229" t="s">
        <v>158</v>
      </c>
    </row>
    <row r="2230" spans="1:2" x14ac:dyDescent="0.25">
      <c r="A2230" t="s">
        <v>159</v>
      </c>
      <c r="B2230" t="s">
        <v>158</v>
      </c>
    </row>
    <row r="2231" spans="1:2" x14ac:dyDescent="0.25">
      <c r="A2231" t="s">
        <v>149</v>
      </c>
      <c r="B2231" t="s">
        <v>151</v>
      </c>
    </row>
    <row r="2232" spans="1:2" x14ac:dyDescent="0.25">
      <c r="A2232" t="s">
        <v>3289</v>
      </c>
      <c r="B2232" t="s">
        <v>151</v>
      </c>
    </row>
    <row r="2233" spans="1:2" x14ac:dyDescent="0.25">
      <c r="A2233" t="s">
        <v>3290</v>
      </c>
      <c r="B2233" t="s">
        <v>151</v>
      </c>
    </row>
    <row r="2234" spans="1:2" x14ac:dyDescent="0.25">
      <c r="A2234" t="s">
        <v>161</v>
      </c>
      <c r="B2234" t="s">
        <v>151</v>
      </c>
    </row>
    <row r="2235" spans="1:2" x14ac:dyDescent="0.25">
      <c r="A2235" t="s">
        <v>1346</v>
      </c>
      <c r="B2235" t="s">
        <v>151</v>
      </c>
    </row>
    <row r="2236" spans="1:2" x14ac:dyDescent="0.25">
      <c r="A2236" t="s">
        <v>979</v>
      </c>
      <c r="B2236" t="s">
        <v>981</v>
      </c>
    </row>
    <row r="2237" spans="1:2" x14ac:dyDescent="0.25">
      <c r="A2237" t="s">
        <v>982</v>
      </c>
      <c r="B2237" t="s">
        <v>983</v>
      </c>
    </row>
    <row r="2238" spans="1:2" x14ac:dyDescent="0.25">
      <c r="A2238" t="s">
        <v>984</v>
      </c>
      <c r="B2238" t="s">
        <v>983</v>
      </c>
    </row>
    <row r="2239" spans="1:2" x14ac:dyDescent="0.25">
      <c r="A2239" t="s">
        <v>985</v>
      </c>
      <c r="B2239" t="s">
        <v>983</v>
      </c>
    </row>
    <row r="2240" spans="1:2" x14ac:dyDescent="0.25">
      <c r="A2240" t="s">
        <v>986</v>
      </c>
      <c r="B2240" t="s">
        <v>987</v>
      </c>
    </row>
    <row r="2241" spans="1:2" x14ac:dyDescent="0.25">
      <c r="A2241" t="s">
        <v>3291</v>
      </c>
      <c r="B2241" t="s">
        <v>988</v>
      </c>
    </row>
    <row r="2242" spans="1:2" x14ac:dyDescent="0.25">
      <c r="A2242" t="s">
        <v>3292</v>
      </c>
      <c r="B2242" t="s">
        <v>988</v>
      </c>
    </row>
    <row r="2243" spans="1:2" x14ac:dyDescent="0.25">
      <c r="A2243" t="s">
        <v>3293</v>
      </c>
      <c r="B2243" t="s">
        <v>988</v>
      </c>
    </row>
    <row r="2244" spans="1:2" x14ac:dyDescent="0.25">
      <c r="A2244" t="s">
        <v>3294</v>
      </c>
      <c r="B2244" t="s">
        <v>988</v>
      </c>
    </row>
    <row r="2245" spans="1:2" x14ac:dyDescent="0.25">
      <c r="A2245" t="s">
        <v>1348</v>
      </c>
      <c r="B2245" t="s">
        <v>1349</v>
      </c>
    </row>
    <row r="2246" spans="1:2" x14ac:dyDescent="0.25">
      <c r="A2246" t="s">
        <v>1350</v>
      </c>
      <c r="B2246" t="s">
        <v>1349</v>
      </c>
    </row>
    <row r="2247" spans="1:2" x14ac:dyDescent="0.25">
      <c r="A2247" t="s">
        <v>3295</v>
      </c>
      <c r="B2247" t="s">
        <v>1351</v>
      </c>
    </row>
    <row r="2248" spans="1:2" x14ac:dyDescent="0.25">
      <c r="A2248" t="s">
        <v>3296</v>
      </c>
      <c r="B2248" t="s">
        <v>1351</v>
      </c>
    </row>
    <row r="2249" spans="1:2" x14ac:dyDescent="0.25">
      <c r="A2249" t="s">
        <v>377</v>
      </c>
      <c r="B2249" t="s">
        <v>164</v>
      </c>
    </row>
    <row r="2250" spans="1:2" x14ac:dyDescent="0.25">
      <c r="A2250" t="s">
        <v>3297</v>
      </c>
      <c r="B2250" t="s">
        <v>164</v>
      </c>
    </row>
    <row r="2251" spans="1:2" x14ac:dyDescent="0.25">
      <c r="A2251" t="s">
        <v>3298</v>
      </c>
      <c r="B2251" t="s">
        <v>164</v>
      </c>
    </row>
    <row r="2252" spans="1:2" x14ac:dyDescent="0.25">
      <c r="A2252" t="s">
        <v>3299</v>
      </c>
      <c r="B2252" t="s">
        <v>164</v>
      </c>
    </row>
    <row r="2253" spans="1:2" x14ac:dyDescent="0.25">
      <c r="A2253" t="s">
        <v>3300</v>
      </c>
      <c r="B2253" t="s">
        <v>164</v>
      </c>
    </row>
    <row r="2254" spans="1:2" x14ac:dyDescent="0.25">
      <c r="A2254" t="s">
        <v>3301</v>
      </c>
      <c r="B2254" t="s">
        <v>164</v>
      </c>
    </row>
    <row r="2255" spans="1:2" x14ac:dyDescent="0.25">
      <c r="A2255" t="s">
        <v>3302</v>
      </c>
      <c r="B2255" t="s">
        <v>164</v>
      </c>
    </row>
    <row r="2256" spans="1:2" x14ac:dyDescent="0.25">
      <c r="A2256" t="s">
        <v>167</v>
      </c>
      <c r="B2256" t="s">
        <v>164</v>
      </c>
    </row>
    <row r="2257" spans="1:2" x14ac:dyDescent="0.25">
      <c r="A2257" t="s">
        <v>989</v>
      </c>
      <c r="B2257" t="s">
        <v>164</v>
      </c>
    </row>
    <row r="2258" spans="1:2" x14ac:dyDescent="0.25">
      <c r="A2258" t="s">
        <v>992</v>
      </c>
      <c r="B2258" t="s">
        <v>164</v>
      </c>
    </row>
    <row r="2259" spans="1:2" x14ac:dyDescent="0.25">
      <c r="A2259" t="s">
        <v>3303</v>
      </c>
      <c r="B2259" t="s">
        <v>164</v>
      </c>
    </row>
    <row r="2260" spans="1:2" x14ac:dyDescent="0.25">
      <c r="A2260" t="s">
        <v>3304</v>
      </c>
      <c r="B2260" t="s">
        <v>164</v>
      </c>
    </row>
    <row r="2261" spans="1:2" x14ac:dyDescent="0.25">
      <c r="A2261" t="s">
        <v>1352</v>
      </c>
      <c r="B2261" t="s">
        <v>164</v>
      </c>
    </row>
    <row r="2262" spans="1:2" x14ac:dyDescent="0.25">
      <c r="A2262" t="s">
        <v>993</v>
      </c>
      <c r="B2262" t="s">
        <v>164</v>
      </c>
    </row>
    <row r="2263" spans="1:2" x14ac:dyDescent="0.25">
      <c r="A2263" t="s">
        <v>994</v>
      </c>
      <c r="B2263" t="s">
        <v>164</v>
      </c>
    </row>
    <row r="2264" spans="1:2" x14ac:dyDescent="0.25">
      <c r="A2264" t="s">
        <v>995</v>
      </c>
      <c r="B2264" t="s">
        <v>164</v>
      </c>
    </row>
    <row r="2265" spans="1:2" x14ac:dyDescent="0.25">
      <c r="A2265" t="s">
        <v>168</v>
      </c>
      <c r="B2265" t="s">
        <v>164</v>
      </c>
    </row>
    <row r="2266" spans="1:2" x14ac:dyDescent="0.25">
      <c r="A2266" t="s">
        <v>990</v>
      </c>
      <c r="B2266" t="s">
        <v>164</v>
      </c>
    </row>
    <row r="2267" spans="1:2" x14ac:dyDescent="0.25">
      <c r="A2267" t="s">
        <v>3305</v>
      </c>
      <c r="B2267" t="s">
        <v>164</v>
      </c>
    </row>
    <row r="2268" spans="1:2" x14ac:dyDescent="0.25">
      <c r="A2268" t="s">
        <v>3306</v>
      </c>
      <c r="B2268" t="s">
        <v>164</v>
      </c>
    </row>
    <row r="2269" spans="1:2" x14ac:dyDescent="0.25">
      <c r="A2269" t="s">
        <v>991</v>
      </c>
      <c r="B2269" t="s">
        <v>164</v>
      </c>
    </row>
    <row r="2270" spans="1:2" x14ac:dyDescent="0.25">
      <c r="A2270" t="s">
        <v>3307</v>
      </c>
      <c r="B2270" t="s">
        <v>164</v>
      </c>
    </row>
    <row r="2271" spans="1:2" x14ac:dyDescent="0.25">
      <c r="A2271" t="s">
        <v>3308</v>
      </c>
      <c r="B2271" t="s">
        <v>164</v>
      </c>
    </row>
    <row r="2272" spans="1:2" x14ac:dyDescent="0.25">
      <c r="A2272" t="s">
        <v>361</v>
      </c>
      <c r="B2272" t="s">
        <v>164</v>
      </c>
    </row>
    <row r="2273" spans="1:2" x14ac:dyDescent="0.25">
      <c r="A2273" t="s">
        <v>378</v>
      </c>
      <c r="B2273" t="s">
        <v>164</v>
      </c>
    </row>
    <row r="2274" spans="1:2" x14ac:dyDescent="0.25">
      <c r="A2274" t="s">
        <v>3309</v>
      </c>
      <c r="B2274" t="s">
        <v>164</v>
      </c>
    </row>
    <row r="2275" spans="1:2" x14ac:dyDescent="0.25">
      <c r="A2275" t="s">
        <v>3310</v>
      </c>
      <c r="B2275" t="s">
        <v>164</v>
      </c>
    </row>
    <row r="2276" spans="1:2" x14ac:dyDescent="0.25">
      <c r="A2276" t="s">
        <v>380</v>
      </c>
      <c r="B2276" t="s">
        <v>164</v>
      </c>
    </row>
    <row r="2277" spans="1:2" x14ac:dyDescent="0.25">
      <c r="A2277" t="s">
        <v>3311</v>
      </c>
      <c r="B2277" t="s">
        <v>164</v>
      </c>
    </row>
    <row r="2278" spans="1:2" x14ac:dyDescent="0.25">
      <c r="A2278" t="s">
        <v>3312</v>
      </c>
      <c r="B2278" t="s">
        <v>164</v>
      </c>
    </row>
    <row r="2279" spans="1:2" x14ac:dyDescent="0.25">
      <c r="A2279" t="s">
        <v>284</v>
      </c>
      <c r="B2279" t="s">
        <v>164</v>
      </c>
    </row>
    <row r="2280" spans="1:2" x14ac:dyDescent="0.25">
      <c r="A2280" t="s">
        <v>381</v>
      </c>
      <c r="B2280" t="s">
        <v>164</v>
      </c>
    </row>
    <row r="2281" spans="1:2" x14ac:dyDescent="0.25">
      <c r="A2281" t="s">
        <v>3313</v>
      </c>
      <c r="B2281" t="s">
        <v>164</v>
      </c>
    </row>
    <row r="2282" spans="1:2" x14ac:dyDescent="0.25">
      <c r="A2282" t="s">
        <v>3314</v>
      </c>
      <c r="B2282" t="s">
        <v>164</v>
      </c>
    </row>
    <row r="2283" spans="1:2" x14ac:dyDescent="0.25">
      <c r="A2283" t="s">
        <v>996</v>
      </c>
      <c r="B2283" t="s">
        <v>164</v>
      </c>
    </row>
    <row r="2284" spans="1:2" x14ac:dyDescent="0.25">
      <c r="A2284" t="s">
        <v>997</v>
      </c>
      <c r="B2284" t="s">
        <v>164</v>
      </c>
    </row>
    <row r="2285" spans="1:2" x14ac:dyDescent="0.25">
      <c r="A2285" t="s">
        <v>998</v>
      </c>
      <c r="B2285" t="s">
        <v>164</v>
      </c>
    </row>
    <row r="2286" spans="1:2" x14ac:dyDescent="0.25">
      <c r="A2286" t="s">
        <v>1353</v>
      </c>
      <c r="B2286" t="s">
        <v>164</v>
      </c>
    </row>
    <row r="2287" spans="1:2" x14ac:dyDescent="0.25">
      <c r="A2287" t="s">
        <v>1354</v>
      </c>
      <c r="B2287" t="s">
        <v>164</v>
      </c>
    </row>
    <row r="2288" spans="1:2" x14ac:dyDescent="0.25">
      <c r="A2288" t="s">
        <v>1355</v>
      </c>
      <c r="B2288" t="s">
        <v>164</v>
      </c>
    </row>
    <row r="2289" spans="1:2" x14ac:dyDescent="0.25">
      <c r="A2289" t="s">
        <v>170</v>
      </c>
      <c r="B2289" t="s">
        <v>164</v>
      </c>
    </row>
    <row r="2290" spans="1:2" x14ac:dyDescent="0.25">
      <c r="A2290" t="s">
        <v>172</v>
      </c>
      <c r="B2290" t="s">
        <v>164</v>
      </c>
    </row>
    <row r="2291" spans="1:2" x14ac:dyDescent="0.25">
      <c r="A2291" t="s">
        <v>999</v>
      </c>
      <c r="B2291" t="s">
        <v>164</v>
      </c>
    </row>
    <row r="2292" spans="1:2" x14ac:dyDescent="0.25">
      <c r="A2292" t="s">
        <v>1000</v>
      </c>
      <c r="B2292" t="s">
        <v>164</v>
      </c>
    </row>
    <row r="2293" spans="1:2" x14ac:dyDescent="0.25">
      <c r="A2293" t="s">
        <v>173</v>
      </c>
      <c r="B2293" t="s">
        <v>164</v>
      </c>
    </row>
    <row r="2294" spans="1:2" x14ac:dyDescent="0.25">
      <c r="A2294" t="s">
        <v>1001</v>
      </c>
      <c r="B2294" t="s">
        <v>164</v>
      </c>
    </row>
    <row r="2295" spans="1:2" x14ac:dyDescent="0.25">
      <c r="A2295" t="s">
        <v>1002</v>
      </c>
      <c r="B2295" t="s">
        <v>164</v>
      </c>
    </row>
    <row r="2296" spans="1:2" x14ac:dyDescent="0.25">
      <c r="A2296" t="s">
        <v>1003</v>
      </c>
      <c r="B2296" t="s">
        <v>164</v>
      </c>
    </row>
    <row r="2297" spans="1:2" x14ac:dyDescent="0.25">
      <c r="A2297" t="s">
        <v>175</v>
      </c>
      <c r="B2297" t="s">
        <v>164</v>
      </c>
    </row>
    <row r="2298" spans="1:2" x14ac:dyDescent="0.25">
      <c r="A2298" t="s">
        <v>362</v>
      </c>
      <c r="B2298" t="s">
        <v>164</v>
      </c>
    </row>
    <row r="2299" spans="1:2" x14ac:dyDescent="0.25">
      <c r="A2299" t="s">
        <v>363</v>
      </c>
      <c r="B2299" t="s">
        <v>164</v>
      </c>
    </row>
    <row r="2300" spans="1:2" x14ac:dyDescent="0.25">
      <c r="A2300" t="s">
        <v>384</v>
      </c>
      <c r="B2300" t="s">
        <v>164</v>
      </c>
    </row>
    <row r="2301" spans="1:2" x14ac:dyDescent="0.25">
      <c r="A2301" t="s">
        <v>385</v>
      </c>
      <c r="B2301" t="s">
        <v>164</v>
      </c>
    </row>
    <row r="2302" spans="1:2" x14ac:dyDescent="0.25">
      <c r="A2302" t="s">
        <v>386</v>
      </c>
      <c r="B2302" t="s">
        <v>164</v>
      </c>
    </row>
    <row r="2303" spans="1:2" x14ac:dyDescent="0.25">
      <c r="A2303" t="s">
        <v>387</v>
      </c>
      <c r="B2303" t="s">
        <v>164</v>
      </c>
    </row>
    <row r="2304" spans="1:2" x14ac:dyDescent="0.25">
      <c r="A2304" t="s">
        <v>285</v>
      </c>
      <c r="B2304" t="s">
        <v>164</v>
      </c>
    </row>
    <row r="2305" spans="1:2" x14ac:dyDescent="0.25">
      <c r="A2305" t="s">
        <v>176</v>
      </c>
      <c r="B2305" t="s">
        <v>164</v>
      </c>
    </row>
    <row r="2306" spans="1:2" x14ac:dyDescent="0.25">
      <c r="A2306" t="s">
        <v>286</v>
      </c>
      <c r="B2306" t="s">
        <v>164</v>
      </c>
    </row>
    <row r="2307" spans="1:2" x14ac:dyDescent="0.25">
      <c r="A2307" t="s">
        <v>181</v>
      </c>
      <c r="B2307" t="s">
        <v>164</v>
      </c>
    </row>
    <row r="2308" spans="1:2" x14ac:dyDescent="0.25">
      <c r="A2308" t="s">
        <v>1004</v>
      </c>
      <c r="B2308" t="s">
        <v>164</v>
      </c>
    </row>
    <row r="2309" spans="1:2" x14ac:dyDescent="0.25">
      <c r="A2309" t="s">
        <v>182</v>
      </c>
      <c r="B2309" t="s">
        <v>164</v>
      </c>
    </row>
    <row r="2310" spans="1:2" x14ac:dyDescent="0.25">
      <c r="A2310" t="s">
        <v>1005</v>
      </c>
      <c r="B2310" t="s">
        <v>164</v>
      </c>
    </row>
    <row r="2311" spans="1:2" x14ac:dyDescent="0.25">
      <c r="A2311" t="s">
        <v>1356</v>
      </c>
      <c r="B2311" t="s">
        <v>164</v>
      </c>
    </row>
    <row r="2312" spans="1:2" x14ac:dyDescent="0.25">
      <c r="A2312" t="s">
        <v>1357</v>
      </c>
      <c r="B2312" t="s">
        <v>164</v>
      </c>
    </row>
    <row r="2313" spans="1:2" x14ac:dyDescent="0.25">
      <c r="A2313" t="s">
        <v>1522</v>
      </c>
      <c r="B2313" t="s">
        <v>164</v>
      </c>
    </row>
    <row r="2314" spans="1:2" x14ac:dyDescent="0.25">
      <c r="A2314" t="s">
        <v>1523</v>
      </c>
      <c r="B2314" t="s">
        <v>164</v>
      </c>
    </row>
    <row r="2315" spans="1:2" x14ac:dyDescent="0.25">
      <c r="A2315" t="s">
        <v>1524</v>
      </c>
      <c r="B2315" t="s">
        <v>164</v>
      </c>
    </row>
    <row r="2316" spans="1:2" x14ac:dyDescent="0.25">
      <c r="A2316" t="s">
        <v>1006</v>
      </c>
      <c r="B2316" t="s">
        <v>164</v>
      </c>
    </row>
    <row r="2317" spans="1:2" x14ac:dyDescent="0.25">
      <c r="A2317" t="s">
        <v>1525</v>
      </c>
      <c r="B2317" t="s">
        <v>164</v>
      </c>
    </row>
    <row r="2318" spans="1:2" x14ac:dyDescent="0.25">
      <c r="A2318" t="s">
        <v>1526</v>
      </c>
      <c r="B2318" t="s">
        <v>164</v>
      </c>
    </row>
    <row r="2319" spans="1:2" x14ac:dyDescent="0.25">
      <c r="A2319" t="s">
        <v>1007</v>
      </c>
      <c r="B2319" t="s">
        <v>164</v>
      </c>
    </row>
    <row r="2320" spans="1:2" x14ac:dyDescent="0.25">
      <c r="A2320" t="s">
        <v>1358</v>
      </c>
      <c r="B2320" t="s">
        <v>164</v>
      </c>
    </row>
    <row r="2321" spans="1:2" x14ac:dyDescent="0.25">
      <c r="A2321" t="s">
        <v>183</v>
      </c>
      <c r="B2321" t="s">
        <v>164</v>
      </c>
    </row>
    <row r="2322" spans="1:2" x14ac:dyDescent="0.25">
      <c r="A2322" t="s">
        <v>1531</v>
      </c>
      <c r="B2322" t="s">
        <v>164</v>
      </c>
    </row>
    <row r="2323" spans="1:2" x14ac:dyDescent="0.25">
      <c r="A2323" t="s">
        <v>1359</v>
      </c>
      <c r="B2323" t="s">
        <v>164</v>
      </c>
    </row>
    <row r="2324" spans="1:2" x14ac:dyDescent="0.25">
      <c r="A2324" t="s">
        <v>1008</v>
      </c>
      <c r="B2324" t="s">
        <v>164</v>
      </c>
    </row>
    <row r="2325" spans="1:2" x14ac:dyDescent="0.25">
      <c r="A2325" t="s">
        <v>1527</v>
      </c>
      <c r="B2325" t="s">
        <v>164</v>
      </c>
    </row>
    <row r="2326" spans="1:2" x14ac:dyDescent="0.25">
      <c r="A2326" t="s">
        <v>1528</v>
      </c>
      <c r="B2326" t="s">
        <v>164</v>
      </c>
    </row>
    <row r="2327" spans="1:2" x14ac:dyDescent="0.25">
      <c r="A2327" t="s">
        <v>1009</v>
      </c>
      <c r="B2327" t="s">
        <v>164</v>
      </c>
    </row>
    <row r="2328" spans="1:2" x14ac:dyDescent="0.25">
      <c r="A2328" t="s">
        <v>1529</v>
      </c>
      <c r="B2328" t="s">
        <v>164</v>
      </c>
    </row>
    <row r="2329" spans="1:2" x14ac:dyDescent="0.25">
      <c r="A2329" t="s">
        <v>1360</v>
      </c>
      <c r="B2329" t="s">
        <v>164</v>
      </c>
    </row>
    <row r="2330" spans="1:2" x14ac:dyDescent="0.25">
      <c r="A2330" t="s">
        <v>1530</v>
      </c>
      <c r="B2330" t="s">
        <v>164</v>
      </c>
    </row>
    <row r="2331" spans="1:2" x14ac:dyDescent="0.25">
      <c r="A2331" t="s">
        <v>1010</v>
      </c>
      <c r="B2331" t="s">
        <v>164</v>
      </c>
    </row>
    <row r="2332" spans="1:2" x14ac:dyDescent="0.25">
      <c r="A2332" t="s">
        <v>1011</v>
      </c>
      <c r="B2332" t="s">
        <v>164</v>
      </c>
    </row>
    <row r="2333" spans="1:2" x14ac:dyDescent="0.25">
      <c r="A2333" t="s">
        <v>1012</v>
      </c>
      <c r="B2333" t="s">
        <v>164</v>
      </c>
    </row>
    <row r="2334" spans="1:2" x14ac:dyDescent="0.25">
      <c r="A2334" t="s">
        <v>1013</v>
      </c>
      <c r="B2334" t="s">
        <v>164</v>
      </c>
    </row>
    <row r="2335" spans="1:2" x14ac:dyDescent="0.25">
      <c r="A2335" t="s">
        <v>364</v>
      </c>
      <c r="B2335" t="s">
        <v>164</v>
      </c>
    </row>
    <row r="2336" spans="1:2" x14ac:dyDescent="0.25">
      <c r="A2336" t="s">
        <v>185</v>
      </c>
      <c r="B2336" t="s">
        <v>164</v>
      </c>
    </row>
    <row r="2337" spans="1:2" x14ac:dyDescent="0.25">
      <c r="A2337" t="s">
        <v>1014</v>
      </c>
      <c r="B2337" t="s">
        <v>164</v>
      </c>
    </row>
    <row r="2338" spans="1:2" x14ac:dyDescent="0.25">
      <c r="A2338" t="s">
        <v>1015</v>
      </c>
      <c r="B2338" t="s">
        <v>164</v>
      </c>
    </row>
    <row r="2339" spans="1:2" x14ac:dyDescent="0.25">
      <c r="A2339" t="s">
        <v>1361</v>
      </c>
      <c r="B2339" t="s">
        <v>164</v>
      </c>
    </row>
    <row r="2340" spans="1:2" x14ac:dyDescent="0.25">
      <c r="A2340" t="s">
        <v>1016</v>
      </c>
      <c r="B2340" t="s">
        <v>164</v>
      </c>
    </row>
    <row r="2341" spans="1:2" x14ac:dyDescent="0.25">
      <c r="A2341" t="s">
        <v>1017</v>
      </c>
      <c r="B2341" t="s">
        <v>164</v>
      </c>
    </row>
    <row r="2342" spans="1:2" x14ac:dyDescent="0.25">
      <c r="A2342" t="s">
        <v>1018</v>
      </c>
      <c r="B2342" t="s">
        <v>164</v>
      </c>
    </row>
    <row r="2343" spans="1:2" x14ac:dyDescent="0.25">
      <c r="A2343" t="s">
        <v>1362</v>
      </c>
      <c r="B2343" t="s">
        <v>164</v>
      </c>
    </row>
    <row r="2344" spans="1:2" x14ac:dyDescent="0.25">
      <c r="A2344" t="s">
        <v>1019</v>
      </c>
      <c r="B2344" t="s">
        <v>164</v>
      </c>
    </row>
    <row r="2345" spans="1:2" x14ac:dyDescent="0.25">
      <c r="A2345" t="s">
        <v>382</v>
      </c>
      <c r="B2345" t="s">
        <v>164</v>
      </c>
    </row>
    <row r="2346" spans="1:2" x14ac:dyDescent="0.25">
      <c r="A2346" t="s">
        <v>3315</v>
      </c>
      <c r="B2346" t="s">
        <v>164</v>
      </c>
    </row>
    <row r="2347" spans="1:2" x14ac:dyDescent="0.25">
      <c r="A2347" t="s">
        <v>3316</v>
      </c>
      <c r="B2347" t="s">
        <v>164</v>
      </c>
    </row>
    <row r="2348" spans="1:2" x14ac:dyDescent="0.25">
      <c r="A2348" t="s">
        <v>1021</v>
      </c>
      <c r="B2348" t="s">
        <v>164</v>
      </c>
    </row>
    <row r="2349" spans="1:2" x14ac:dyDescent="0.25">
      <c r="A2349" t="s">
        <v>388</v>
      </c>
      <c r="B2349" t="s">
        <v>164</v>
      </c>
    </row>
    <row r="2350" spans="1:2" x14ac:dyDescent="0.25">
      <c r="A2350" t="s">
        <v>390</v>
      </c>
      <c r="B2350" t="s">
        <v>164</v>
      </c>
    </row>
    <row r="2351" spans="1:2" x14ac:dyDescent="0.25">
      <c r="A2351" t="s">
        <v>391</v>
      </c>
      <c r="B2351" t="s">
        <v>164</v>
      </c>
    </row>
    <row r="2352" spans="1:2" x14ac:dyDescent="0.25">
      <c r="A2352" t="s">
        <v>392</v>
      </c>
      <c r="B2352" t="s">
        <v>164</v>
      </c>
    </row>
    <row r="2353" spans="1:2" x14ac:dyDescent="0.25">
      <c r="A2353" t="s">
        <v>393</v>
      </c>
      <c r="B2353" t="s">
        <v>164</v>
      </c>
    </row>
    <row r="2354" spans="1:2" x14ac:dyDescent="0.25">
      <c r="A2354" t="s">
        <v>394</v>
      </c>
      <c r="B2354" t="s">
        <v>164</v>
      </c>
    </row>
    <row r="2355" spans="1:2" x14ac:dyDescent="0.25">
      <c r="A2355" t="s">
        <v>395</v>
      </c>
      <c r="B2355" t="s">
        <v>164</v>
      </c>
    </row>
    <row r="2356" spans="1:2" x14ac:dyDescent="0.25">
      <c r="A2356" t="s">
        <v>396</v>
      </c>
      <c r="B2356" t="s">
        <v>164</v>
      </c>
    </row>
    <row r="2357" spans="1:2" x14ac:dyDescent="0.25">
      <c r="A2357" t="s">
        <v>397</v>
      </c>
      <c r="B2357" t="s">
        <v>164</v>
      </c>
    </row>
    <row r="2358" spans="1:2" x14ac:dyDescent="0.25">
      <c r="A2358" t="s">
        <v>398</v>
      </c>
      <c r="B2358" t="s">
        <v>164</v>
      </c>
    </row>
    <row r="2359" spans="1:2" x14ac:dyDescent="0.25">
      <c r="A2359" t="s">
        <v>1363</v>
      </c>
      <c r="B2359" t="s">
        <v>164</v>
      </c>
    </row>
    <row r="2360" spans="1:2" x14ac:dyDescent="0.25">
      <c r="A2360" t="s">
        <v>399</v>
      </c>
      <c r="B2360" t="s">
        <v>164</v>
      </c>
    </row>
    <row r="2361" spans="1:2" x14ac:dyDescent="0.25">
      <c r="A2361" t="s">
        <v>1022</v>
      </c>
      <c r="B2361" t="s">
        <v>164</v>
      </c>
    </row>
    <row r="2362" spans="1:2" x14ac:dyDescent="0.25">
      <c r="A2362" t="s">
        <v>1364</v>
      </c>
      <c r="B2362" t="s">
        <v>164</v>
      </c>
    </row>
    <row r="2363" spans="1:2" x14ac:dyDescent="0.25">
      <c r="A2363" t="s">
        <v>400</v>
      </c>
      <c r="B2363" t="s">
        <v>164</v>
      </c>
    </row>
    <row r="2364" spans="1:2" x14ac:dyDescent="0.25">
      <c r="A2364" t="s">
        <v>401</v>
      </c>
      <c r="B2364" t="s">
        <v>164</v>
      </c>
    </row>
    <row r="2365" spans="1:2" x14ac:dyDescent="0.25">
      <c r="A2365" t="s">
        <v>287</v>
      </c>
      <c r="B2365" t="s">
        <v>164</v>
      </c>
    </row>
    <row r="2366" spans="1:2" x14ac:dyDescent="0.25">
      <c r="A2366" t="s">
        <v>1023</v>
      </c>
      <c r="B2366" t="s">
        <v>164</v>
      </c>
    </row>
    <row r="2367" spans="1:2" x14ac:dyDescent="0.25">
      <c r="A2367" t="s">
        <v>1024</v>
      </c>
      <c r="B2367" t="s">
        <v>164</v>
      </c>
    </row>
    <row r="2368" spans="1:2" x14ac:dyDescent="0.25">
      <c r="A2368" t="s">
        <v>402</v>
      </c>
      <c r="B2368" t="s">
        <v>164</v>
      </c>
    </row>
    <row r="2369" spans="1:2" x14ac:dyDescent="0.25">
      <c r="A2369" t="s">
        <v>403</v>
      </c>
      <c r="B2369" t="s">
        <v>164</v>
      </c>
    </row>
    <row r="2370" spans="1:2" x14ac:dyDescent="0.25">
      <c r="A2370" t="s">
        <v>404</v>
      </c>
      <c r="B2370" t="s">
        <v>164</v>
      </c>
    </row>
    <row r="2371" spans="1:2" x14ac:dyDescent="0.25">
      <c r="A2371" t="s">
        <v>289</v>
      </c>
      <c r="B2371" t="s">
        <v>164</v>
      </c>
    </row>
    <row r="2372" spans="1:2" x14ac:dyDescent="0.25">
      <c r="A2372" t="s">
        <v>187</v>
      </c>
      <c r="B2372" t="s">
        <v>164</v>
      </c>
    </row>
    <row r="2373" spans="1:2" x14ac:dyDescent="0.25">
      <c r="A2373" t="s">
        <v>405</v>
      </c>
      <c r="B2373" t="s">
        <v>164</v>
      </c>
    </row>
    <row r="2374" spans="1:2" x14ac:dyDescent="0.25">
      <c r="A2374" t="s">
        <v>1020</v>
      </c>
      <c r="B2374" t="s">
        <v>164</v>
      </c>
    </row>
    <row r="2375" spans="1:2" x14ac:dyDescent="0.25">
      <c r="A2375" t="s">
        <v>3317</v>
      </c>
      <c r="B2375" t="s">
        <v>164</v>
      </c>
    </row>
    <row r="2376" spans="1:2" x14ac:dyDescent="0.25">
      <c r="A2376" t="s">
        <v>3318</v>
      </c>
      <c r="B2376" t="s">
        <v>164</v>
      </c>
    </row>
    <row r="2377" spans="1:2" x14ac:dyDescent="0.25">
      <c r="A2377" t="s">
        <v>1025</v>
      </c>
      <c r="B2377" t="s">
        <v>164</v>
      </c>
    </row>
    <row r="2378" spans="1:2" x14ac:dyDescent="0.25">
      <c r="A2378" t="s">
        <v>3319</v>
      </c>
      <c r="B2378" t="s">
        <v>164</v>
      </c>
    </row>
    <row r="2379" spans="1:2" x14ac:dyDescent="0.25">
      <c r="A2379" t="s">
        <v>3320</v>
      </c>
      <c r="B2379" t="s">
        <v>164</v>
      </c>
    </row>
    <row r="2380" spans="1:2" x14ac:dyDescent="0.25">
      <c r="A2380" t="s">
        <v>3321</v>
      </c>
      <c r="B2380" t="s">
        <v>164</v>
      </c>
    </row>
    <row r="2381" spans="1:2" x14ac:dyDescent="0.25">
      <c r="A2381" t="s">
        <v>3322</v>
      </c>
      <c r="B2381" t="s">
        <v>164</v>
      </c>
    </row>
    <row r="2382" spans="1:2" x14ac:dyDescent="0.25">
      <c r="A2382" t="s">
        <v>3323</v>
      </c>
      <c r="B2382" t="s">
        <v>164</v>
      </c>
    </row>
    <row r="2383" spans="1:2" x14ac:dyDescent="0.25">
      <c r="A2383" t="s">
        <v>3324</v>
      </c>
      <c r="B2383" t="s">
        <v>164</v>
      </c>
    </row>
    <row r="2384" spans="1:2" x14ac:dyDescent="0.25">
      <c r="A2384" t="s">
        <v>3325</v>
      </c>
      <c r="B2384" t="s">
        <v>164</v>
      </c>
    </row>
    <row r="2385" spans="1:2" x14ac:dyDescent="0.25">
      <c r="A2385" t="s">
        <v>3326</v>
      </c>
      <c r="B2385" t="s">
        <v>164</v>
      </c>
    </row>
    <row r="2386" spans="1:2" x14ac:dyDescent="0.25">
      <c r="A2386" t="s">
        <v>3327</v>
      </c>
      <c r="B2386" t="s">
        <v>164</v>
      </c>
    </row>
    <row r="2387" spans="1:2" x14ac:dyDescent="0.25">
      <c r="A2387" t="s">
        <v>3328</v>
      </c>
      <c r="B2387" t="s">
        <v>164</v>
      </c>
    </row>
    <row r="2388" spans="1:2" x14ac:dyDescent="0.25">
      <c r="A2388" t="s">
        <v>3329</v>
      </c>
      <c r="B2388" t="s">
        <v>164</v>
      </c>
    </row>
    <row r="2389" spans="1:2" x14ac:dyDescent="0.25">
      <c r="A2389" t="s">
        <v>3330</v>
      </c>
      <c r="B2389" t="s">
        <v>164</v>
      </c>
    </row>
    <row r="2390" spans="1:2" x14ac:dyDescent="0.25">
      <c r="A2390" t="s">
        <v>165</v>
      </c>
      <c r="B2390" t="s">
        <v>164</v>
      </c>
    </row>
    <row r="2391" spans="1:2" x14ac:dyDescent="0.25">
      <c r="A2391" t="s">
        <v>3331</v>
      </c>
      <c r="B2391" t="s">
        <v>164</v>
      </c>
    </row>
    <row r="2392" spans="1:2" x14ac:dyDescent="0.25">
      <c r="A2392" t="s">
        <v>3332</v>
      </c>
      <c r="B2392" t="s">
        <v>164</v>
      </c>
    </row>
    <row r="2393" spans="1:2" x14ac:dyDescent="0.25">
      <c r="A2393" t="s">
        <v>3333</v>
      </c>
      <c r="B2393" t="s">
        <v>164</v>
      </c>
    </row>
    <row r="2394" spans="1:2" x14ac:dyDescent="0.25">
      <c r="A2394" t="s">
        <v>3334</v>
      </c>
      <c r="B2394" t="s">
        <v>164</v>
      </c>
    </row>
    <row r="2395" spans="1:2" x14ac:dyDescent="0.25">
      <c r="A2395" t="s">
        <v>3335</v>
      </c>
      <c r="B2395" t="s">
        <v>164</v>
      </c>
    </row>
    <row r="2396" spans="1:2" x14ac:dyDescent="0.25">
      <c r="A2396" t="s">
        <v>3336</v>
      </c>
      <c r="B2396" t="s">
        <v>164</v>
      </c>
    </row>
    <row r="2397" spans="1:2" x14ac:dyDescent="0.25">
      <c r="A2397" t="s">
        <v>1026</v>
      </c>
      <c r="B2397" t="s">
        <v>164</v>
      </c>
    </row>
    <row r="2398" spans="1:2" x14ac:dyDescent="0.25">
      <c r="A2398" t="s">
        <v>3337</v>
      </c>
      <c r="B2398" t="s">
        <v>164</v>
      </c>
    </row>
    <row r="2399" spans="1:2" x14ac:dyDescent="0.25">
      <c r="A2399" t="s">
        <v>3338</v>
      </c>
      <c r="B2399" t="s">
        <v>164</v>
      </c>
    </row>
    <row r="2400" spans="1:2" x14ac:dyDescent="0.25">
      <c r="A2400" t="s">
        <v>177</v>
      </c>
      <c r="B2400" t="s">
        <v>164</v>
      </c>
    </row>
    <row r="2401" spans="1:2" x14ac:dyDescent="0.25">
      <c r="A2401" t="s">
        <v>3339</v>
      </c>
      <c r="B2401" t="s">
        <v>164</v>
      </c>
    </row>
    <row r="2402" spans="1:2" x14ac:dyDescent="0.25">
      <c r="A2402" t="s">
        <v>3340</v>
      </c>
      <c r="B2402" t="s">
        <v>164</v>
      </c>
    </row>
    <row r="2403" spans="1:2" x14ac:dyDescent="0.25">
      <c r="A2403" t="s">
        <v>3341</v>
      </c>
      <c r="B2403" t="s">
        <v>164</v>
      </c>
    </row>
    <row r="2404" spans="1:2" x14ac:dyDescent="0.25">
      <c r="A2404" t="s">
        <v>3342</v>
      </c>
      <c r="B2404" t="s">
        <v>164</v>
      </c>
    </row>
    <row r="2405" spans="1:2" x14ac:dyDescent="0.25">
      <c r="A2405" t="s">
        <v>178</v>
      </c>
      <c r="B2405" t="s">
        <v>164</v>
      </c>
    </row>
    <row r="2406" spans="1:2" x14ac:dyDescent="0.25">
      <c r="A2406" t="s">
        <v>3343</v>
      </c>
      <c r="B2406" t="s">
        <v>164</v>
      </c>
    </row>
    <row r="2407" spans="1:2" x14ac:dyDescent="0.25">
      <c r="A2407" t="s">
        <v>3344</v>
      </c>
      <c r="B2407" t="s">
        <v>164</v>
      </c>
    </row>
    <row r="2408" spans="1:2" x14ac:dyDescent="0.25">
      <c r="A2408" t="s">
        <v>3345</v>
      </c>
      <c r="B2408" t="s">
        <v>164</v>
      </c>
    </row>
    <row r="2409" spans="1:2" x14ac:dyDescent="0.25">
      <c r="A2409" t="s">
        <v>652</v>
      </c>
      <c r="B2409" t="s">
        <v>164</v>
      </c>
    </row>
    <row r="2410" spans="1:2" x14ac:dyDescent="0.25">
      <c r="A2410" t="s">
        <v>3346</v>
      </c>
      <c r="B2410" t="s">
        <v>164</v>
      </c>
    </row>
    <row r="2411" spans="1:2" x14ac:dyDescent="0.25">
      <c r="A2411" t="s">
        <v>3347</v>
      </c>
      <c r="B2411" t="s">
        <v>164</v>
      </c>
    </row>
    <row r="2412" spans="1:2" x14ac:dyDescent="0.25">
      <c r="A2412" t="s">
        <v>3348</v>
      </c>
      <c r="B2412" t="s">
        <v>164</v>
      </c>
    </row>
    <row r="2413" spans="1:2" x14ac:dyDescent="0.25">
      <c r="A2413" t="s">
        <v>3349</v>
      </c>
      <c r="B2413" t="s">
        <v>164</v>
      </c>
    </row>
    <row r="2414" spans="1:2" x14ac:dyDescent="0.25">
      <c r="A2414" t="s">
        <v>3350</v>
      </c>
      <c r="B2414" t="s">
        <v>164</v>
      </c>
    </row>
    <row r="2415" spans="1:2" x14ac:dyDescent="0.25">
      <c r="A2415" t="s">
        <v>3351</v>
      </c>
      <c r="B2415" t="s">
        <v>164</v>
      </c>
    </row>
    <row r="2416" spans="1:2" x14ac:dyDescent="0.25">
      <c r="A2416" t="s">
        <v>3352</v>
      </c>
      <c r="B2416" t="s">
        <v>164</v>
      </c>
    </row>
    <row r="2417" spans="1:2" x14ac:dyDescent="0.25">
      <c r="A2417" t="s">
        <v>407</v>
      </c>
      <c r="B2417" t="s">
        <v>164</v>
      </c>
    </row>
    <row r="2418" spans="1:2" x14ac:dyDescent="0.25">
      <c r="A2418" t="s">
        <v>3353</v>
      </c>
      <c r="B2418" t="s">
        <v>164</v>
      </c>
    </row>
    <row r="2419" spans="1:2" x14ac:dyDescent="0.25">
      <c r="A2419" t="s">
        <v>3354</v>
      </c>
      <c r="B2419" t="s">
        <v>164</v>
      </c>
    </row>
    <row r="2420" spans="1:2" x14ac:dyDescent="0.25">
      <c r="A2420" t="s">
        <v>3355</v>
      </c>
      <c r="B2420" t="s">
        <v>164</v>
      </c>
    </row>
    <row r="2421" spans="1:2" x14ac:dyDescent="0.25">
      <c r="A2421" t="s">
        <v>3356</v>
      </c>
      <c r="B2421" t="s">
        <v>164</v>
      </c>
    </row>
    <row r="2422" spans="1:2" x14ac:dyDescent="0.25">
      <c r="A2422" t="s">
        <v>3357</v>
      </c>
      <c r="B2422" t="s">
        <v>164</v>
      </c>
    </row>
    <row r="2423" spans="1:2" x14ac:dyDescent="0.25">
      <c r="A2423" t="s">
        <v>1365</v>
      </c>
      <c r="B2423" t="s">
        <v>164</v>
      </c>
    </row>
    <row r="2424" spans="1:2" x14ac:dyDescent="0.25">
      <c r="A2424" t="s">
        <v>1366</v>
      </c>
      <c r="B2424" t="s">
        <v>164</v>
      </c>
    </row>
    <row r="2425" spans="1:2" x14ac:dyDescent="0.25">
      <c r="A2425" t="s">
        <v>408</v>
      </c>
      <c r="B2425" t="s">
        <v>164</v>
      </c>
    </row>
    <row r="2426" spans="1:2" x14ac:dyDescent="0.25">
      <c r="A2426" t="s">
        <v>1027</v>
      </c>
      <c r="B2426" t="s">
        <v>164</v>
      </c>
    </row>
    <row r="2427" spans="1:2" x14ac:dyDescent="0.25">
      <c r="A2427" t="s">
        <v>1239</v>
      </c>
      <c r="B2427" t="s">
        <v>164</v>
      </c>
    </row>
    <row r="2428" spans="1:2" x14ac:dyDescent="0.25">
      <c r="A2428" t="s">
        <v>1028</v>
      </c>
      <c r="B2428" t="s">
        <v>164</v>
      </c>
    </row>
    <row r="2429" spans="1:2" x14ac:dyDescent="0.25">
      <c r="A2429" t="s">
        <v>1240</v>
      </c>
      <c r="B2429" t="s">
        <v>164</v>
      </c>
    </row>
    <row r="2430" spans="1:2" x14ac:dyDescent="0.25">
      <c r="A2430" t="s">
        <v>409</v>
      </c>
      <c r="B2430" t="s">
        <v>164</v>
      </c>
    </row>
    <row r="2431" spans="1:2" x14ac:dyDescent="0.25">
      <c r="A2431" t="s">
        <v>410</v>
      </c>
      <c r="B2431" t="s">
        <v>164</v>
      </c>
    </row>
    <row r="2432" spans="1:2" x14ac:dyDescent="0.25">
      <c r="A2432" t="s">
        <v>411</v>
      </c>
      <c r="B2432" t="s">
        <v>164</v>
      </c>
    </row>
    <row r="2433" spans="1:2" x14ac:dyDescent="0.25">
      <c r="A2433" t="s">
        <v>412</v>
      </c>
      <c r="B2433" t="s">
        <v>164</v>
      </c>
    </row>
    <row r="2434" spans="1:2" x14ac:dyDescent="0.25">
      <c r="A2434" t="s">
        <v>1029</v>
      </c>
      <c r="B2434" t="s">
        <v>164</v>
      </c>
    </row>
    <row r="2435" spans="1:2" x14ac:dyDescent="0.25">
      <c r="A2435" t="s">
        <v>1241</v>
      </c>
      <c r="B2435" t="s">
        <v>164</v>
      </c>
    </row>
    <row r="2436" spans="1:2" x14ac:dyDescent="0.25">
      <c r="A2436" t="s">
        <v>653</v>
      </c>
      <c r="B2436" t="s">
        <v>164</v>
      </c>
    </row>
    <row r="2437" spans="1:2" x14ac:dyDescent="0.25">
      <c r="A2437" t="s">
        <v>1031</v>
      </c>
      <c r="B2437" t="s">
        <v>164</v>
      </c>
    </row>
    <row r="2438" spans="1:2" x14ac:dyDescent="0.25">
      <c r="A2438" t="s">
        <v>1030</v>
      </c>
      <c r="B2438" t="s">
        <v>164</v>
      </c>
    </row>
    <row r="2439" spans="1:2" x14ac:dyDescent="0.25">
      <c r="A2439" t="s">
        <v>3358</v>
      </c>
      <c r="B2439" t="s">
        <v>164</v>
      </c>
    </row>
    <row r="2440" spans="1:2" x14ac:dyDescent="0.25">
      <c r="A2440" t="s">
        <v>3359</v>
      </c>
      <c r="B2440" t="s">
        <v>164</v>
      </c>
    </row>
    <row r="2441" spans="1:2" x14ac:dyDescent="0.25">
      <c r="A2441" t="s">
        <v>413</v>
      </c>
      <c r="B2441" t="s">
        <v>164</v>
      </c>
    </row>
    <row r="2442" spans="1:2" x14ac:dyDescent="0.25">
      <c r="A2442" t="s">
        <v>414</v>
      </c>
      <c r="B2442" t="s">
        <v>164</v>
      </c>
    </row>
    <row r="2443" spans="1:2" x14ac:dyDescent="0.25">
      <c r="A2443" t="s">
        <v>290</v>
      </c>
      <c r="B2443" t="s">
        <v>164</v>
      </c>
    </row>
    <row r="2444" spans="1:2" x14ac:dyDescent="0.25">
      <c r="A2444" t="s">
        <v>189</v>
      </c>
      <c r="B2444" t="s">
        <v>164</v>
      </c>
    </row>
    <row r="2445" spans="1:2" x14ac:dyDescent="0.25">
      <c r="A2445" t="s">
        <v>192</v>
      </c>
      <c r="B2445" t="s">
        <v>164</v>
      </c>
    </row>
    <row r="2446" spans="1:2" x14ac:dyDescent="0.25">
      <c r="A2446" t="s">
        <v>291</v>
      </c>
      <c r="B2446" t="s">
        <v>164</v>
      </c>
    </row>
    <row r="2447" spans="1:2" x14ac:dyDescent="0.25">
      <c r="A2447" t="s">
        <v>365</v>
      </c>
      <c r="B2447" t="s">
        <v>164</v>
      </c>
    </row>
    <row r="2448" spans="1:2" x14ac:dyDescent="0.25">
      <c r="A2448" t="s">
        <v>415</v>
      </c>
      <c r="B2448" t="s">
        <v>164</v>
      </c>
    </row>
    <row r="2449" spans="1:2" x14ac:dyDescent="0.25">
      <c r="A2449" t="s">
        <v>416</v>
      </c>
      <c r="B2449" t="s">
        <v>164</v>
      </c>
    </row>
    <row r="2450" spans="1:2" x14ac:dyDescent="0.25">
      <c r="A2450" t="s">
        <v>292</v>
      </c>
      <c r="B2450" t="s">
        <v>164</v>
      </c>
    </row>
    <row r="2451" spans="1:2" x14ac:dyDescent="0.25">
      <c r="A2451" t="s">
        <v>417</v>
      </c>
      <c r="B2451" t="s">
        <v>164</v>
      </c>
    </row>
    <row r="2452" spans="1:2" x14ac:dyDescent="0.25">
      <c r="A2452" t="s">
        <v>376</v>
      </c>
      <c r="B2452" t="s">
        <v>164</v>
      </c>
    </row>
    <row r="2453" spans="1:2" x14ac:dyDescent="0.25">
      <c r="A2453" t="s">
        <v>293</v>
      </c>
      <c r="B2453" t="s">
        <v>164</v>
      </c>
    </row>
    <row r="2454" spans="1:2" x14ac:dyDescent="0.25">
      <c r="A2454" t="s">
        <v>193</v>
      </c>
      <c r="B2454" t="s">
        <v>164</v>
      </c>
    </row>
    <row r="2455" spans="1:2" x14ac:dyDescent="0.25">
      <c r="A2455" t="s">
        <v>418</v>
      </c>
      <c r="B2455" t="s">
        <v>164</v>
      </c>
    </row>
    <row r="2456" spans="1:2" x14ac:dyDescent="0.25">
      <c r="A2456" t="s">
        <v>194</v>
      </c>
      <c r="B2456" t="s">
        <v>164</v>
      </c>
    </row>
    <row r="2457" spans="1:2" x14ac:dyDescent="0.25">
      <c r="A2457" t="s">
        <v>195</v>
      </c>
      <c r="B2457" t="s">
        <v>164</v>
      </c>
    </row>
    <row r="2458" spans="1:2" x14ac:dyDescent="0.25">
      <c r="A2458" t="s">
        <v>294</v>
      </c>
      <c r="B2458" t="s">
        <v>164</v>
      </c>
    </row>
    <row r="2459" spans="1:2" x14ac:dyDescent="0.25">
      <c r="A2459" t="s">
        <v>295</v>
      </c>
      <c r="B2459" t="s">
        <v>164</v>
      </c>
    </row>
    <row r="2460" spans="1:2" x14ac:dyDescent="0.25">
      <c r="A2460" t="s">
        <v>296</v>
      </c>
      <c r="B2460" t="s">
        <v>164</v>
      </c>
    </row>
    <row r="2461" spans="1:2" x14ac:dyDescent="0.25">
      <c r="A2461" t="s">
        <v>196</v>
      </c>
      <c r="B2461" t="s">
        <v>164</v>
      </c>
    </row>
    <row r="2462" spans="1:2" x14ac:dyDescent="0.25">
      <c r="A2462" t="s">
        <v>471</v>
      </c>
      <c r="B2462" t="s">
        <v>164</v>
      </c>
    </row>
    <row r="2463" spans="1:2" x14ac:dyDescent="0.25">
      <c r="A2463" t="s">
        <v>297</v>
      </c>
      <c r="B2463" t="s">
        <v>164</v>
      </c>
    </row>
    <row r="2464" spans="1:2" x14ac:dyDescent="0.25">
      <c r="A2464" t="s">
        <v>1032</v>
      </c>
      <c r="B2464" t="s">
        <v>164</v>
      </c>
    </row>
    <row r="2465" spans="1:2" x14ac:dyDescent="0.25">
      <c r="A2465" t="s">
        <v>1033</v>
      </c>
      <c r="B2465" t="s">
        <v>164</v>
      </c>
    </row>
    <row r="2466" spans="1:2" x14ac:dyDescent="0.25">
      <c r="A2466" t="s">
        <v>1035</v>
      </c>
      <c r="B2466" t="s">
        <v>164</v>
      </c>
    </row>
    <row r="2467" spans="1:2" x14ac:dyDescent="0.25">
      <c r="A2467" t="s">
        <v>1038</v>
      </c>
      <c r="B2467" t="s">
        <v>164</v>
      </c>
    </row>
    <row r="2468" spans="1:2" x14ac:dyDescent="0.25">
      <c r="A2468" t="s">
        <v>421</v>
      </c>
      <c r="B2468" t="s">
        <v>164</v>
      </c>
    </row>
    <row r="2469" spans="1:2" x14ac:dyDescent="0.25">
      <c r="A2469" t="s">
        <v>3360</v>
      </c>
      <c r="B2469" t="s">
        <v>164</v>
      </c>
    </row>
    <row r="2470" spans="1:2" x14ac:dyDescent="0.25">
      <c r="A2470" t="s">
        <v>3361</v>
      </c>
      <c r="B2470" t="s">
        <v>164</v>
      </c>
    </row>
    <row r="2471" spans="1:2" x14ac:dyDescent="0.25">
      <c r="A2471" t="s">
        <v>1367</v>
      </c>
      <c r="B2471" t="s">
        <v>164</v>
      </c>
    </row>
    <row r="2472" spans="1:2" x14ac:dyDescent="0.25">
      <c r="A2472" t="s">
        <v>1368</v>
      </c>
      <c r="B2472" t="s">
        <v>164</v>
      </c>
    </row>
    <row r="2473" spans="1:2" x14ac:dyDescent="0.25">
      <c r="A2473" t="s">
        <v>1039</v>
      </c>
      <c r="B2473" t="s">
        <v>164</v>
      </c>
    </row>
    <row r="2474" spans="1:2" x14ac:dyDescent="0.25">
      <c r="A2474" t="s">
        <v>422</v>
      </c>
      <c r="B2474" t="s">
        <v>164</v>
      </c>
    </row>
    <row r="2475" spans="1:2" x14ac:dyDescent="0.25">
      <c r="A2475" t="s">
        <v>423</v>
      </c>
      <c r="B2475" t="s">
        <v>164</v>
      </c>
    </row>
    <row r="2476" spans="1:2" x14ac:dyDescent="0.25">
      <c r="A2476" t="s">
        <v>424</v>
      </c>
      <c r="B2476" t="s">
        <v>164</v>
      </c>
    </row>
    <row r="2477" spans="1:2" x14ac:dyDescent="0.25">
      <c r="A2477" t="s">
        <v>1040</v>
      </c>
      <c r="B2477" t="s">
        <v>164</v>
      </c>
    </row>
    <row r="2478" spans="1:2" x14ac:dyDescent="0.25">
      <c r="A2478" t="s">
        <v>1041</v>
      </c>
      <c r="B2478" t="s">
        <v>164</v>
      </c>
    </row>
    <row r="2479" spans="1:2" x14ac:dyDescent="0.25">
      <c r="A2479" t="s">
        <v>1042</v>
      </c>
      <c r="B2479" t="s">
        <v>164</v>
      </c>
    </row>
    <row r="2480" spans="1:2" x14ac:dyDescent="0.25">
      <c r="A2480" t="s">
        <v>1036</v>
      </c>
      <c r="B2480" t="s">
        <v>164</v>
      </c>
    </row>
    <row r="2481" spans="1:2" x14ac:dyDescent="0.25">
      <c r="A2481" t="s">
        <v>3362</v>
      </c>
      <c r="B2481" t="s">
        <v>164</v>
      </c>
    </row>
    <row r="2482" spans="1:2" x14ac:dyDescent="0.25">
      <c r="A2482" t="s">
        <v>3363</v>
      </c>
      <c r="B2482" t="s">
        <v>164</v>
      </c>
    </row>
    <row r="2483" spans="1:2" x14ac:dyDescent="0.25">
      <c r="A2483" t="s">
        <v>3364</v>
      </c>
      <c r="B2483" t="s">
        <v>164</v>
      </c>
    </row>
    <row r="2484" spans="1:2" x14ac:dyDescent="0.25">
      <c r="A2484" t="s">
        <v>3365</v>
      </c>
      <c r="B2484" t="s">
        <v>164</v>
      </c>
    </row>
    <row r="2485" spans="1:2" x14ac:dyDescent="0.25">
      <c r="A2485" t="s">
        <v>3366</v>
      </c>
      <c r="B2485" t="s">
        <v>164</v>
      </c>
    </row>
    <row r="2486" spans="1:2" x14ac:dyDescent="0.25">
      <c r="A2486" t="s">
        <v>1037</v>
      </c>
      <c r="B2486" t="s">
        <v>164</v>
      </c>
    </row>
    <row r="2487" spans="1:2" x14ac:dyDescent="0.25">
      <c r="A2487" t="s">
        <v>3367</v>
      </c>
      <c r="B2487" t="s">
        <v>164</v>
      </c>
    </row>
    <row r="2488" spans="1:2" x14ac:dyDescent="0.25">
      <c r="A2488" t="s">
        <v>3368</v>
      </c>
      <c r="B2488" t="s">
        <v>164</v>
      </c>
    </row>
    <row r="2489" spans="1:2" x14ac:dyDescent="0.25">
      <c r="A2489" t="s">
        <v>3369</v>
      </c>
      <c r="B2489" t="s">
        <v>164</v>
      </c>
    </row>
    <row r="2490" spans="1:2" x14ac:dyDescent="0.25">
      <c r="A2490" t="s">
        <v>3370</v>
      </c>
      <c r="B2490" t="s">
        <v>164</v>
      </c>
    </row>
    <row r="2491" spans="1:2" x14ac:dyDescent="0.25">
      <c r="A2491" t="s">
        <v>3371</v>
      </c>
      <c r="B2491" t="s">
        <v>164</v>
      </c>
    </row>
    <row r="2492" spans="1:2" x14ac:dyDescent="0.25">
      <c r="A2492" t="s">
        <v>1369</v>
      </c>
      <c r="B2492" t="s">
        <v>164</v>
      </c>
    </row>
    <row r="2493" spans="1:2" x14ac:dyDescent="0.25">
      <c r="A2493" t="s">
        <v>1370</v>
      </c>
      <c r="B2493" t="s">
        <v>164</v>
      </c>
    </row>
    <row r="2494" spans="1:2" x14ac:dyDescent="0.25">
      <c r="A2494" t="s">
        <v>3372</v>
      </c>
      <c r="B2494" t="s">
        <v>164</v>
      </c>
    </row>
    <row r="2495" spans="1:2" x14ac:dyDescent="0.25">
      <c r="A2495" t="s">
        <v>425</v>
      </c>
      <c r="B2495" t="s">
        <v>164</v>
      </c>
    </row>
    <row r="2496" spans="1:2" x14ac:dyDescent="0.25">
      <c r="A2496" t="s">
        <v>419</v>
      </c>
      <c r="B2496" t="s">
        <v>164</v>
      </c>
    </row>
    <row r="2497" spans="1:2" x14ac:dyDescent="0.25">
      <c r="A2497" t="s">
        <v>3373</v>
      </c>
      <c r="B2497" t="s">
        <v>164</v>
      </c>
    </row>
    <row r="2498" spans="1:2" x14ac:dyDescent="0.25">
      <c r="A2498" t="s">
        <v>3374</v>
      </c>
      <c r="B2498" t="s">
        <v>164</v>
      </c>
    </row>
    <row r="2499" spans="1:2" x14ac:dyDescent="0.25">
      <c r="A2499" t="s">
        <v>3375</v>
      </c>
      <c r="B2499" t="s">
        <v>164</v>
      </c>
    </row>
    <row r="2500" spans="1:2" x14ac:dyDescent="0.25">
      <c r="A2500" t="s">
        <v>3376</v>
      </c>
      <c r="B2500" t="s">
        <v>164</v>
      </c>
    </row>
    <row r="2501" spans="1:2" x14ac:dyDescent="0.25">
      <c r="A2501" t="s">
        <v>420</v>
      </c>
      <c r="B2501" t="s">
        <v>164</v>
      </c>
    </row>
    <row r="2502" spans="1:2" x14ac:dyDescent="0.25">
      <c r="A2502" t="s">
        <v>3377</v>
      </c>
      <c r="B2502" t="s">
        <v>164</v>
      </c>
    </row>
    <row r="2503" spans="1:2" x14ac:dyDescent="0.25">
      <c r="A2503" t="s">
        <v>3378</v>
      </c>
      <c r="B2503" t="s">
        <v>164</v>
      </c>
    </row>
    <row r="2504" spans="1:2" x14ac:dyDescent="0.25">
      <c r="A2504" t="s">
        <v>3379</v>
      </c>
      <c r="B2504" t="s">
        <v>164</v>
      </c>
    </row>
    <row r="2505" spans="1:2" x14ac:dyDescent="0.25">
      <c r="A2505" t="s">
        <v>3380</v>
      </c>
      <c r="B2505" t="s">
        <v>164</v>
      </c>
    </row>
    <row r="2506" spans="1:2" x14ac:dyDescent="0.25">
      <c r="A2506" t="s">
        <v>1043</v>
      </c>
      <c r="B2506" t="s">
        <v>164</v>
      </c>
    </row>
    <row r="2507" spans="1:2" x14ac:dyDescent="0.25">
      <c r="A2507" t="s">
        <v>1044</v>
      </c>
      <c r="B2507" t="s">
        <v>164</v>
      </c>
    </row>
    <row r="2508" spans="1:2" x14ac:dyDescent="0.25">
      <c r="A2508" t="s">
        <v>1045</v>
      </c>
      <c r="B2508" t="s">
        <v>164</v>
      </c>
    </row>
    <row r="2509" spans="1:2" x14ac:dyDescent="0.25">
      <c r="A2509" t="s">
        <v>1046</v>
      </c>
      <c r="B2509" t="s">
        <v>164</v>
      </c>
    </row>
    <row r="2510" spans="1:2" x14ac:dyDescent="0.25">
      <c r="A2510" t="s">
        <v>1047</v>
      </c>
      <c r="B2510" t="s">
        <v>164</v>
      </c>
    </row>
    <row r="2511" spans="1:2" x14ac:dyDescent="0.25">
      <c r="A2511" t="s">
        <v>1048</v>
      </c>
      <c r="B2511" t="s">
        <v>164</v>
      </c>
    </row>
    <row r="2512" spans="1:2" x14ac:dyDescent="0.25">
      <c r="A2512" t="s">
        <v>1049</v>
      </c>
      <c r="B2512" t="s">
        <v>164</v>
      </c>
    </row>
    <row r="2513" spans="1:2" x14ac:dyDescent="0.25">
      <c r="A2513" t="s">
        <v>1050</v>
      </c>
      <c r="B2513" t="s">
        <v>164</v>
      </c>
    </row>
    <row r="2514" spans="1:2" x14ac:dyDescent="0.25">
      <c r="A2514" t="s">
        <v>1051</v>
      </c>
      <c r="B2514" t="s">
        <v>164</v>
      </c>
    </row>
    <row r="2515" spans="1:2" x14ac:dyDescent="0.25">
      <c r="A2515" t="s">
        <v>1052</v>
      </c>
      <c r="B2515" t="s">
        <v>164</v>
      </c>
    </row>
    <row r="2516" spans="1:2" x14ac:dyDescent="0.25">
      <c r="A2516" t="s">
        <v>197</v>
      </c>
      <c r="B2516" t="s">
        <v>164</v>
      </c>
    </row>
    <row r="2517" spans="1:2" x14ac:dyDescent="0.25">
      <c r="A2517" t="s">
        <v>1371</v>
      </c>
      <c r="B2517" t="s">
        <v>164</v>
      </c>
    </row>
    <row r="2518" spans="1:2" x14ac:dyDescent="0.25">
      <c r="A2518" t="s">
        <v>1372</v>
      </c>
      <c r="B2518" t="s">
        <v>164</v>
      </c>
    </row>
    <row r="2519" spans="1:2" x14ac:dyDescent="0.25">
      <c r="A2519" t="s">
        <v>1053</v>
      </c>
      <c r="B2519" t="s">
        <v>164</v>
      </c>
    </row>
    <row r="2520" spans="1:2" x14ac:dyDescent="0.25">
      <c r="A2520" t="s">
        <v>198</v>
      </c>
      <c r="B2520" t="s">
        <v>164</v>
      </c>
    </row>
    <row r="2521" spans="1:2" x14ac:dyDescent="0.25">
      <c r="A2521" t="s">
        <v>1054</v>
      </c>
      <c r="B2521" t="s">
        <v>164</v>
      </c>
    </row>
    <row r="2522" spans="1:2" x14ac:dyDescent="0.25">
      <c r="A2522" t="s">
        <v>1055</v>
      </c>
      <c r="B2522" t="s">
        <v>164</v>
      </c>
    </row>
    <row r="2523" spans="1:2" x14ac:dyDescent="0.25">
      <c r="A2523" t="s">
        <v>199</v>
      </c>
      <c r="B2523" t="s">
        <v>164</v>
      </c>
    </row>
    <row r="2524" spans="1:2" x14ac:dyDescent="0.25">
      <c r="A2524" t="s">
        <v>1056</v>
      </c>
      <c r="B2524" t="s">
        <v>164</v>
      </c>
    </row>
    <row r="2525" spans="1:2" x14ac:dyDescent="0.25">
      <c r="A2525" t="s">
        <v>201</v>
      </c>
      <c r="B2525" t="s">
        <v>164</v>
      </c>
    </row>
    <row r="2526" spans="1:2" x14ac:dyDescent="0.25">
      <c r="A2526" t="s">
        <v>202</v>
      </c>
      <c r="B2526" t="s">
        <v>164</v>
      </c>
    </row>
    <row r="2527" spans="1:2" x14ac:dyDescent="0.25">
      <c r="A2527" t="s">
        <v>1057</v>
      </c>
      <c r="B2527" t="s">
        <v>164</v>
      </c>
    </row>
    <row r="2528" spans="1:2" x14ac:dyDescent="0.25">
      <c r="A2528" t="s">
        <v>203</v>
      </c>
      <c r="B2528" t="s">
        <v>164</v>
      </c>
    </row>
    <row r="2529" spans="1:2" x14ac:dyDescent="0.25">
      <c r="A2529" t="s">
        <v>1373</v>
      </c>
      <c r="B2529" t="s">
        <v>164</v>
      </c>
    </row>
    <row r="2530" spans="1:2" x14ac:dyDescent="0.25">
      <c r="A2530" t="s">
        <v>634</v>
      </c>
      <c r="B2530" t="s">
        <v>164</v>
      </c>
    </row>
    <row r="2531" spans="1:2" x14ac:dyDescent="0.25">
      <c r="A2531" t="s">
        <v>1058</v>
      </c>
      <c r="B2531" t="s">
        <v>164</v>
      </c>
    </row>
    <row r="2532" spans="1:2" x14ac:dyDescent="0.25">
      <c r="A2532" t="s">
        <v>472</v>
      </c>
      <c r="B2532" t="s">
        <v>164</v>
      </c>
    </row>
    <row r="2533" spans="1:2" x14ac:dyDescent="0.25">
      <c r="A2533" t="s">
        <v>204</v>
      </c>
      <c r="B2533" t="s">
        <v>164</v>
      </c>
    </row>
    <row r="2534" spans="1:2" x14ac:dyDescent="0.25">
      <c r="A2534" t="s">
        <v>206</v>
      </c>
      <c r="B2534" t="s">
        <v>164</v>
      </c>
    </row>
    <row r="2535" spans="1:2" x14ac:dyDescent="0.25">
      <c r="A2535" t="s">
        <v>1059</v>
      </c>
      <c r="B2535" t="s">
        <v>164</v>
      </c>
    </row>
    <row r="2536" spans="1:2" x14ac:dyDescent="0.25">
      <c r="A2536" t="s">
        <v>1060</v>
      </c>
      <c r="B2536" t="s">
        <v>164</v>
      </c>
    </row>
    <row r="2537" spans="1:2" x14ac:dyDescent="0.25">
      <c r="A2537" t="s">
        <v>1061</v>
      </c>
      <c r="B2537" t="s">
        <v>164</v>
      </c>
    </row>
    <row r="2538" spans="1:2" x14ac:dyDescent="0.25">
      <c r="A2538" t="s">
        <v>1062</v>
      </c>
      <c r="B2538" t="s">
        <v>164</v>
      </c>
    </row>
    <row r="2539" spans="1:2" x14ac:dyDescent="0.25">
      <c r="A2539" t="s">
        <v>1063</v>
      </c>
      <c r="B2539" t="s">
        <v>164</v>
      </c>
    </row>
    <row r="2540" spans="1:2" x14ac:dyDescent="0.25">
      <c r="A2540" t="s">
        <v>426</v>
      </c>
      <c r="B2540" t="s">
        <v>164</v>
      </c>
    </row>
    <row r="2541" spans="1:2" x14ac:dyDescent="0.25">
      <c r="A2541" t="s">
        <v>428</v>
      </c>
      <c r="B2541" t="s">
        <v>164</v>
      </c>
    </row>
    <row r="2542" spans="1:2" x14ac:dyDescent="0.25">
      <c r="A2542" t="s">
        <v>429</v>
      </c>
      <c r="B2542" t="s">
        <v>164</v>
      </c>
    </row>
    <row r="2543" spans="1:2" x14ac:dyDescent="0.25">
      <c r="A2543" t="s">
        <v>430</v>
      </c>
      <c r="B2543" t="s">
        <v>164</v>
      </c>
    </row>
    <row r="2544" spans="1:2" x14ac:dyDescent="0.25">
      <c r="A2544" t="s">
        <v>1064</v>
      </c>
      <c r="B2544" t="s">
        <v>164</v>
      </c>
    </row>
    <row r="2545" spans="1:2" x14ac:dyDescent="0.25">
      <c r="A2545" t="s">
        <v>3381</v>
      </c>
    </row>
    <row r="2546" spans="1:2" x14ac:dyDescent="0.25">
      <c r="A2546" t="s">
        <v>3382</v>
      </c>
    </row>
    <row r="2547" spans="1:2" x14ac:dyDescent="0.25">
      <c r="A2547" t="s">
        <v>431</v>
      </c>
      <c r="B2547" t="s">
        <v>164</v>
      </c>
    </row>
    <row r="2548" spans="1:2" x14ac:dyDescent="0.25">
      <c r="A2548" t="s">
        <v>298</v>
      </c>
      <c r="B2548" t="s">
        <v>164</v>
      </c>
    </row>
    <row r="2549" spans="1:2" x14ac:dyDescent="0.25">
      <c r="A2549" t="s">
        <v>1374</v>
      </c>
      <c r="B2549" t="s">
        <v>164</v>
      </c>
    </row>
    <row r="2550" spans="1:2" x14ac:dyDescent="0.25">
      <c r="A2550" t="s">
        <v>432</v>
      </c>
      <c r="B2550" t="s">
        <v>164</v>
      </c>
    </row>
    <row r="2551" spans="1:2" x14ac:dyDescent="0.25">
      <c r="A2551" t="s">
        <v>207</v>
      </c>
      <c r="B2551" t="s">
        <v>164</v>
      </c>
    </row>
    <row r="2552" spans="1:2" x14ac:dyDescent="0.25">
      <c r="A2552" t="s">
        <v>433</v>
      </c>
      <c r="B2552" t="s">
        <v>164</v>
      </c>
    </row>
    <row r="2553" spans="1:2" x14ac:dyDescent="0.25">
      <c r="A2553" t="s">
        <v>209</v>
      </c>
      <c r="B2553" t="s">
        <v>164</v>
      </c>
    </row>
    <row r="2554" spans="1:2" x14ac:dyDescent="0.25">
      <c r="A2554" t="s">
        <v>434</v>
      </c>
      <c r="B2554" t="s">
        <v>164</v>
      </c>
    </row>
    <row r="2555" spans="1:2" x14ac:dyDescent="0.25">
      <c r="A2555" t="s">
        <v>210</v>
      </c>
      <c r="B2555" t="s">
        <v>164</v>
      </c>
    </row>
    <row r="2556" spans="1:2" x14ac:dyDescent="0.25">
      <c r="A2556" t="s">
        <v>211</v>
      </c>
      <c r="B2556" t="s">
        <v>164</v>
      </c>
    </row>
    <row r="2557" spans="1:2" x14ac:dyDescent="0.25">
      <c r="A2557" t="s">
        <v>435</v>
      </c>
      <c r="B2557" t="s">
        <v>164</v>
      </c>
    </row>
    <row r="2558" spans="1:2" x14ac:dyDescent="0.25">
      <c r="A2558" t="s">
        <v>1065</v>
      </c>
      <c r="B2558" t="s">
        <v>164</v>
      </c>
    </row>
    <row r="2559" spans="1:2" x14ac:dyDescent="0.25">
      <c r="A2559" t="s">
        <v>1066</v>
      </c>
      <c r="B2559" t="s">
        <v>164</v>
      </c>
    </row>
    <row r="2560" spans="1:2" x14ac:dyDescent="0.25">
      <c r="A2560" t="s">
        <v>1067</v>
      </c>
      <c r="B2560" t="s">
        <v>164</v>
      </c>
    </row>
    <row r="2561" spans="1:2" x14ac:dyDescent="0.25">
      <c r="A2561" t="s">
        <v>1068</v>
      </c>
      <c r="B2561" t="s">
        <v>164</v>
      </c>
    </row>
    <row r="2562" spans="1:2" x14ac:dyDescent="0.25">
      <c r="A2562" t="s">
        <v>367</v>
      </c>
      <c r="B2562" t="s">
        <v>164</v>
      </c>
    </row>
    <row r="2563" spans="1:2" x14ac:dyDescent="0.25">
      <c r="A2563" t="s">
        <v>474</v>
      </c>
      <c r="B2563" t="s">
        <v>164</v>
      </c>
    </row>
    <row r="2564" spans="1:2" x14ac:dyDescent="0.25">
      <c r="A2564" t="s">
        <v>1069</v>
      </c>
      <c r="B2564" t="s">
        <v>164</v>
      </c>
    </row>
    <row r="2565" spans="1:2" x14ac:dyDescent="0.25">
      <c r="A2565" t="s">
        <v>212</v>
      </c>
      <c r="B2565" t="s">
        <v>164</v>
      </c>
    </row>
    <row r="2566" spans="1:2" x14ac:dyDescent="0.25">
      <c r="A2566" t="s">
        <v>436</v>
      </c>
      <c r="B2566" t="s">
        <v>164</v>
      </c>
    </row>
    <row r="2567" spans="1:2" x14ac:dyDescent="0.25">
      <c r="A2567" t="s">
        <v>1070</v>
      </c>
      <c r="B2567" t="s">
        <v>164</v>
      </c>
    </row>
    <row r="2568" spans="1:2" x14ac:dyDescent="0.25">
      <c r="A2568" t="s">
        <v>1071</v>
      </c>
      <c r="B2568" t="s">
        <v>164</v>
      </c>
    </row>
    <row r="2569" spans="1:2" x14ac:dyDescent="0.25">
      <c r="A2569" t="s">
        <v>368</v>
      </c>
      <c r="B2569" t="s">
        <v>164</v>
      </c>
    </row>
    <row r="2570" spans="1:2" x14ac:dyDescent="0.25">
      <c r="A2570" t="s">
        <v>438</v>
      </c>
      <c r="B2570" t="s">
        <v>164</v>
      </c>
    </row>
    <row r="2571" spans="1:2" x14ac:dyDescent="0.25">
      <c r="A2571" t="s">
        <v>1072</v>
      </c>
      <c r="B2571" t="s">
        <v>164</v>
      </c>
    </row>
    <row r="2572" spans="1:2" x14ac:dyDescent="0.25">
      <c r="A2572" t="s">
        <v>1073</v>
      </c>
      <c r="B2572" t="s">
        <v>164</v>
      </c>
    </row>
    <row r="2573" spans="1:2" x14ac:dyDescent="0.25">
      <c r="A2573" t="s">
        <v>1074</v>
      </c>
      <c r="B2573" t="s">
        <v>164</v>
      </c>
    </row>
    <row r="2574" spans="1:2" x14ac:dyDescent="0.25">
      <c r="A2574" t="s">
        <v>1375</v>
      </c>
      <c r="B2574" t="s">
        <v>164</v>
      </c>
    </row>
    <row r="2575" spans="1:2" x14ac:dyDescent="0.25">
      <c r="A2575" t="s">
        <v>1075</v>
      </c>
      <c r="B2575" t="s">
        <v>164</v>
      </c>
    </row>
    <row r="2576" spans="1:2" x14ac:dyDescent="0.25">
      <c r="A2576" t="s">
        <v>439</v>
      </c>
      <c r="B2576" t="s">
        <v>164</v>
      </c>
    </row>
    <row r="2577" spans="1:2" x14ac:dyDescent="0.25">
      <c r="A2577" t="s">
        <v>299</v>
      </c>
      <c r="B2577" t="s">
        <v>164</v>
      </c>
    </row>
    <row r="2578" spans="1:2" x14ac:dyDescent="0.25">
      <c r="A2578" t="s">
        <v>440</v>
      </c>
      <c r="B2578" t="s">
        <v>164</v>
      </c>
    </row>
    <row r="2579" spans="1:2" x14ac:dyDescent="0.25">
      <c r="A2579" t="s">
        <v>214</v>
      </c>
      <c r="B2579" t="s">
        <v>164</v>
      </c>
    </row>
    <row r="2580" spans="1:2" x14ac:dyDescent="0.25">
      <c r="A2580" t="s">
        <v>369</v>
      </c>
      <c r="B2580" t="s">
        <v>164</v>
      </c>
    </row>
    <row r="2581" spans="1:2" x14ac:dyDescent="0.25">
      <c r="A2581" t="s">
        <v>441</v>
      </c>
      <c r="B2581" t="s">
        <v>164</v>
      </c>
    </row>
    <row r="2582" spans="1:2" x14ac:dyDescent="0.25">
      <c r="A2582" t="s">
        <v>442</v>
      </c>
      <c r="B2582" t="s">
        <v>164</v>
      </c>
    </row>
    <row r="2583" spans="1:2" x14ac:dyDescent="0.25">
      <c r="A2583" t="s">
        <v>443</v>
      </c>
      <c r="B2583" t="s">
        <v>164</v>
      </c>
    </row>
    <row r="2584" spans="1:2" x14ac:dyDescent="0.25">
      <c r="A2584" t="s">
        <v>370</v>
      </c>
      <c r="B2584" t="s">
        <v>164</v>
      </c>
    </row>
    <row r="2585" spans="1:2" x14ac:dyDescent="0.25">
      <c r="A2585" t="s">
        <v>300</v>
      </c>
      <c r="B2585" t="s">
        <v>164</v>
      </c>
    </row>
    <row r="2586" spans="1:2" x14ac:dyDescent="0.25">
      <c r="A2586" t="s">
        <v>215</v>
      </c>
      <c r="B2586" t="s">
        <v>164</v>
      </c>
    </row>
    <row r="2587" spans="1:2" x14ac:dyDescent="0.25">
      <c r="A2587" t="s">
        <v>444</v>
      </c>
      <c r="B2587" t="s">
        <v>164</v>
      </c>
    </row>
    <row r="2588" spans="1:2" x14ac:dyDescent="0.25">
      <c r="A2588" t="s">
        <v>445</v>
      </c>
      <c r="B2588" t="s">
        <v>164</v>
      </c>
    </row>
    <row r="2589" spans="1:2" x14ac:dyDescent="0.25">
      <c r="A2589" t="s">
        <v>446</v>
      </c>
      <c r="B2589" t="s">
        <v>164</v>
      </c>
    </row>
    <row r="2590" spans="1:2" x14ac:dyDescent="0.25">
      <c r="A2590" t="s">
        <v>447</v>
      </c>
      <c r="B2590" t="s">
        <v>164</v>
      </c>
    </row>
    <row r="2591" spans="1:2" x14ac:dyDescent="0.25">
      <c r="A2591" t="s">
        <v>448</v>
      </c>
      <c r="B2591" t="s">
        <v>164</v>
      </c>
    </row>
    <row r="2592" spans="1:2" x14ac:dyDescent="0.25">
      <c r="A2592" t="s">
        <v>449</v>
      </c>
      <c r="B2592" t="s">
        <v>164</v>
      </c>
    </row>
    <row r="2593" spans="1:2" x14ac:dyDescent="0.25">
      <c r="A2593" t="s">
        <v>450</v>
      </c>
      <c r="B2593" t="s">
        <v>164</v>
      </c>
    </row>
    <row r="2594" spans="1:2" x14ac:dyDescent="0.25">
      <c r="A2594" t="s">
        <v>451</v>
      </c>
      <c r="B2594" t="s">
        <v>164</v>
      </c>
    </row>
    <row r="2595" spans="1:2" x14ac:dyDescent="0.25">
      <c r="A2595" t="s">
        <v>452</v>
      </c>
      <c r="B2595" t="s">
        <v>164</v>
      </c>
    </row>
    <row r="2596" spans="1:2" x14ac:dyDescent="0.25">
      <c r="A2596" t="s">
        <v>453</v>
      </c>
      <c r="B2596" t="s">
        <v>164</v>
      </c>
    </row>
    <row r="2597" spans="1:2" x14ac:dyDescent="0.25">
      <c r="A2597" t="s">
        <v>454</v>
      </c>
      <c r="B2597" t="s">
        <v>164</v>
      </c>
    </row>
    <row r="2598" spans="1:2" x14ac:dyDescent="0.25">
      <c r="A2598" t="s">
        <v>455</v>
      </c>
      <c r="B2598" t="s">
        <v>164</v>
      </c>
    </row>
    <row r="2599" spans="1:2" x14ac:dyDescent="0.25">
      <c r="A2599" t="s">
        <v>456</v>
      </c>
      <c r="B2599" t="s">
        <v>164</v>
      </c>
    </row>
    <row r="2600" spans="1:2" x14ac:dyDescent="0.25">
      <c r="A2600" t="s">
        <v>457</v>
      </c>
      <c r="B2600" t="s">
        <v>164</v>
      </c>
    </row>
    <row r="2601" spans="1:2" x14ac:dyDescent="0.25">
      <c r="A2601" t="s">
        <v>458</v>
      </c>
      <c r="B2601" t="s">
        <v>164</v>
      </c>
    </row>
    <row r="2602" spans="1:2" x14ac:dyDescent="0.25">
      <c r="A2602" t="s">
        <v>459</v>
      </c>
      <c r="B2602" t="s">
        <v>164</v>
      </c>
    </row>
    <row r="2603" spans="1:2" x14ac:dyDescent="0.25">
      <c r="A2603" t="s">
        <v>460</v>
      </c>
      <c r="B2603" t="s">
        <v>164</v>
      </c>
    </row>
    <row r="2604" spans="1:2" x14ac:dyDescent="0.25">
      <c r="A2604" t="s">
        <v>461</v>
      </c>
      <c r="B2604" t="s">
        <v>164</v>
      </c>
    </row>
    <row r="2605" spans="1:2" x14ac:dyDescent="0.25">
      <c r="A2605" t="s">
        <v>462</v>
      </c>
      <c r="B2605" t="s">
        <v>164</v>
      </c>
    </row>
    <row r="2606" spans="1:2" x14ac:dyDescent="0.25">
      <c r="A2606" t="s">
        <v>463</v>
      </c>
      <c r="B2606" t="s">
        <v>164</v>
      </c>
    </row>
    <row r="2607" spans="1:2" x14ac:dyDescent="0.25">
      <c r="A2607" t="s">
        <v>3383</v>
      </c>
    </row>
    <row r="2608" spans="1:2" x14ac:dyDescent="0.25">
      <c r="A2608" t="s">
        <v>654</v>
      </c>
      <c r="B2608" t="s">
        <v>164</v>
      </c>
    </row>
    <row r="2609" spans="1:2" x14ac:dyDescent="0.25">
      <c r="A2609" t="s">
        <v>1076</v>
      </c>
      <c r="B2609" t="s">
        <v>164</v>
      </c>
    </row>
    <row r="2610" spans="1:2" x14ac:dyDescent="0.25">
      <c r="A2610" t="s">
        <v>216</v>
      </c>
      <c r="B2610" t="s">
        <v>164</v>
      </c>
    </row>
    <row r="2611" spans="1:2" x14ac:dyDescent="0.25">
      <c r="A2611" t="s">
        <v>218</v>
      </c>
      <c r="B2611" t="s">
        <v>164</v>
      </c>
    </row>
    <row r="2612" spans="1:2" x14ac:dyDescent="0.25">
      <c r="A2612" t="s">
        <v>219</v>
      </c>
      <c r="B2612" t="s">
        <v>164</v>
      </c>
    </row>
    <row r="2613" spans="1:2" x14ac:dyDescent="0.25">
      <c r="A2613" t="s">
        <v>1077</v>
      </c>
      <c r="B2613" t="s">
        <v>164</v>
      </c>
    </row>
    <row r="2614" spans="1:2" x14ac:dyDescent="0.25">
      <c r="A2614" t="s">
        <v>220</v>
      </c>
      <c r="B2614" t="s">
        <v>164</v>
      </c>
    </row>
    <row r="2615" spans="1:2" x14ac:dyDescent="0.25">
      <c r="A2615" t="s">
        <v>537</v>
      </c>
      <c r="B2615" t="s">
        <v>164</v>
      </c>
    </row>
    <row r="2616" spans="1:2" x14ac:dyDescent="0.25">
      <c r="A2616" t="s">
        <v>221</v>
      </c>
      <c r="B2616" t="s">
        <v>164</v>
      </c>
    </row>
    <row r="2617" spans="1:2" x14ac:dyDescent="0.25">
      <c r="A2617" t="s">
        <v>1078</v>
      </c>
      <c r="B2617" t="s">
        <v>164</v>
      </c>
    </row>
    <row r="2618" spans="1:2" x14ac:dyDescent="0.25">
      <c r="A2618" t="s">
        <v>222</v>
      </c>
      <c r="B2618" t="s">
        <v>164</v>
      </c>
    </row>
    <row r="2619" spans="1:2" x14ac:dyDescent="0.25">
      <c r="A2619" t="s">
        <v>536</v>
      </c>
      <c r="B2619" t="s">
        <v>164</v>
      </c>
    </row>
    <row r="2620" spans="1:2" x14ac:dyDescent="0.25">
      <c r="A2620" t="s">
        <v>1376</v>
      </c>
      <c r="B2620" t="s">
        <v>164</v>
      </c>
    </row>
    <row r="2621" spans="1:2" x14ac:dyDescent="0.25">
      <c r="A2621" t="s">
        <v>301</v>
      </c>
      <c r="B2621" t="s">
        <v>164</v>
      </c>
    </row>
    <row r="2622" spans="1:2" x14ac:dyDescent="0.25">
      <c r="A2622" t="s">
        <v>1079</v>
      </c>
      <c r="B2622" t="s">
        <v>164</v>
      </c>
    </row>
    <row r="2623" spans="1:2" x14ac:dyDescent="0.25">
      <c r="A2623" t="s">
        <v>1080</v>
      </c>
      <c r="B2623" t="s">
        <v>164</v>
      </c>
    </row>
    <row r="2624" spans="1:2" x14ac:dyDescent="0.25">
      <c r="A2624" t="s">
        <v>1081</v>
      </c>
      <c r="B2624" t="s">
        <v>164</v>
      </c>
    </row>
    <row r="2625" spans="1:2" x14ac:dyDescent="0.25">
      <c r="A2625" t="s">
        <v>1082</v>
      </c>
      <c r="B2625" t="s">
        <v>164</v>
      </c>
    </row>
    <row r="2626" spans="1:2" x14ac:dyDescent="0.25">
      <c r="A2626" t="s">
        <v>1242</v>
      </c>
      <c r="B2626" t="s">
        <v>164</v>
      </c>
    </row>
    <row r="2627" spans="1:2" x14ac:dyDescent="0.25">
      <c r="A2627" t="s">
        <v>1083</v>
      </c>
      <c r="B2627" t="s">
        <v>164</v>
      </c>
    </row>
    <row r="2628" spans="1:2" x14ac:dyDescent="0.25">
      <c r="A2628" t="s">
        <v>1084</v>
      </c>
      <c r="B2628" t="s">
        <v>164</v>
      </c>
    </row>
    <row r="2629" spans="1:2" x14ac:dyDescent="0.25">
      <c r="A2629" t="s">
        <v>1085</v>
      </c>
      <c r="B2629" t="s">
        <v>164</v>
      </c>
    </row>
    <row r="2630" spans="1:2" x14ac:dyDescent="0.25">
      <c r="A2630" t="s">
        <v>1086</v>
      </c>
      <c r="B2630" t="s">
        <v>164</v>
      </c>
    </row>
    <row r="2631" spans="1:2" x14ac:dyDescent="0.25">
      <c r="A2631" t="s">
        <v>1087</v>
      </c>
      <c r="B2631" t="s">
        <v>164</v>
      </c>
    </row>
    <row r="2632" spans="1:2" x14ac:dyDescent="0.25">
      <c r="A2632" t="s">
        <v>1088</v>
      </c>
      <c r="B2632" t="s">
        <v>164</v>
      </c>
    </row>
    <row r="2633" spans="1:2" x14ac:dyDescent="0.25">
      <c r="A2633" t="s">
        <v>1089</v>
      </c>
      <c r="B2633" t="s">
        <v>164</v>
      </c>
    </row>
    <row r="2634" spans="1:2" x14ac:dyDescent="0.25">
      <c r="A2634" t="s">
        <v>1090</v>
      </c>
      <c r="B2634" t="s">
        <v>164</v>
      </c>
    </row>
    <row r="2635" spans="1:2" x14ac:dyDescent="0.25">
      <c r="A2635" t="s">
        <v>1091</v>
      </c>
      <c r="B2635" t="s">
        <v>164</v>
      </c>
    </row>
    <row r="2636" spans="1:2" x14ac:dyDescent="0.25">
      <c r="A2636" t="s">
        <v>1377</v>
      </c>
      <c r="B2636" t="s">
        <v>164</v>
      </c>
    </row>
    <row r="2637" spans="1:2" x14ac:dyDescent="0.25">
      <c r="A2637" t="s">
        <v>1378</v>
      </c>
      <c r="B2637" t="s">
        <v>164</v>
      </c>
    </row>
    <row r="2638" spans="1:2" x14ac:dyDescent="0.25">
      <c r="A2638" t="s">
        <v>475</v>
      </c>
      <c r="B2638" t="s">
        <v>164</v>
      </c>
    </row>
    <row r="2639" spans="1:2" x14ac:dyDescent="0.25">
      <c r="A2639" t="s">
        <v>1092</v>
      </c>
      <c r="B2639" t="s">
        <v>164</v>
      </c>
    </row>
    <row r="2640" spans="1:2" x14ac:dyDescent="0.25">
      <c r="A2640" t="s">
        <v>1093</v>
      </c>
      <c r="B2640" t="s">
        <v>164</v>
      </c>
    </row>
    <row r="2641" spans="1:2" x14ac:dyDescent="0.25">
      <c r="A2641" t="s">
        <v>464</v>
      </c>
      <c r="B2641" t="s">
        <v>164</v>
      </c>
    </row>
    <row r="2642" spans="1:2" x14ac:dyDescent="0.25">
      <c r="A2642" t="s">
        <v>1094</v>
      </c>
      <c r="B2642" t="s">
        <v>164</v>
      </c>
    </row>
    <row r="2643" spans="1:2" x14ac:dyDescent="0.25">
      <c r="A2643" t="s">
        <v>1379</v>
      </c>
      <c r="B2643" t="s">
        <v>164</v>
      </c>
    </row>
    <row r="2644" spans="1:2" x14ac:dyDescent="0.25">
      <c r="A2644" t="s">
        <v>1095</v>
      </c>
      <c r="B2644" t="s">
        <v>164</v>
      </c>
    </row>
    <row r="2645" spans="1:2" x14ac:dyDescent="0.25">
      <c r="A2645" t="s">
        <v>1380</v>
      </c>
      <c r="B2645" t="s">
        <v>164</v>
      </c>
    </row>
    <row r="2646" spans="1:2" x14ac:dyDescent="0.25">
      <c r="A2646" t="s">
        <v>302</v>
      </c>
      <c r="B2646" t="s">
        <v>164</v>
      </c>
    </row>
    <row r="2647" spans="1:2" x14ac:dyDescent="0.25">
      <c r="A2647" t="s">
        <v>1096</v>
      </c>
      <c r="B2647" t="s">
        <v>164</v>
      </c>
    </row>
    <row r="2648" spans="1:2" x14ac:dyDescent="0.25">
      <c r="A2648" t="s">
        <v>1097</v>
      </c>
      <c r="B2648" t="s">
        <v>164</v>
      </c>
    </row>
    <row r="2649" spans="1:2" x14ac:dyDescent="0.25">
      <c r="A2649" t="s">
        <v>1098</v>
      </c>
      <c r="B2649" t="s">
        <v>164</v>
      </c>
    </row>
    <row r="2650" spans="1:2" x14ac:dyDescent="0.25">
      <c r="A2650" t="s">
        <v>1099</v>
      </c>
      <c r="B2650" t="s">
        <v>164</v>
      </c>
    </row>
    <row r="2651" spans="1:2" x14ac:dyDescent="0.25">
      <c r="A2651" t="s">
        <v>1100</v>
      </c>
      <c r="B2651" t="s">
        <v>164</v>
      </c>
    </row>
    <row r="2652" spans="1:2" x14ac:dyDescent="0.25">
      <c r="A2652" t="s">
        <v>1101</v>
      </c>
      <c r="B2652" t="s">
        <v>164</v>
      </c>
    </row>
    <row r="2653" spans="1:2" x14ac:dyDescent="0.25">
      <c r="A2653" t="s">
        <v>1102</v>
      </c>
      <c r="B2653" t="s">
        <v>164</v>
      </c>
    </row>
    <row r="2654" spans="1:2" x14ac:dyDescent="0.25">
      <c r="A2654" t="s">
        <v>1381</v>
      </c>
      <c r="B2654" t="s">
        <v>164</v>
      </c>
    </row>
    <row r="2655" spans="1:2" x14ac:dyDescent="0.25">
      <c r="A2655" t="s">
        <v>1382</v>
      </c>
      <c r="B2655" t="s">
        <v>164</v>
      </c>
    </row>
    <row r="2656" spans="1:2" x14ac:dyDescent="0.25">
      <c r="A2656" t="s">
        <v>1103</v>
      </c>
      <c r="B2656" t="s">
        <v>164</v>
      </c>
    </row>
    <row r="2657" spans="1:2" x14ac:dyDescent="0.25">
      <c r="A2657" t="s">
        <v>465</v>
      </c>
      <c r="B2657" t="s">
        <v>164</v>
      </c>
    </row>
    <row r="2658" spans="1:2" x14ac:dyDescent="0.25">
      <c r="A2658" t="s">
        <v>1104</v>
      </c>
      <c r="B2658" t="s">
        <v>164</v>
      </c>
    </row>
    <row r="2659" spans="1:2" x14ac:dyDescent="0.25">
      <c r="A2659" t="s">
        <v>1383</v>
      </c>
      <c r="B2659" t="s">
        <v>164</v>
      </c>
    </row>
    <row r="2660" spans="1:2" x14ac:dyDescent="0.25">
      <c r="A2660" t="s">
        <v>466</v>
      </c>
      <c r="B2660" t="s">
        <v>164</v>
      </c>
    </row>
    <row r="2661" spans="1:2" x14ac:dyDescent="0.25">
      <c r="A2661" t="s">
        <v>223</v>
      </c>
      <c r="B2661" t="s">
        <v>164</v>
      </c>
    </row>
    <row r="2662" spans="1:2" x14ac:dyDescent="0.25">
      <c r="A2662" t="s">
        <v>224</v>
      </c>
      <c r="B2662" t="s">
        <v>164</v>
      </c>
    </row>
    <row r="2663" spans="1:2" x14ac:dyDescent="0.25">
      <c r="A2663" t="s">
        <v>467</v>
      </c>
      <c r="B2663" t="s">
        <v>164</v>
      </c>
    </row>
    <row r="2664" spans="1:2" x14ac:dyDescent="0.25">
      <c r="A2664" t="s">
        <v>476</v>
      </c>
      <c r="B2664" t="s">
        <v>164</v>
      </c>
    </row>
    <row r="2665" spans="1:2" x14ac:dyDescent="0.25">
      <c r="A2665" t="s">
        <v>1105</v>
      </c>
      <c r="B2665" t="s">
        <v>164</v>
      </c>
    </row>
    <row r="2666" spans="1:2" x14ac:dyDescent="0.25">
      <c r="A2666" t="s">
        <v>1106</v>
      </c>
      <c r="B2666" t="s">
        <v>164</v>
      </c>
    </row>
    <row r="2667" spans="1:2" x14ac:dyDescent="0.25">
      <c r="A2667" t="s">
        <v>1107</v>
      </c>
      <c r="B2667" t="s">
        <v>164</v>
      </c>
    </row>
    <row r="2668" spans="1:2" x14ac:dyDescent="0.25">
      <c r="A2668" t="s">
        <v>1384</v>
      </c>
      <c r="B2668" t="s">
        <v>164</v>
      </c>
    </row>
    <row r="2669" spans="1:2" x14ac:dyDescent="0.25">
      <c r="A2669" t="s">
        <v>1108</v>
      </c>
      <c r="B2669" t="s">
        <v>164</v>
      </c>
    </row>
    <row r="2670" spans="1:2" x14ac:dyDescent="0.25">
      <c r="A2670" t="s">
        <v>1109</v>
      </c>
      <c r="B2670" t="s">
        <v>164</v>
      </c>
    </row>
    <row r="2671" spans="1:2" x14ac:dyDescent="0.25">
      <c r="A2671" t="s">
        <v>1110</v>
      </c>
      <c r="B2671" t="s">
        <v>1111</v>
      </c>
    </row>
    <row r="2672" spans="1:2" x14ac:dyDescent="0.25">
      <c r="A2672" t="s">
        <v>1112</v>
      </c>
      <c r="B2672" t="s">
        <v>1114</v>
      </c>
    </row>
    <row r="2673" spans="1:2" x14ac:dyDescent="0.25">
      <c r="A2673" t="s">
        <v>1115</v>
      </c>
      <c r="B2673" t="s">
        <v>1114</v>
      </c>
    </row>
    <row r="2674" spans="1:2" x14ac:dyDescent="0.25">
      <c r="A2674" t="s">
        <v>303</v>
      </c>
      <c r="B2674" t="s">
        <v>304</v>
      </c>
    </row>
    <row r="2675" spans="1:2" x14ac:dyDescent="0.25">
      <c r="A2675" t="s">
        <v>1385</v>
      </c>
      <c r="B2675" t="s">
        <v>227</v>
      </c>
    </row>
    <row r="2676" spans="1:2" x14ac:dyDescent="0.25">
      <c r="A2676" t="s">
        <v>3384</v>
      </c>
      <c r="B2676" t="s">
        <v>227</v>
      </c>
    </row>
    <row r="2677" spans="1:2" x14ac:dyDescent="0.25">
      <c r="A2677" t="s">
        <v>225</v>
      </c>
      <c r="B2677" t="s">
        <v>227</v>
      </c>
    </row>
    <row r="2678" spans="1:2" x14ac:dyDescent="0.25">
      <c r="A2678" t="s">
        <v>1120</v>
      </c>
      <c r="B2678" t="s">
        <v>227</v>
      </c>
    </row>
    <row r="2679" spans="1:2" x14ac:dyDescent="0.25">
      <c r="A2679" t="s">
        <v>1121</v>
      </c>
      <c r="B2679" t="s">
        <v>227</v>
      </c>
    </row>
    <row r="2680" spans="1:2" x14ac:dyDescent="0.25">
      <c r="A2680" t="s">
        <v>1386</v>
      </c>
      <c r="B2680" t="s">
        <v>227</v>
      </c>
    </row>
    <row r="2681" spans="1:2" x14ac:dyDescent="0.25">
      <c r="A2681" t="s">
        <v>1122</v>
      </c>
      <c r="B2681" t="s">
        <v>227</v>
      </c>
    </row>
    <row r="2682" spans="1:2" x14ac:dyDescent="0.25">
      <c r="A2682" t="s">
        <v>1123</v>
      </c>
      <c r="B2682" t="s">
        <v>227</v>
      </c>
    </row>
    <row r="2683" spans="1:2" x14ac:dyDescent="0.25">
      <c r="A2683" t="s">
        <v>1124</v>
      </c>
      <c r="B2683" t="s">
        <v>1125</v>
      </c>
    </row>
    <row r="2684" spans="1:2" x14ac:dyDescent="0.25">
      <c r="A2684" t="s">
        <v>1126</v>
      </c>
      <c r="B2684" t="s">
        <v>1125</v>
      </c>
    </row>
    <row r="2685" spans="1:2" x14ac:dyDescent="0.25">
      <c r="A2685" t="s">
        <v>1127</v>
      </c>
      <c r="B2685" t="s">
        <v>1128</v>
      </c>
    </row>
    <row r="2686" spans="1:2" x14ac:dyDescent="0.25">
      <c r="A2686" t="s">
        <v>3385</v>
      </c>
      <c r="B2686" t="s">
        <v>1387</v>
      </c>
    </row>
    <row r="2687" spans="1:2" x14ac:dyDescent="0.25">
      <c r="A2687" t="s">
        <v>1132</v>
      </c>
      <c r="B2687" t="s">
        <v>1119</v>
      </c>
    </row>
    <row r="2688" spans="1:2" x14ac:dyDescent="0.25">
      <c r="A2688" t="s">
        <v>1133</v>
      </c>
      <c r="B2688" t="s">
        <v>1119</v>
      </c>
    </row>
    <row r="2689" spans="1:2" x14ac:dyDescent="0.25">
      <c r="A2689" t="s">
        <v>1388</v>
      </c>
      <c r="B2689" t="s">
        <v>1119</v>
      </c>
    </row>
    <row r="2690" spans="1:2" x14ac:dyDescent="0.25">
      <c r="A2690" t="s">
        <v>1116</v>
      </c>
      <c r="B2690" t="s">
        <v>1119</v>
      </c>
    </row>
    <row r="2691" spans="1:2" x14ac:dyDescent="0.25">
      <c r="A2691" t="s">
        <v>3386</v>
      </c>
      <c r="B2691" t="s">
        <v>1119</v>
      </c>
    </row>
    <row r="2692" spans="1:2" x14ac:dyDescent="0.25">
      <c r="A2692" t="s">
        <v>3387</v>
      </c>
      <c r="B2692" t="s">
        <v>1119</v>
      </c>
    </row>
    <row r="2693" spans="1:2" x14ac:dyDescent="0.25">
      <c r="A2693" t="s">
        <v>3388</v>
      </c>
      <c r="B2693" t="s">
        <v>1119</v>
      </c>
    </row>
    <row r="2694" spans="1:2" x14ac:dyDescent="0.25">
      <c r="A2694" t="s">
        <v>1136</v>
      </c>
      <c r="B2694" t="s">
        <v>1119</v>
      </c>
    </row>
    <row r="2695" spans="1:2" x14ac:dyDescent="0.25">
      <c r="A2695" t="s">
        <v>1140</v>
      </c>
      <c r="B2695" t="s">
        <v>1119</v>
      </c>
    </row>
    <row r="2696" spans="1:2" x14ac:dyDescent="0.25">
      <c r="A2696" t="s">
        <v>1129</v>
      </c>
      <c r="B2696" t="s">
        <v>1119</v>
      </c>
    </row>
    <row r="2697" spans="1:2" x14ac:dyDescent="0.25">
      <c r="A2697" t="s">
        <v>3389</v>
      </c>
      <c r="B2697" t="s">
        <v>1119</v>
      </c>
    </row>
    <row r="2698" spans="1:2" x14ac:dyDescent="0.25">
      <c r="A2698" t="s">
        <v>3390</v>
      </c>
      <c r="B2698" t="s">
        <v>1119</v>
      </c>
    </row>
    <row r="2699" spans="1:2" x14ac:dyDescent="0.25">
      <c r="A2699" t="s">
        <v>1141</v>
      </c>
      <c r="B2699" t="s">
        <v>1119</v>
      </c>
    </row>
    <row r="2700" spans="1:2" x14ac:dyDescent="0.25">
      <c r="A2700" t="s">
        <v>1142</v>
      </c>
      <c r="B2700" t="s">
        <v>1119</v>
      </c>
    </row>
    <row r="2701" spans="1:2" x14ac:dyDescent="0.25">
      <c r="A2701" t="s">
        <v>1143</v>
      </c>
      <c r="B2701" t="s">
        <v>1119</v>
      </c>
    </row>
    <row r="2702" spans="1:2" x14ac:dyDescent="0.25">
      <c r="A2702" t="s">
        <v>1145</v>
      </c>
      <c r="B2702" t="s">
        <v>1119</v>
      </c>
    </row>
    <row r="2703" spans="1:2" x14ac:dyDescent="0.25">
      <c r="A2703" t="s">
        <v>1130</v>
      </c>
      <c r="B2703" t="s">
        <v>1119</v>
      </c>
    </row>
    <row r="2704" spans="1:2" x14ac:dyDescent="0.25">
      <c r="A2704" t="s">
        <v>3391</v>
      </c>
      <c r="B2704" t="s">
        <v>1119</v>
      </c>
    </row>
    <row r="2705" spans="1:2" x14ac:dyDescent="0.25">
      <c r="A2705" t="s">
        <v>3392</v>
      </c>
      <c r="B2705" t="s">
        <v>1119</v>
      </c>
    </row>
    <row r="2706" spans="1:2" x14ac:dyDescent="0.25">
      <c r="A2706" t="s">
        <v>1146</v>
      </c>
      <c r="B2706" t="s">
        <v>1119</v>
      </c>
    </row>
    <row r="2707" spans="1:2" x14ac:dyDescent="0.25">
      <c r="A2707" t="s">
        <v>1147</v>
      </c>
      <c r="B2707" t="s">
        <v>1119</v>
      </c>
    </row>
    <row r="2708" spans="1:2" x14ac:dyDescent="0.25">
      <c r="A2708" t="s">
        <v>1148</v>
      </c>
      <c r="B2708" t="s">
        <v>1119</v>
      </c>
    </row>
    <row r="2709" spans="1:2" x14ac:dyDescent="0.25">
      <c r="A2709" t="s">
        <v>1134</v>
      </c>
      <c r="B2709" t="s">
        <v>1119</v>
      </c>
    </row>
    <row r="2710" spans="1:2" x14ac:dyDescent="0.25">
      <c r="A2710" t="s">
        <v>3393</v>
      </c>
      <c r="B2710" t="s">
        <v>1119</v>
      </c>
    </row>
    <row r="2711" spans="1:2" x14ac:dyDescent="0.25">
      <c r="A2711" t="s">
        <v>3394</v>
      </c>
      <c r="B2711" t="s">
        <v>1119</v>
      </c>
    </row>
    <row r="2712" spans="1:2" x14ac:dyDescent="0.25">
      <c r="A2712" t="s">
        <v>1149</v>
      </c>
      <c r="B2712" t="s">
        <v>1119</v>
      </c>
    </row>
    <row r="2713" spans="1:2" x14ac:dyDescent="0.25">
      <c r="A2713" t="s">
        <v>1151</v>
      </c>
      <c r="B2713" t="s">
        <v>1119</v>
      </c>
    </row>
    <row r="2714" spans="1:2" x14ac:dyDescent="0.25">
      <c r="A2714" t="s">
        <v>1389</v>
      </c>
      <c r="B2714" t="s">
        <v>1119</v>
      </c>
    </row>
    <row r="2715" spans="1:2" x14ac:dyDescent="0.25">
      <c r="A2715" t="s">
        <v>1391</v>
      </c>
      <c r="B2715" t="s">
        <v>1119</v>
      </c>
    </row>
    <row r="2716" spans="1:2" x14ac:dyDescent="0.25">
      <c r="A2716" t="s">
        <v>1138</v>
      </c>
      <c r="B2716" t="s">
        <v>1119</v>
      </c>
    </row>
    <row r="2717" spans="1:2" x14ac:dyDescent="0.25">
      <c r="A2717" t="s">
        <v>3395</v>
      </c>
      <c r="B2717" t="s">
        <v>1119</v>
      </c>
    </row>
    <row r="2718" spans="1:2" x14ac:dyDescent="0.25">
      <c r="A2718" t="s">
        <v>3396</v>
      </c>
      <c r="B2718" t="s">
        <v>1119</v>
      </c>
    </row>
    <row r="2719" spans="1:2" x14ac:dyDescent="0.25">
      <c r="A2719" t="s">
        <v>1152</v>
      </c>
      <c r="B2719" t="s">
        <v>1119</v>
      </c>
    </row>
    <row r="2720" spans="1:2" x14ac:dyDescent="0.25">
      <c r="A2720" t="s">
        <v>1153</v>
      </c>
      <c r="B2720" t="s">
        <v>1119</v>
      </c>
    </row>
    <row r="2721" spans="1:2" x14ac:dyDescent="0.25">
      <c r="A2721" t="s">
        <v>1392</v>
      </c>
      <c r="B2721" t="s">
        <v>1119</v>
      </c>
    </row>
    <row r="2722" spans="1:2" x14ac:dyDescent="0.25">
      <c r="A2722" t="s">
        <v>1155</v>
      </c>
      <c r="B2722" t="s">
        <v>1119</v>
      </c>
    </row>
    <row r="2723" spans="1:2" x14ac:dyDescent="0.25">
      <c r="A2723" t="s">
        <v>1156</v>
      </c>
      <c r="B2723" t="s">
        <v>1119</v>
      </c>
    </row>
    <row r="2724" spans="1:2" x14ac:dyDescent="0.25">
      <c r="A2724" t="s">
        <v>1393</v>
      </c>
      <c r="B2724" t="s">
        <v>1119</v>
      </c>
    </row>
    <row r="2725" spans="1:2" x14ac:dyDescent="0.25">
      <c r="A2725" t="s">
        <v>1394</v>
      </c>
      <c r="B2725" t="s">
        <v>1119</v>
      </c>
    </row>
    <row r="2726" spans="1:2" x14ac:dyDescent="0.25">
      <c r="A2726" t="s">
        <v>1157</v>
      </c>
      <c r="B2726" t="s">
        <v>1119</v>
      </c>
    </row>
    <row r="2727" spans="1:2" x14ac:dyDescent="0.25">
      <c r="A2727" t="s">
        <v>1159</v>
      </c>
      <c r="B2727" t="s">
        <v>1119</v>
      </c>
    </row>
    <row r="2728" spans="1:2" x14ac:dyDescent="0.25">
      <c r="A2728" t="s">
        <v>1160</v>
      </c>
      <c r="B2728" t="s">
        <v>1119</v>
      </c>
    </row>
    <row r="2729" spans="1:2" x14ac:dyDescent="0.25">
      <c r="A2729" t="s">
        <v>1162</v>
      </c>
      <c r="B2729" t="s">
        <v>1119</v>
      </c>
    </row>
    <row r="2730" spans="1:2" x14ac:dyDescent="0.25">
      <c r="A2730" t="s">
        <v>1163</v>
      </c>
      <c r="B2730" t="s">
        <v>1119</v>
      </c>
    </row>
    <row r="2731" spans="1:2" x14ac:dyDescent="0.25">
      <c r="A2731" t="s">
        <v>1395</v>
      </c>
      <c r="B2731" t="s">
        <v>1119</v>
      </c>
    </row>
    <row r="2732" spans="1:2" x14ac:dyDescent="0.25">
      <c r="A2732" t="s">
        <v>1165</v>
      </c>
      <c r="B2732" t="s">
        <v>1119</v>
      </c>
    </row>
    <row r="2733" spans="1:2" x14ac:dyDescent="0.25">
      <c r="A2733" t="s">
        <v>1167</v>
      </c>
      <c r="B2733" t="s">
        <v>1119</v>
      </c>
    </row>
    <row r="2734" spans="1:2" x14ac:dyDescent="0.25">
      <c r="A2734" t="s">
        <v>1168</v>
      </c>
      <c r="B2734" t="s">
        <v>1119</v>
      </c>
    </row>
    <row r="2735" spans="1:2" x14ac:dyDescent="0.25">
      <c r="A2735" t="s">
        <v>1169</v>
      </c>
      <c r="B2735" t="s">
        <v>1119</v>
      </c>
    </row>
    <row r="2736" spans="1:2" x14ac:dyDescent="0.25">
      <c r="A2736" t="s">
        <v>1170</v>
      </c>
      <c r="B2736" t="s">
        <v>1119</v>
      </c>
    </row>
    <row r="2737" spans="1:2" x14ac:dyDescent="0.25">
      <c r="A2737" t="s">
        <v>1396</v>
      </c>
      <c r="B2737" t="s">
        <v>1119</v>
      </c>
    </row>
    <row r="2738" spans="1:2" x14ac:dyDescent="0.25">
      <c r="A2738" t="s">
        <v>1171</v>
      </c>
      <c r="B2738" t="s">
        <v>1119</v>
      </c>
    </row>
    <row r="2739" spans="1:2" x14ac:dyDescent="0.25">
      <c r="A2739" t="s">
        <v>1172</v>
      </c>
      <c r="B2739" t="s">
        <v>1119</v>
      </c>
    </row>
    <row r="2740" spans="1:2" x14ac:dyDescent="0.25">
      <c r="A2740" t="s">
        <v>1154</v>
      </c>
      <c r="B2740" t="s">
        <v>1119</v>
      </c>
    </row>
    <row r="2741" spans="1:2" x14ac:dyDescent="0.25">
      <c r="A2741" t="s">
        <v>3397</v>
      </c>
      <c r="B2741" t="s">
        <v>1119</v>
      </c>
    </row>
    <row r="2742" spans="1:2" x14ac:dyDescent="0.25">
      <c r="A2742" t="s">
        <v>3398</v>
      </c>
      <c r="B2742" t="s">
        <v>1119</v>
      </c>
    </row>
    <row r="2743" spans="1:2" x14ac:dyDescent="0.25">
      <c r="A2743" t="s">
        <v>3399</v>
      </c>
      <c r="B2743" t="s">
        <v>1119</v>
      </c>
    </row>
    <row r="2744" spans="1:2" x14ac:dyDescent="0.25">
      <c r="A2744" t="s">
        <v>3400</v>
      </c>
      <c r="B2744" t="s">
        <v>1119</v>
      </c>
    </row>
    <row r="2745" spans="1:2" x14ac:dyDescent="0.25">
      <c r="A2745" t="s">
        <v>3401</v>
      </c>
      <c r="B2745" t="s">
        <v>1119</v>
      </c>
    </row>
    <row r="2746" spans="1:2" x14ac:dyDescent="0.25">
      <c r="A2746" t="s">
        <v>3402</v>
      </c>
      <c r="B2746" t="s">
        <v>1119</v>
      </c>
    </row>
    <row r="2747" spans="1:2" x14ac:dyDescent="0.25">
      <c r="A2747" t="s">
        <v>1164</v>
      </c>
      <c r="B2747" t="s">
        <v>1119</v>
      </c>
    </row>
    <row r="2748" spans="1:2" x14ac:dyDescent="0.25">
      <c r="A2748" t="s">
        <v>3403</v>
      </c>
      <c r="B2748" t="s">
        <v>1119</v>
      </c>
    </row>
    <row r="2749" spans="1:2" x14ac:dyDescent="0.25">
      <c r="A2749" t="s">
        <v>3404</v>
      </c>
      <c r="B2749" t="s">
        <v>1119</v>
      </c>
    </row>
    <row r="2750" spans="1:2" x14ac:dyDescent="0.25">
      <c r="A2750" t="s">
        <v>3405</v>
      </c>
      <c r="B2750" t="s">
        <v>1119</v>
      </c>
    </row>
    <row r="2751" spans="1:2" x14ac:dyDescent="0.25">
      <c r="A2751" t="s">
        <v>3406</v>
      </c>
      <c r="B2751" t="s">
        <v>1119</v>
      </c>
    </row>
    <row r="2752" spans="1:2" x14ac:dyDescent="0.25">
      <c r="A2752" t="s">
        <v>3407</v>
      </c>
      <c r="B2752" t="s">
        <v>1119</v>
      </c>
    </row>
    <row r="2753" spans="1:2" x14ac:dyDescent="0.25">
      <c r="A2753" t="s">
        <v>3408</v>
      </c>
      <c r="B2753" t="s">
        <v>1119</v>
      </c>
    </row>
    <row r="2754" spans="1:2" x14ac:dyDescent="0.25">
      <c r="A2754" t="s">
        <v>1166</v>
      </c>
      <c r="B2754" t="s">
        <v>1119</v>
      </c>
    </row>
    <row r="2755" spans="1:2" x14ac:dyDescent="0.25">
      <c r="A2755" t="s">
        <v>3409</v>
      </c>
      <c r="B2755" t="s">
        <v>1119</v>
      </c>
    </row>
    <row r="2756" spans="1:2" x14ac:dyDescent="0.25">
      <c r="A2756" t="s">
        <v>3410</v>
      </c>
      <c r="B2756" t="s">
        <v>1119</v>
      </c>
    </row>
    <row r="2757" spans="1:2" x14ac:dyDescent="0.25">
      <c r="A2757" t="s">
        <v>3411</v>
      </c>
      <c r="B2757" t="s">
        <v>1119</v>
      </c>
    </row>
    <row r="2758" spans="1:2" x14ac:dyDescent="0.25">
      <c r="A2758" t="s">
        <v>3412</v>
      </c>
      <c r="B2758" t="s">
        <v>1119</v>
      </c>
    </row>
    <row r="2759" spans="1:2" x14ac:dyDescent="0.25">
      <c r="A2759" t="s">
        <v>3413</v>
      </c>
      <c r="B2759" t="s">
        <v>1119</v>
      </c>
    </row>
    <row r="2760" spans="1:2" x14ac:dyDescent="0.25">
      <c r="A2760" t="s">
        <v>3414</v>
      </c>
      <c r="B2760" t="s">
        <v>1119</v>
      </c>
    </row>
    <row r="2761" spans="1:2" x14ac:dyDescent="0.25">
      <c r="A2761" t="s">
        <v>3415</v>
      </c>
      <c r="B2761" t="s">
        <v>1119</v>
      </c>
    </row>
    <row r="2762" spans="1:2" x14ac:dyDescent="0.25">
      <c r="A2762" t="s">
        <v>1173</v>
      </c>
      <c r="B2762" t="s">
        <v>1119</v>
      </c>
    </row>
    <row r="2763" spans="1:2" x14ac:dyDescent="0.25">
      <c r="A2763" t="s">
        <v>3416</v>
      </c>
      <c r="B2763" t="s">
        <v>1119</v>
      </c>
    </row>
    <row r="2764" spans="1:2" x14ac:dyDescent="0.25">
      <c r="A2764" t="s">
        <v>3417</v>
      </c>
      <c r="B2764" t="s">
        <v>1119</v>
      </c>
    </row>
    <row r="2765" spans="1:2" x14ac:dyDescent="0.25">
      <c r="A2765" t="s">
        <v>3418</v>
      </c>
      <c r="B2765" t="s">
        <v>1119</v>
      </c>
    </row>
    <row r="2766" spans="1:2" x14ac:dyDescent="0.25">
      <c r="A2766" t="s">
        <v>3419</v>
      </c>
      <c r="B2766" t="s">
        <v>1119</v>
      </c>
    </row>
    <row r="2767" spans="1:2" x14ac:dyDescent="0.25">
      <c r="A2767" t="s">
        <v>3420</v>
      </c>
      <c r="B2767" t="s">
        <v>1119</v>
      </c>
    </row>
    <row r="2768" spans="1:2" x14ac:dyDescent="0.25">
      <c r="A2768" t="s">
        <v>3421</v>
      </c>
      <c r="B2768" t="s">
        <v>1119</v>
      </c>
    </row>
    <row r="2769" spans="1:2" x14ac:dyDescent="0.25">
      <c r="A2769" t="s">
        <v>3422</v>
      </c>
      <c r="B2769" t="s">
        <v>1119</v>
      </c>
    </row>
    <row r="2770" spans="1:2" x14ac:dyDescent="0.25">
      <c r="A2770" t="s">
        <v>1193</v>
      </c>
      <c r="B2770" t="s">
        <v>1119</v>
      </c>
    </row>
    <row r="2771" spans="1:2" x14ac:dyDescent="0.25">
      <c r="A2771" t="s">
        <v>1397</v>
      </c>
      <c r="B2771" t="s">
        <v>1119</v>
      </c>
    </row>
    <row r="2772" spans="1:2" x14ac:dyDescent="0.25">
      <c r="A2772" t="s">
        <v>1398</v>
      </c>
      <c r="B2772" t="s">
        <v>1119</v>
      </c>
    </row>
    <row r="2773" spans="1:2" x14ac:dyDescent="0.25">
      <c r="A2773" t="s">
        <v>1194</v>
      </c>
      <c r="B2773" t="s">
        <v>1195</v>
      </c>
    </row>
    <row r="2774" spans="1:2" x14ac:dyDescent="0.25">
      <c r="A2774" t="s">
        <v>1399</v>
      </c>
      <c r="B2774" t="s">
        <v>1400</v>
      </c>
    </row>
    <row r="2775" spans="1:2" x14ac:dyDescent="0.25">
      <c r="A2775" t="s">
        <v>3423</v>
      </c>
      <c r="B2775" t="s">
        <v>331</v>
      </c>
    </row>
    <row r="2776" spans="1:2" x14ac:dyDescent="0.25">
      <c r="A2776" t="s">
        <v>3424</v>
      </c>
      <c r="B2776" t="s">
        <v>331</v>
      </c>
    </row>
    <row r="2777" spans="1:2" x14ac:dyDescent="0.25">
      <c r="A2777" t="s">
        <v>3425</v>
      </c>
      <c r="B2777" t="s">
        <v>331</v>
      </c>
    </row>
    <row r="2778" spans="1:2" x14ac:dyDescent="0.25">
      <c r="A2778" t="s">
        <v>3426</v>
      </c>
      <c r="B2778" t="s">
        <v>331</v>
      </c>
    </row>
    <row r="2779" spans="1:2" x14ac:dyDescent="0.25">
      <c r="A2779" t="s">
        <v>3427</v>
      </c>
      <c r="B2779" t="s">
        <v>331</v>
      </c>
    </row>
    <row r="2780" spans="1:2" x14ac:dyDescent="0.25">
      <c r="A2780" t="s">
        <v>1243</v>
      </c>
      <c r="B2780" t="s">
        <v>1244</v>
      </c>
    </row>
    <row r="2781" spans="1:2" x14ac:dyDescent="0.25">
      <c r="A2781" t="s">
        <v>1245</v>
      </c>
      <c r="B2781" t="s">
        <v>1244</v>
      </c>
    </row>
    <row r="2782" spans="1:2" x14ac:dyDescent="0.25">
      <c r="A2782" t="s">
        <v>1197</v>
      </c>
      <c r="B2782" t="s">
        <v>1199</v>
      </c>
    </row>
    <row r="2783" spans="1:2" x14ac:dyDescent="0.25">
      <c r="A2783" t="s">
        <v>3428</v>
      </c>
      <c r="B2783" t="s">
        <v>1199</v>
      </c>
    </row>
    <row r="2784" spans="1:2" x14ac:dyDescent="0.25">
      <c r="A2784" t="s">
        <v>1200</v>
      </c>
      <c r="B2784" t="s">
        <v>1199</v>
      </c>
    </row>
    <row r="2785" spans="1:2" x14ac:dyDescent="0.25">
      <c r="A2785" t="s">
        <v>1201</v>
      </c>
      <c r="B2785" t="s">
        <v>1199</v>
      </c>
    </row>
    <row r="2786" spans="1:2" x14ac:dyDescent="0.25">
      <c r="A2786" t="s">
        <v>1202</v>
      </c>
      <c r="B2786" t="s">
        <v>1199</v>
      </c>
    </row>
    <row r="2787" spans="1:2" x14ac:dyDescent="0.25">
      <c r="A2787" t="s">
        <v>3429</v>
      </c>
      <c r="B2787" t="s">
        <v>1196</v>
      </c>
    </row>
    <row r="2788" spans="1:2" x14ac:dyDescent="0.25">
      <c r="A2788" t="s">
        <v>3430</v>
      </c>
      <c r="B2788" t="s">
        <v>1196</v>
      </c>
    </row>
    <row r="2789" spans="1:2" x14ac:dyDescent="0.25">
      <c r="A2789" t="s">
        <v>3431</v>
      </c>
      <c r="B2789" t="s">
        <v>1196</v>
      </c>
    </row>
    <row r="2790" spans="1:2" x14ac:dyDescent="0.25">
      <c r="A2790" t="s">
        <v>3432</v>
      </c>
      <c r="B2790" t="s">
        <v>572</v>
      </c>
    </row>
    <row r="2791" spans="1:2" x14ac:dyDescent="0.25">
      <c r="A2791" t="s">
        <v>3433</v>
      </c>
      <c r="B2791" t="s">
        <v>572</v>
      </c>
    </row>
    <row r="2792" spans="1:2" x14ac:dyDescent="0.25">
      <c r="A2792" t="s">
        <v>3434</v>
      </c>
      <c r="B2792" t="s">
        <v>572</v>
      </c>
    </row>
    <row r="2793" spans="1:2" x14ac:dyDescent="0.25">
      <c r="A2793" t="s">
        <v>3435</v>
      </c>
      <c r="B2793" t="s">
        <v>572</v>
      </c>
    </row>
    <row r="2794" spans="1:2" x14ac:dyDescent="0.25">
      <c r="A2794" t="s">
        <v>3436</v>
      </c>
      <c r="B2794" t="s">
        <v>572</v>
      </c>
    </row>
    <row r="2795" spans="1:2" x14ac:dyDescent="0.25">
      <c r="A2795" t="s">
        <v>3437</v>
      </c>
      <c r="B2795" t="s">
        <v>572</v>
      </c>
    </row>
    <row r="2796" spans="1:2" x14ac:dyDescent="0.25">
      <c r="A2796" t="s">
        <v>3438</v>
      </c>
      <c r="B2796" t="s">
        <v>572</v>
      </c>
    </row>
    <row r="2797" spans="1:2" x14ac:dyDescent="0.25">
      <c r="A2797" t="s">
        <v>3439</v>
      </c>
      <c r="B2797" t="s">
        <v>572</v>
      </c>
    </row>
    <row r="2798" spans="1:2" x14ac:dyDescent="0.25">
      <c r="A2798" t="s">
        <v>3440</v>
      </c>
      <c r="B2798" t="s">
        <v>572</v>
      </c>
    </row>
    <row r="2799" spans="1:2" x14ac:dyDescent="0.25">
      <c r="A2799" t="s">
        <v>3441</v>
      </c>
      <c r="B2799" t="s">
        <v>572</v>
      </c>
    </row>
    <row r="2800" spans="1:2" x14ac:dyDescent="0.25">
      <c r="A2800" t="s">
        <v>3442</v>
      </c>
      <c r="B2800" t="s">
        <v>572</v>
      </c>
    </row>
    <row r="2801" spans="1:2" x14ac:dyDescent="0.25">
      <c r="A2801" t="s">
        <v>3443</v>
      </c>
      <c r="B2801" t="s">
        <v>572</v>
      </c>
    </row>
    <row r="2802" spans="1:2" x14ac:dyDescent="0.25">
      <c r="A2802" t="s">
        <v>3444</v>
      </c>
      <c r="B2802" t="s">
        <v>572</v>
      </c>
    </row>
    <row r="2803" spans="1:2" x14ac:dyDescent="0.25">
      <c r="A2803" t="s">
        <v>3445</v>
      </c>
      <c r="B2803" t="s">
        <v>572</v>
      </c>
    </row>
    <row r="2804" spans="1:2" x14ac:dyDescent="0.25">
      <c r="A2804" t="s">
        <v>3446</v>
      </c>
      <c r="B2804" t="s">
        <v>572</v>
      </c>
    </row>
    <row r="2805" spans="1:2" x14ac:dyDescent="0.25">
      <c r="A2805" t="s">
        <v>3447</v>
      </c>
      <c r="B2805" t="s">
        <v>572</v>
      </c>
    </row>
    <row r="2806" spans="1:2" x14ac:dyDescent="0.25">
      <c r="A2806" t="s">
        <v>3448</v>
      </c>
      <c r="B2806" t="s">
        <v>572</v>
      </c>
    </row>
    <row r="2807" spans="1:2" x14ac:dyDescent="0.25">
      <c r="A2807" t="s">
        <v>3449</v>
      </c>
      <c r="B2807" t="s">
        <v>572</v>
      </c>
    </row>
    <row r="2808" spans="1:2" x14ac:dyDescent="0.25">
      <c r="A2808" t="s">
        <v>3450</v>
      </c>
      <c r="B2808" t="s">
        <v>572</v>
      </c>
    </row>
    <row r="2809" spans="1:2" x14ac:dyDescent="0.25">
      <c r="A2809" t="s">
        <v>3451</v>
      </c>
      <c r="B2809" t="s">
        <v>572</v>
      </c>
    </row>
    <row r="2810" spans="1:2" x14ac:dyDescent="0.25">
      <c r="A2810" t="s">
        <v>3452</v>
      </c>
      <c r="B2810" t="s">
        <v>572</v>
      </c>
    </row>
    <row r="2811" spans="1:2" x14ac:dyDescent="0.25">
      <c r="A2811" t="s">
        <v>3453</v>
      </c>
      <c r="B2811" t="s">
        <v>572</v>
      </c>
    </row>
    <row r="2812" spans="1:2" x14ac:dyDescent="0.25">
      <c r="A2812" t="s">
        <v>3454</v>
      </c>
      <c r="B2812" t="s">
        <v>572</v>
      </c>
    </row>
    <row r="2813" spans="1:2" x14ac:dyDescent="0.25">
      <c r="A2813" t="s">
        <v>3455</v>
      </c>
      <c r="B2813" t="s">
        <v>572</v>
      </c>
    </row>
    <row r="2814" spans="1:2" x14ac:dyDescent="0.25">
      <c r="A2814" t="s">
        <v>3456</v>
      </c>
      <c r="B2814" t="s">
        <v>572</v>
      </c>
    </row>
    <row r="2815" spans="1:2" x14ac:dyDescent="0.25">
      <c r="A2815" t="s">
        <v>3457</v>
      </c>
      <c r="B2815" t="s">
        <v>572</v>
      </c>
    </row>
    <row r="2816" spans="1:2" x14ac:dyDescent="0.25">
      <c r="A2816" t="s">
        <v>3458</v>
      </c>
      <c r="B2816" t="s">
        <v>572</v>
      </c>
    </row>
    <row r="2817" spans="1:2" x14ac:dyDescent="0.25">
      <c r="A2817" t="s">
        <v>3459</v>
      </c>
      <c r="B2817" t="s">
        <v>572</v>
      </c>
    </row>
    <row r="2818" spans="1:2" x14ac:dyDescent="0.25">
      <c r="A2818" t="s">
        <v>3460</v>
      </c>
      <c r="B2818" t="s">
        <v>572</v>
      </c>
    </row>
    <row r="2819" spans="1:2" x14ac:dyDescent="0.25">
      <c r="A2819" t="s">
        <v>3461</v>
      </c>
      <c r="B2819" t="s">
        <v>572</v>
      </c>
    </row>
    <row r="2820" spans="1:2" x14ac:dyDescent="0.25">
      <c r="A2820" t="s">
        <v>3462</v>
      </c>
      <c r="B2820" t="s">
        <v>572</v>
      </c>
    </row>
    <row r="2821" spans="1:2" x14ac:dyDescent="0.25">
      <c r="A2821" t="s">
        <v>3463</v>
      </c>
      <c r="B2821" t="s">
        <v>572</v>
      </c>
    </row>
    <row r="2822" spans="1:2" x14ac:dyDescent="0.25">
      <c r="A2822" t="s">
        <v>3464</v>
      </c>
      <c r="B2822" t="s">
        <v>572</v>
      </c>
    </row>
    <row r="2823" spans="1:2" x14ac:dyDescent="0.25">
      <c r="A2823" t="s">
        <v>3465</v>
      </c>
      <c r="B2823" t="s">
        <v>572</v>
      </c>
    </row>
    <row r="2824" spans="1:2" x14ac:dyDescent="0.25">
      <c r="A2824" t="s">
        <v>3466</v>
      </c>
      <c r="B2824" t="s">
        <v>572</v>
      </c>
    </row>
    <row r="2825" spans="1:2" x14ac:dyDescent="0.25">
      <c r="A2825" t="s">
        <v>3467</v>
      </c>
      <c r="B2825" t="s">
        <v>572</v>
      </c>
    </row>
    <row r="2826" spans="1:2" x14ac:dyDescent="0.25">
      <c r="A2826" t="s">
        <v>3468</v>
      </c>
      <c r="B2826" t="s">
        <v>572</v>
      </c>
    </row>
    <row r="2827" spans="1:2" x14ac:dyDescent="0.25">
      <c r="A2827" t="s">
        <v>3469</v>
      </c>
      <c r="B2827" t="s">
        <v>572</v>
      </c>
    </row>
    <row r="2828" spans="1:2" x14ac:dyDescent="0.25">
      <c r="A2828" t="s">
        <v>3470</v>
      </c>
      <c r="B2828" t="s">
        <v>572</v>
      </c>
    </row>
    <row r="2829" spans="1:2" x14ac:dyDescent="0.25">
      <c r="A2829" t="s">
        <v>3471</v>
      </c>
      <c r="B2829" t="s">
        <v>572</v>
      </c>
    </row>
    <row r="2830" spans="1:2" x14ac:dyDescent="0.25">
      <c r="A2830" t="s">
        <v>3472</v>
      </c>
      <c r="B2830" t="s">
        <v>572</v>
      </c>
    </row>
    <row r="2831" spans="1:2" x14ac:dyDescent="0.25">
      <c r="A2831" t="s">
        <v>3473</v>
      </c>
      <c r="B2831" t="s">
        <v>572</v>
      </c>
    </row>
    <row r="2832" spans="1:2" x14ac:dyDescent="0.25">
      <c r="A2832" t="s">
        <v>3474</v>
      </c>
      <c r="B2832" t="s">
        <v>572</v>
      </c>
    </row>
    <row r="2833" spans="1:2" x14ac:dyDescent="0.25">
      <c r="A2833" t="s">
        <v>3475</v>
      </c>
      <c r="B2833" t="s">
        <v>572</v>
      </c>
    </row>
    <row r="2834" spans="1:2" x14ac:dyDescent="0.25">
      <c r="A2834" t="s">
        <v>3476</v>
      </c>
      <c r="B2834" t="s">
        <v>572</v>
      </c>
    </row>
    <row r="2835" spans="1:2" x14ac:dyDescent="0.25">
      <c r="A2835" t="s">
        <v>3477</v>
      </c>
      <c r="B2835" t="s">
        <v>572</v>
      </c>
    </row>
    <row r="2836" spans="1:2" x14ac:dyDescent="0.25">
      <c r="A2836" t="s">
        <v>3478</v>
      </c>
      <c r="B2836" t="s">
        <v>572</v>
      </c>
    </row>
    <row r="2837" spans="1:2" x14ac:dyDescent="0.25">
      <c r="A2837" t="s">
        <v>3479</v>
      </c>
      <c r="B2837" t="s">
        <v>572</v>
      </c>
    </row>
    <row r="2838" spans="1:2" x14ac:dyDescent="0.25">
      <c r="A2838" t="s">
        <v>3480</v>
      </c>
      <c r="B2838" t="s">
        <v>572</v>
      </c>
    </row>
    <row r="2839" spans="1:2" x14ac:dyDescent="0.25">
      <c r="A2839" t="s">
        <v>3481</v>
      </c>
      <c r="B2839" t="s">
        <v>572</v>
      </c>
    </row>
    <row r="2840" spans="1:2" x14ac:dyDescent="0.25">
      <c r="A2840" t="s">
        <v>3482</v>
      </c>
      <c r="B2840" t="s">
        <v>572</v>
      </c>
    </row>
    <row r="2841" spans="1:2" x14ac:dyDescent="0.25">
      <c r="A2841" t="s">
        <v>3483</v>
      </c>
      <c r="B2841" t="s">
        <v>572</v>
      </c>
    </row>
    <row r="2842" spans="1:2" x14ac:dyDescent="0.25">
      <c r="A2842" t="s">
        <v>3484</v>
      </c>
      <c r="B2842" t="s">
        <v>572</v>
      </c>
    </row>
    <row r="2843" spans="1:2" x14ac:dyDescent="0.25">
      <c r="A2843" t="s">
        <v>3485</v>
      </c>
      <c r="B2843" t="s">
        <v>572</v>
      </c>
    </row>
    <row r="2844" spans="1:2" x14ac:dyDescent="0.25">
      <c r="A2844" t="s">
        <v>3486</v>
      </c>
      <c r="B2844" t="s">
        <v>572</v>
      </c>
    </row>
    <row r="2845" spans="1:2" x14ac:dyDescent="0.25">
      <c r="A2845" t="s">
        <v>3487</v>
      </c>
      <c r="B2845" t="s">
        <v>572</v>
      </c>
    </row>
    <row r="2846" spans="1:2" x14ac:dyDescent="0.25">
      <c r="A2846" t="s">
        <v>3488</v>
      </c>
      <c r="B2846" t="s">
        <v>572</v>
      </c>
    </row>
    <row r="2847" spans="1:2" x14ac:dyDescent="0.25">
      <c r="A2847" t="s">
        <v>3489</v>
      </c>
      <c r="B2847" t="s">
        <v>572</v>
      </c>
    </row>
    <row r="2848" spans="1:2" x14ac:dyDescent="0.25">
      <c r="A2848" t="s">
        <v>3490</v>
      </c>
      <c r="B2848" t="s">
        <v>572</v>
      </c>
    </row>
    <row r="2849" spans="1:2" x14ac:dyDescent="0.25">
      <c r="A2849" t="s">
        <v>3491</v>
      </c>
      <c r="B2849" t="s">
        <v>572</v>
      </c>
    </row>
    <row r="2850" spans="1:2" x14ac:dyDescent="0.25">
      <c r="A2850" t="s">
        <v>3492</v>
      </c>
      <c r="B2850" t="s">
        <v>572</v>
      </c>
    </row>
    <row r="2851" spans="1:2" x14ac:dyDescent="0.25">
      <c r="A2851" t="s">
        <v>3493</v>
      </c>
      <c r="B2851" t="s">
        <v>572</v>
      </c>
    </row>
    <row r="2852" spans="1:2" x14ac:dyDescent="0.25">
      <c r="A2852" t="s">
        <v>3494</v>
      </c>
      <c r="B2852" t="s">
        <v>572</v>
      </c>
    </row>
    <row r="2853" spans="1:2" x14ac:dyDescent="0.25">
      <c r="A2853" t="s">
        <v>3495</v>
      </c>
      <c r="B2853" t="s">
        <v>572</v>
      </c>
    </row>
    <row r="2854" spans="1:2" x14ac:dyDescent="0.25">
      <c r="A2854" t="s">
        <v>3496</v>
      </c>
      <c r="B2854" t="s">
        <v>572</v>
      </c>
    </row>
    <row r="2855" spans="1:2" x14ac:dyDescent="0.25">
      <c r="A2855" t="s">
        <v>3497</v>
      </c>
      <c r="B2855" t="s">
        <v>572</v>
      </c>
    </row>
    <row r="2856" spans="1:2" x14ac:dyDescent="0.25">
      <c r="A2856" t="s">
        <v>3498</v>
      </c>
      <c r="B2856" t="s">
        <v>572</v>
      </c>
    </row>
    <row r="2857" spans="1:2" x14ac:dyDescent="0.25">
      <c r="A2857" t="s">
        <v>3499</v>
      </c>
      <c r="B2857" t="s">
        <v>572</v>
      </c>
    </row>
    <row r="2858" spans="1:2" x14ac:dyDescent="0.25">
      <c r="A2858" t="s">
        <v>3500</v>
      </c>
      <c r="B2858" t="s">
        <v>572</v>
      </c>
    </row>
    <row r="2859" spans="1:2" x14ac:dyDescent="0.25">
      <c r="A2859" t="s">
        <v>3501</v>
      </c>
      <c r="B2859" t="s">
        <v>572</v>
      </c>
    </row>
    <row r="2860" spans="1:2" x14ac:dyDescent="0.25">
      <c r="A2860" t="s">
        <v>3502</v>
      </c>
      <c r="B2860" t="s">
        <v>572</v>
      </c>
    </row>
    <row r="2861" spans="1:2" x14ac:dyDescent="0.25">
      <c r="A2861" t="s">
        <v>3503</v>
      </c>
      <c r="B2861" t="s">
        <v>572</v>
      </c>
    </row>
    <row r="2862" spans="1:2" x14ac:dyDescent="0.25">
      <c r="A2862" t="s">
        <v>3504</v>
      </c>
      <c r="B2862" t="s">
        <v>572</v>
      </c>
    </row>
    <row r="2863" spans="1:2" x14ac:dyDescent="0.25">
      <c r="A2863" t="s">
        <v>3505</v>
      </c>
      <c r="B2863" t="s">
        <v>572</v>
      </c>
    </row>
    <row r="2864" spans="1:2" x14ac:dyDescent="0.25">
      <c r="A2864" t="s">
        <v>3506</v>
      </c>
      <c r="B2864" t="s">
        <v>572</v>
      </c>
    </row>
    <row r="2865" spans="1:2" x14ac:dyDescent="0.25">
      <c r="A2865" t="s">
        <v>3507</v>
      </c>
      <c r="B2865" t="s">
        <v>572</v>
      </c>
    </row>
    <row r="2866" spans="1:2" x14ac:dyDescent="0.25">
      <c r="A2866" t="s">
        <v>3508</v>
      </c>
      <c r="B2866" t="s">
        <v>572</v>
      </c>
    </row>
    <row r="2867" spans="1:2" x14ac:dyDescent="0.25">
      <c r="A2867" t="s">
        <v>3509</v>
      </c>
      <c r="B2867" t="s">
        <v>572</v>
      </c>
    </row>
    <row r="2868" spans="1:2" x14ac:dyDescent="0.25">
      <c r="A2868" t="s">
        <v>3510</v>
      </c>
      <c r="B2868" t="s">
        <v>572</v>
      </c>
    </row>
    <row r="2869" spans="1:2" x14ac:dyDescent="0.25">
      <c r="A2869" t="s">
        <v>3511</v>
      </c>
      <c r="B2869" t="s">
        <v>572</v>
      </c>
    </row>
    <row r="2870" spans="1:2" x14ac:dyDescent="0.25">
      <c r="A2870" t="s">
        <v>3512</v>
      </c>
      <c r="B2870" t="s">
        <v>572</v>
      </c>
    </row>
    <row r="2871" spans="1:2" x14ac:dyDescent="0.25">
      <c r="A2871" t="s">
        <v>3513</v>
      </c>
      <c r="B2871" t="s">
        <v>572</v>
      </c>
    </row>
    <row r="2872" spans="1:2" x14ac:dyDescent="0.25">
      <c r="A2872" t="s">
        <v>3514</v>
      </c>
      <c r="B2872" t="s">
        <v>572</v>
      </c>
    </row>
    <row r="2873" spans="1:2" x14ac:dyDescent="0.25">
      <c r="A2873" t="s">
        <v>3515</v>
      </c>
      <c r="B2873" t="s">
        <v>572</v>
      </c>
    </row>
    <row r="2874" spans="1:2" x14ac:dyDescent="0.25">
      <c r="A2874" t="s">
        <v>3516</v>
      </c>
      <c r="B2874" t="s">
        <v>572</v>
      </c>
    </row>
    <row r="2875" spans="1:2" x14ac:dyDescent="0.25">
      <c r="A2875" t="s">
        <v>3517</v>
      </c>
      <c r="B2875" t="s">
        <v>572</v>
      </c>
    </row>
    <row r="2876" spans="1:2" x14ac:dyDescent="0.25">
      <c r="A2876" t="s">
        <v>3518</v>
      </c>
      <c r="B2876" t="s">
        <v>572</v>
      </c>
    </row>
    <row r="2877" spans="1:2" x14ac:dyDescent="0.25">
      <c r="A2877" t="s">
        <v>3519</v>
      </c>
      <c r="B2877" t="s">
        <v>572</v>
      </c>
    </row>
    <row r="2878" spans="1:2" x14ac:dyDescent="0.25">
      <c r="A2878" t="s">
        <v>3520</v>
      </c>
      <c r="B2878" t="s">
        <v>572</v>
      </c>
    </row>
    <row r="2879" spans="1:2" x14ac:dyDescent="0.25">
      <c r="A2879" t="s">
        <v>3521</v>
      </c>
      <c r="B2879" t="s">
        <v>572</v>
      </c>
    </row>
    <row r="2880" spans="1:2" x14ac:dyDescent="0.25">
      <c r="A2880" t="s">
        <v>3522</v>
      </c>
      <c r="B2880" t="s">
        <v>572</v>
      </c>
    </row>
    <row r="2881" spans="1:2" x14ac:dyDescent="0.25">
      <c r="A2881" t="s">
        <v>3523</v>
      </c>
      <c r="B2881" t="s">
        <v>572</v>
      </c>
    </row>
    <row r="2882" spans="1:2" x14ac:dyDescent="0.25">
      <c r="A2882" t="s">
        <v>3524</v>
      </c>
      <c r="B2882" t="s">
        <v>572</v>
      </c>
    </row>
    <row r="2883" spans="1:2" x14ac:dyDescent="0.25">
      <c r="A2883" t="s">
        <v>3525</v>
      </c>
      <c r="B2883" t="s">
        <v>572</v>
      </c>
    </row>
    <row r="2884" spans="1:2" x14ac:dyDescent="0.25">
      <c r="A2884" t="s">
        <v>3526</v>
      </c>
      <c r="B2884" t="s">
        <v>572</v>
      </c>
    </row>
    <row r="2885" spans="1:2" x14ac:dyDescent="0.25">
      <c r="A2885" t="s">
        <v>3527</v>
      </c>
      <c r="B2885" t="s">
        <v>572</v>
      </c>
    </row>
    <row r="2886" spans="1:2" x14ac:dyDescent="0.25">
      <c r="A2886" t="s">
        <v>3528</v>
      </c>
      <c r="B2886" t="s">
        <v>572</v>
      </c>
    </row>
    <row r="2887" spans="1:2" x14ac:dyDescent="0.25">
      <c r="A2887" t="s">
        <v>3529</v>
      </c>
      <c r="B2887" t="s">
        <v>572</v>
      </c>
    </row>
    <row r="2888" spans="1:2" x14ac:dyDescent="0.25">
      <c r="A2888" t="s">
        <v>3530</v>
      </c>
      <c r="B2888" t="s">
        <v>572</v>
      </c>
    </row>
    <row r="2889" spans="1:2" x14ac:dyDescent="0.25">
      <c r="A2889" t="s">
        <v>3531</v>
      </c>
      <c r="B2889" t="s">
        <v>572</v>
      </c>
    </row>
    <row r="2890" spans="1:2" x14ac:dyDescent="0.25">
      <c r="A2890" t="s">
        <v>3532</v>
      </c>
      <c r="B2890" t="s">
        <v>572</v>
      </c>
    </row>
    <row r="2891" spans="1:2" x14ac:dyDescent="0.25">
      <c r="A2891" t="s">
        <v>3533</v>
      </c>
      <c r="B2891" t="s">
        <v>572</v>
      </c>
    </row>
    <row r="2892" spans="1:2" x14ac:dyDescent="0.25">
      <c r="A2892" t="s">
        <v>3534</v>
      </c>
      <c r="B2892" t="s">
        <v>572</v>
      </c>
    </row>
    <row r="2893" spans="1:2" x14ac:dyDescent="0.25">
      <c r="A2893" t="s">
        <v>3535</v>
      </c>
      <c r="B2893" t="s">
        <v>572</v>
      </c>
    </row>
    <row r="2894" spans="1:2" x14ac:dyDescent="0.25">
      <c r="A2894" t="s">
        <v>3536</v>
      </c>
      <c r="B2894" t="s">
        <v>572</v>
      </c>
    </row>
    <row r="2895" spans="1:2" x14ac:dyDescent="0.25">
      <c r="A2895" t="s">
        <v>3537</v>
      </c>
      <c r="B2895" t="s">
        <v>572</v>
      </c>
    </row>
    <row r="2896" spans="1:2" x14ac:dyDescent="0.25">
      <c r="A2896" t="s">
        <v>3538</v>
      </c>
      <c r="B2896" t="s">
        <v>572</v>
      </c>
    </row>
    <row r="2897" spans="1:2" x14ac:dyDescent="0.25">
      <c r="A2897" t="s">
        <v>3539</v>
      </c>
      <c r="B2897" t="s">
        <v>572</v>
      </c>
    </row>
    <row r="2898" spans="1:2" x14ac:dyDescent="0.25">
      <c r="A2898" t="s">
        <v>3540</v>
      </c>
      <c r="B2898" t="s">
        <v>572</v>
      </c>
    </row>
    <row r="2899" spans="1:2" x14ac:dyDescent="0.25">
      <c r="A2899" t="s">
        <v>3541</v>
      </c>
      <c r="B2899" t="s">
        <v>572</v>
      </c>
    </row>
    <row r="2900" spans="1:2" x14ac:dyDescent="0.25">
      <c r="A2900" t="s">
        <v>3542</v>
      </c>
      <c r="B2900" t="s">
        <v>572</v>
      </c>
    </row>
    <row r="2901" spans="1:2" x14ac:dyDescent="0.25">
      <c r="A2901" t="s">
        <v>3543</v>
      </c>
      <c r="B2901" t="s">
        <v>572</v>
      </c>
    </row>
    <row r="2902" spans="1:2" x14ac:dyDescent="0.25">
      <c r="A2902" t="s">
        <v>3544</v>
      </c>
      <c r="B2902" t="s">
        <v>572</v>
      </c>
    </row>
    <row r="2903" spans="1:2" x14ac:dyDescent="0.25">
      <c r="A2903" t="s">
        <v>3545</v>
      </c>
      <c r="B2903" t="s">
        <v>572</v>
      </c>
    </row>
    <row r="2904" spans="1:2" x14ac:dyDescent="0.25">
      <c r="A2904" t="s">
        <v>3546</v>
      </c>
      <c r="B2904" t="s">
        <v>572</v>
      </c>
    </row>
    <row r="2905" spans="1:2" x14ac:dyDescent="0.25">
      <c r="A2905" t="s">
        <v>3547</v>
      </c>
      <c r="B2905" t="s">
        <v>572</v>
      </c>
    </row>
    <row r="2906" spans="1:2" x14ac:dyDescent="0.25">
      <c r="A2906" t="s">
        <v>3548</v>
      </c>
      <c r="B2906" t="s">
        <v>572</v>
      </c>
    </row>
    <row r="2907" spans="1:2" x14ac:dyDescent="0.25">
      <c r="A2907" t="s">
        <v>3549</v>
      </c>
      <c r="B2907" t="s">
        <v>572</v>
      </c>
    </row>
    <row r="2908" spans="1:2" x14ac:dyDescent="0.25">
      <c r="A2908" t="s">
        <v>3550</v>
      </c>
      <c r="B2908" t="s">
        <v>572</v>
      </c>
    </row>
    <row r="2909" spans="1:2" x14ac:dyDescent="0.25">
      <c r="A2909" t="s">
        <v>3551</v>
      </c>
      <c r="B2909" t="s">
        <v>572</v>
      </c>
    </row>
    <row r="2910" spans="1:2" x14ac:dyDescent="0.25">
      <c r="A2910" t="s">
        <v>3552</v>
      </c>
      <c r="B2910" t="s">
        <v>572</v>
      </c>
    </row>
    <row r="2911" spans="1:2" x14ac:dyDescent="0.25">
      <c r="A2911" t="s">
        <v>3553</v>
      </c>
      <c r="B2911" t="s">
        <v>572</v>
      </c>
    </row>
    <row r="2912" spans="1:2" x14ac:dyDescent="0.25">
      <c r="A2912" t="s">
        <v>3554</v>
      </c>
      <c r="B2912" t="s">
        <v>572</v>
      </c>
    </row>
    <row r="2913" spans="1:2" x14ac:dyDescent="0.25">
      <c r="A2913" t="s">
        <v>3555</v>
      </c>
      <c r="B2913" t="s">
        <v>572</v>
      </c>
    </row>
    <row r="2914" spans="1:2" x14ac:dyDescent="0.25">
      <c r="A2914" t="s">
        <v>3556</v>
      </c>
      <c r="B2914" t="s">
        <v>572</v>
      </c>
    </row>
    <row r="2915" spans="1:2" x14ac:dyDescent="0.25">
      <c r="A2915" t="s">
        <v>3557</v>
      </c>
      <c r="B2915" t="s">
        <v>572</v>
      </c>
    </row>
    <row r="2916" spans="1:2" x14ac:dyDescent="0.25">
      <c r="A2916" t="s">
        <v>3558</v>
      </c>
      <c r="B2916" t="s">
        <v>572</v>
      </c>
    </row>
    <row r="2917" spans="1:2" x14ac:dyDescent="0.25">
      <c r="A2917" t="s">
        <v>3559</v>
      </c>
      <c r="B2917" t="s">
        <v>572</v>
      </c>
    </row>
    <row r="2918" spans="1:2" x14ac:dyDescent="0.25">
      <c r="A2918" t="s">
        <v>3560</v>
      </c>
      <c r="B2918" t="s">
        <v>572</v>
      </c>
    </row>
    <row r="2919" spans="1:2" x14ac:dyDescent="0.25">
      <c r="A2919" t="s">
        <v>3561</v>
      </c>
      <c r="B2919" t="s">
        <v>572</v>
      </c>
    </row>
    <row r="2920" spans="1:2" x14ac:dyDescent="0.25">
      <c r="A2920" t="s">
        <v>3562</v>
      </c>
      <c r="B2920" t="s">
        <v>572</v>
      </c>
    </row>
    <row r="2921" spans="1:2" x14ac:dyDescent="0.25">
      <c r="A2921" t="s">
        <v>3563</v>
      </c>
      <c r="B2921" t="s">
        <v>572</v>
      </c>
    </row>
    <row r="2922" spans="1:2" x14ac:dyDescent="0.25">
      <c r="A2922" t="s">
        <v>3564</v>
      </c>
      <c r="B2922" t="s">
        <v>572</v>
      </c>
    </row>
    <row r="2923" spans="1:2" x14ac:dyDescent="0.25">
      <c r="A2923" t="s">
        <v>3565</v>
      </c>
      <c r="B2923" t="s">
        <v>572</v>
      </c>
    </row>
    <row r="2924" spans="1:2" x14ac:dyDescent="0.25">
      <c r="A2924" t="s">
        <v>3566</v>
      </c>
      <c r="B2924" t="s">
        <v>572</v>
      </c>
    </row>
    <row r="2925" spans="1:2" x14ac:dyDescent="0.25">
      <c r="A2925" t="s">
        <v>3567</v>
      </c>
      <c r="B2925" t="s">
        <v>572</v>
      </c>
    </row>
    <row r="2926" spans="1:2" x14ac:dyDescent="0.25">
      <c r="A2926" t="s">
        <v>3568</v>
      </c>
      <c r="B2926" t="s">
        <v>572</v>
      </c>
    </row>
    <row r="2927" spans="1:2" x14ac:dyDescent="0.25">
      <c r="A2927" t="s">
        <v>3569</v>
      </c>
      <c r="B2927" t="s">
        <v>572</v>
      </c>
    </row>
    <row r="2928" spans="1:2" x14ac:dyDescent="0.25">
      <c r="A2928" t="s">
        <v>3570</v>
      </c>
      <c r="B2928" t="s">
        <v>572</v>
      </c>
    </row>
    <row r="2929" spans="1:2" x14ac:dyDescent="0.25">
      <c r="A2929" t="s">
        <v>3571</v>
      </c>
      <c r="B2929" t="s">
        <v>572</v>
      </c>
    </row>
    <row r="2930" spans="1:2" x14ac:dyDescent="0.25">
      <c r="A2930" t="s">
        <v>3572</v>
      </c>
      <c r="B2930" t="s">
        <v>572</v>
      </c>
    </row>
    <row r="2931" spans="1:2" x14ac:dyDescent="0.25">
      <c r="A2931" t="s">
        <v>3573</v>
      </c>
      <c r="B2931" t="s">
        <v>572</v>
      </c>
    </row>
    <row r="2932" spans="1:2" x14ac:dyDescent="0.25">
      <c r="A2932" t="s">
        <v>3574</v>
      </c>
      <c r="B2932" t="s">
        <v>572</v>
      </c>
    </row>
    <row r="2933" spans="1:2" x14ac:dyDescent="0.25">
      <c r="A2933" t="s">
        <v>3575</v>
      </c>
      <c r="B2933" t="s">
        <v>572</v>
      </c>
    </row>
    <row r="2934" spans="1:2" x14ac:dyDescent="0.25">
      <c r="A2934" t="s">
        <v>3576</v>
      </c>
      <c r="B2934" t="s">
        <v>572</v>
      </c>
    </row>
    <row r="2935" spans="1:2" x14ac:dyDescent="0.25">
      <c r="A2935" t="s">
        <v>3577</v>
      </c>
      <c r="B2935" t="s">
        <v>572</v>
      </c>
    </row>
    <row r="2936" spans="1:2" x14ac:dyDescent="0.25">
      <c r="A2936" t="s">
        <v>3578</v>
      </c>
      <c r="B2936" t="s">
        <v>572</v>
      </c>
    </row>
    <row r="2937" spans="1:2" x14ac:dyDescent="0.25">
      <c r="A2937" t="s">
        <v>3579</v>
      </c>
      <c r="B2937" t="s">
        <v>572</v>
      </c>
    </row>
    <row r="2938" spans="1:2" x14ac:dyDescent="0.25">
      <c r="A2938" t="s">
        <v>3580</v>
      </c>
      <c r="B2938" t="s">
        <v>572</v>
      </c>
    </row>
    <row r="2939" spans="1:2" x14ac:dyDescent="0.25">
      <c r="A2939" t="s">
        <v>3581</v>
      </c>
      <c r="B2939" t="s">
        <v>572</v>
      </c>
    </row>
    <row r="2940" spans="1:2" x14ac:dyDescent="0.25">
      <c r="A2940" t="s">
        <v>3582</v>
      </c>
      <c r="B2940" t="s">
        <v>572</v>
      </c>
    </row>
    <row r="2941" spans="1:2" x14ac:dyDescent="0.25">
      <c r="A2941" t="s">
        <v>3583</v>
      </c>
      <c r="B2941" t="s">
        <v>572</v>
      </c>
    </row>
    <row r="2942" spans="1:2" x14ac:dyDescent="0.25">
      <c r="A2942" t="s">
        <v>3584</v>
      </c>
      <c r="B2942" t="s">
        <v>572</v>
      </c>
    </row>
    <row r="2943" spans="1:2" x14ac:dyDescent="0.25">
      <c r="A2943" t="s">
        <v>3585</v>
      </c>
      <c r="B2943" t="s">
        <v>572</v>
      </c>
    </row>
    <row r="2944" spans="1:2" x14ac:dyDescent="0.25">
      <c r="A2944" t="s">
        <v>3586</v>
      </c>
      <c r="B2944" t="s">
        <v>572</v>
      </c>
    </row>
    <row r="2945" spans="1:2" x14ac:dyDescent="0.25">
      <c r="A2945" t="s">
        <v>3587</v>
      </c>
      <c r="B2945" t="s">
        <v>572</v>
      </c>
    </row>
    <row r="2946" spans="1:2" x14ac:dyDescent="0.25">
      <c r="A2946" t="s">
        <v>3588</v>
      </c>
      <c r="B2946" t="s">
        <v>572</v>
      </c>
    </row>
    <row r="2947" spans="1:2" x14ac:dyDescent="0.25">
      <c r="A2947" t="s">
        <v>3589</v>
      </c>
      <c r="B2947" t="s">
        <v>572</v>
      </c>
    </row>
    <row r="2948" spans="1:2" x14ac:dyDescent="0.25">
      <c r="A2948" t="s">
        <v>3590</v>
      </c>
      <c r="B2948" t="s">
        <v>572</v>
      </c>
    </row>
    <row r="2949" spans="1:2" x14ac:dyDescent="0.25">
      <c r="A2949" t="s">
        <v>3591</v>
      </c>
      <c r="B2949" t="s">
        <v>572</v>
      </c>
    </row>
    <row r="2950" spans="1:2" x14ac:dyDescent="0.25">
      <c r="A2950" t="s">
        <v>3592</v>
      </c>
      <c r="B2950" t="s">
        <v>572</v>
      </c>
    </row>
    <row r="2951" spans="1:2" x14ac:dyDescent="0.25">
      <c r="A2951" t="s">
        <v>3593</v>
      </c>
      <c r="B2951" t="s">
        <v>572</v>
      </c>
    </row>
    <row r="2952" spans="1:2" x14ac:dyDescent="0.25">
      <c r="A2952" t="s">
        <v>3594</v>
      </c>
      <c r="B2952" t="s">
        <v>572</v>
      </c>
    </row>
    <row r="2953" spans="1:2" x14ac:dyDescent="0.25">
      <c r="A2953" t="s">
        <v>3595</v>
      </c>
      <c r="B2953" t="s">
        <v>572</v>
      </c>
    </row>
    <row r="2954" spans="1:2" x14ac:dyDescent="0.25">
      <c r="A2954" t="s">
        <v>3596</v>
      </c>
      <c r="B2954" t="s">
        <v>572</v>
      </c>
    </row>
    <row r="2955" spans="1:2" x14ac:dyDescent="0.25">
      <c r="A2955" t="s">
        <v>3597</v>
      </c>
      <c r="B2955" t="s">
        <v>572</v>
      </c>
    </row>
    <row r="2956" spans="1:2" x14ac:dyDescent="0.25">
      <c r="A2956" t="s">
        <v>3598</v>
      </c>
      <c r="B2956" t="s">
        <v>572</v>
      </c>
    </row>
    <row r="2957" spans="1:2" x14ac:dyDescent="0.25">
      <c r="A2957" t="s">
        <v>3599</v>
      </c>
      <c r="B2957" t="s">
        <v>572</v>
      </c>
    </row>
    <row r="2958" spans="1:2" x14ac:dyDescent="0.25">
      <c r="A2958" t="s">
        <v>3600</v>
      </c>
      <c r="B2958" t="s">
        <v>572</v>
      </c>
    </row>
    <row r="2959" spans="1:2" x14ac:dyDescent="0.25">
      <c r="A2959" t="s">
        <v>3601</v>
      </c>
      <c r="B2959" t="s">
        <v>572</v>
      </c>
    </row>
    <row r="2960" spans="1:2" x14ac:dyDescent="0.25">
      <c r="A2960" t="s">
        <v>3602</v>
      </c>
      <c r="B2960" t="s">
        <v>572</v>
      </c>
    </row>
    <row r="2961" spans="1:2" x14ac:dyDescent="0.25">
      <c r="A2961" t="s">
        <v>3603</v>
      </c>
      <c r="B2961" t="s">
        <v>572</v>
      </c>
    </row>
    <row r="2962" spans="1:2" x14ac:dyDescent="0.25">
      <c r="A2962" t="s">
        <v>3604</v>
      </c>
      <c r="B2962" t="s">
        <v>572</v>
      </c>
    </row>
    <row r="2963" spans="1:2" x14ac:dyDescent="0.25">
      <c r="A2963" t="s">
        <v>3605</v>
      </c>
      <c r="B2963" t="s">
        <v>572</v>
      </c>
    </row>
    <row r="2964" spans="1:2" x14ac:dyDescent="0.25">
      <c r="A2964" t="s">
        <v>3606</v>
      </c>
      <c r="B2964" t="s">
        <v>572</v>
      </c>
    </row>
    <row r="2965" spans="1:2" x14ac:dyDescent="0.25">
      <c r="A2965" t="s">
        <v>3607</v>
      </c>
      <c r="B2965" t="s">
        <v>572</v>
      </c>
    </row>
    <row r="2966" spans="1:2" x14ac:dyDescent="0.25">
      <c r="A2966" t="s">
        <v>3608</v>
      </c>
      <c r="B2966" t="s">
        <v>572</v>
      </c>
    </row>
    <row r="2967" spans="1:2" x14ac:dyDescent="0.25">
      <c r="A2967" t="s">
        <v>3609</v>
      </c>
      <c r="B2967" t="s">
        <v>572</v>
      </c>
    </row>
    <row r="2968" spans="1:2" x14ac:dyDescent="0.25">
      <c r="A2968" t="s">
        <v>3610</v>
      </c>
      <c r="B2968" t="s">
        <v>572</v>
      </c>
    </row>
    <row r="2969" spans="1:2" x14ac:dyDescent="0.25">
      <c r="A2969" t="s">
        <v>3611</v>
      </c>
      <c r="B2969" t="s">
        <v>572</v>
      </c>
    </row>
    <row r="2970" spans="1:2" x14ac:dyDescent="0.25">
      <c r="A2970" t="s">
        <v>3612</v>
      </c>
      <c r="B2970" t="s">
        <v>572</v>
      </c>
    </row>
    <row r="2971" spans="1:2" x14ac:dyDescent="0.25">
      <c r="A2971" t="s">
        <v>3613</v>
      </c>
      <c r="B2971" t="s">
        <v>572</v>
      </c>
    </row>
    <row r="2972" spans="1:2" x14ac:dyDescent="0.25">
      <c r="A2972" t="s">
        <v>3614</v>
      </c>
      <c r="B2972" t="s">
        <v>572</v>
      </c>
    </row>
    <row r="2973" spans="1:2" x14ac:dyDescent="0.25">
      <c r="A2973" t="s">
        <v>3615</v>
      </c>
      <c r="B2973" t="s">
        <v>572</v>
      </c>
    </row>
    <row r="2974" spans="1:2" x14ac:dyDescent="0.25">
      <c r="A2974" t="s">
        <v>3616</v>
      </c>
      <c r="B2974" t="s">
        <v>572</v>
      </c>
    </row>
    <row r="2975" spans="1:2" x14ac:dyDescent="0.25">
      <c r="A2975" t="s">
        <v>3617</v>
      </c>
      <c r="B2975" t="s">
        <v>572</v>
      </c>
    </row>
    <row r="2976" spans="1:2" x14ac:dyDescent="0.25">
      <c r="A2976" t="s">
        <v>3618</v>
      </c>
      <c r="B2976" t="s">
        <v>572</v>
      </c>
    </row>
    <row r="2977" spans="1:2" x14ac:dyDescent="0.25">
      <c r="A2977" t="s">
        <v>3619</v>
      </c>
      <c r="B2977" t="s">
        <v>572</v>
      </c>
    </row>
    <row r="2978" spans="1:2" x14ac:dyDescent="0.25">
      <c r="A2978" t="s">
        <v>3620</v>
      </c>
      <c r="B2978" t="s">
        <v>572</v>
      </c>
    </row>
    <row r="2979" spans="1:2" x14ac:dyDescent="0.25">
      <c r="A2979" t="s">
        <v>3621</v>
      </c>
      <c r="B2979" t="s">
        <v>572</v>
      </c>
    </row>
    <row r="2980" spans="1:2" x14ac:dyDescent="0.25">
      <c r="A2980" t="s">
        <v>3622</v>
      </c>
      <c r="B2980" t="s">
        <v>572</v>
      </c>
    </row>
    <row r="2981" spans="1:2" x14ac:dyDescent="0.25">
      <c r="A2981" t="s">
        <v>3623</v>
      </c>
      <c r="B2981" t="s">
        <v>572</v>
      </c>
    </row>
    <row r="2982" spans="1:2" x14ac:dyDescent="0.25">
      <c r="A2982" t="s">
        <v>3624</v>
      </c>
      <c r="B2982" t="s">
        <v>572</v>
      </c>
    </row>
    <row r="2983" spans="1:2" x14ac:dyDescent="0.25">
      <c r="A2983" t="s">
        <v>3625</v>
      </c>
      <c r="B2983" t="s">
        <v>572</v>
      </c>
    </row>
    <row r="2984" spans="1:2" x14ac:dyDescent="0.25">
      <c r="A2984" t="s">
        <v>3626</v>
      </c>
      <c r="B2984" t="s">
        <v>572</v>
      </c>
    </row>
    <row r="2985" spans="1:2" x14ac:dyDescent="0.25">
      <c r="A2985" t="s">
        <v>3627</v>
      </c>
      <c r="B2985" t="s">
        <v>572</v>
      </c>
    </row>
    <row r="2986" spans="1:2" x14ac:dyDescent="0.25">
      <c r="A2986" t="s">
        <v>3628</v>
      </c>
      <c r="B2986" t="s">
        <v>572</v>
      </c>
    </row>
    <row r="2987" spans="1:2" x14ac:dyDescent="0.25">
      <c r="A2987" t="s">
        <v>3629</v>
      </c>
      <c r="B2987" t="s">
        <v>572</v>
      </c>
    </row>
    <row r="2988" spans="1:2" x14ac:dyDescent="0.25">
      <c r="A2988" t="s">
        <v>3630</v>
      </c>
      <c r="B2988" t="s">
        <v>572</v>
      </c>
    </row>
    <row r="2989" spans="1:2" x14ac:dyDescent="0.25">
      <c r="A2989" t="s">
        <v>3631</v>
      </c>
      <c r="B2989" t="s">
        <v>572</v>
      </c>
    </row>
    <row r="2990" spans="1:2" x14ac:dyDescent="0.25">
      <c r="A2990" t="s">
        <v>3632</v>
      </c>
      <c r="B2990" t="s">
        <v>572</v>
      </c>
    </row>
    <row r="2991" spans="1:2" x14ac:dyDescent="0.25">
      <c r="A2991" t="s">
        <v>3633</v>
      </c>
      <c r="B2991" t="s">
        <v>572</v>
      </c>
    </row>
    <row r="2992" spans="1:2" x14ac:dyDescent="0.25">
      <c r="A2992" t="s">
        <v>3634</v>
      </c>
      <c r="B2992" t="s">
        <v>572</v>
      </c>
    </row>
    <row r="2993" spans="1:2" x14ac:dyDescent="0.25">
      <c r="A2993" t="s">
        <v>3635</v>
      </c>
      <c r="B2993" t="s">
        <v>572</v>
      </c>
    </row>
    <row r="2994" spans="1:2" x14ac:dyDescent="0.25">
      <c r="A2994" t="s">
        <v>3636</v>
      </c>
      <c r="B2994" t="s">
        <v>572</v>
      </c>
    </row>
    <row r="2995" spans="1:2" x14ac:dyDescent="0.25">
      <c r="A2995" t="s">
        <v>3637</v>
      </c>
      <c r="B2995" t="s">
        <v>572</v>
      </c>
    </row>
    <row r="2996" spans="1:2" x14ac:dyDescent="0.25">
      <c r="A2996" t="s">
        <v>3638</v>
      </c>
      <c r="B2996" t="s">
        <v>572</v>
      </c>
    </row>
    <row r="2997" spans="1:2" x14ac:dyDescent="0.25">
      <c r="A2997" t="s">
        <v>3639</v>
      </c>
      <c r="B2997" t="s">
        <v>572</v>
      </c>
    </row>
    <row r="2998" spans="1:2" x14ac:dyDescent="0.25">
      <c r="A2998" t="s">
        <v>3640</v>
      </c>
      <c r="B2998" t="s">
        <v>572</v>
      </c>
    </row>
    <row r="2999" spans="1:2" x14ac:dyDescent="0.25">
      <c r="A2999" t="s">
        <v>3641</v>
      </c>
      <c r="B2999" t="s">
        <v>572</v>
      </c>
    </row>
    <row r="3000" spans="1:2" x14ac:dyDescent="0.25">
      <c r="A3000" t="s">
        <v>3642</v>
      </c>
      <c r="B3000" t="s">
        <v>572</v>
      </c>
    </row>
    <row r="3001" spans="1:2" x14ac:dyDescent="0.25">
      <c r="A3001" t="s">
        <v>3643</v>
      </c>
      <c r="B3001" t="s">
        <v>572</v>
      </c>
    </row>
    <row r="3002" spans="1:2" x14ac:dyDescent="0.25">
      <c r="A3002" t="s">
        <v>3644</v>
      </c>
      <c r="B3002" t="s">
        <v>572</v>
      </c>
    </row>
    <row r="3003" spans="1:2" x14ac:dyDescent="0.25">
      <c r="A3003" t="s">
        <v>3645</v>
      </c>
      <c r="B3003" t="s">
        <v>572</v>
      </c>
    </row>
    <row r="3004" spans="1:2" x14ac:dyDescent="0.25">
      <c r="A3004" t="s">
        <v>3646</v>
      </c>
      <c r="B3004" t="s">
        <v>572</v>
      </c>
    </row>
    <row r="3005" spans="1:2" x14ac:dyDescent="0.25">
      <c r="A3005" t="s">
        <v>3647</v>
      </c>
      <c r="B3005" t="s">
        <v>572</v>
      </c>
    </row>
    <row r="3006" spans="1:2" x14ac:dyDescent="0.25">
      <c r="A3006" t="s">
        <v>3648</v>
      </c>
      <c r="B3006" t="s">
        <v>572</v>
      </c>
    </row>
    <row r="3007" spans="1:2" x14ac:dyDescent="0.25">
      <c r="A3007" t="s">
        <v>3649</v>
      </c>
      <c r="B3007" t="s">
        <v>572</v>
      </c>
    </row>
    <row r="3008" spans="1:2" x14ac:dyDescent="0.25">
      <c r="A3008" t="s">
        <v>3650</v>
      </c>
      <c r="B3008" t="s">
        <v>572</v>
      </c>
    </row>
    <row r="3009" spans="1:2" x14ac:dyDescent="0.25">
      <c r="A3009" t="s">
        <v>3651</v>
      </c>
      <c r="B3009" t="s">
        <v>572</v>
      </c>
    </row>
    <row r="3010" spans="1:2" x14ac:dyDescent="0.25">
      <c r="A3010" t="s">
        <v>3652</v>
      </c>
      <c r="B3010" t="s">
        <v>572</v>
      </c>
    </row>
    <row r="3011" spans="1:2" x14ac:dyDescent="0.25">
      <c r="A3011" t="s">
        <v>3653</v>
      </c>
      <c r="B3011" t="s">
        <v>572</v>
      </c>
    </row>
    <row r="3012" spans="1:2" x14ac:dyDescent="0.25">
      <c r="A3012" t="s">
        <v>3654</v>
      </c>
      <c r="B3012" t="s">
        <v>572</v>
      </c>
    </row>
    <row r="3013" spans="1:2" x14ac:dyDescent="0.25">
      <c r="A3013" t="s">
        <v>3655</v>
      </c>
      <c r="B3013" t="s">
        <v>572</v>
      </c>
    </row>
    <row r="3014" spans="1:2" x14ac:dyDescent="0.25">
      <c r="A3014" t="s">
        <v>3656</v>
      </c>
      <c r="B3014" t="s">
        <v>572</v>
      </c>
    </row>
    <row r="3015" spans="1:2" x14ac:dyDescent="0.25">
      <c r="A3015" t="s">
        <v>3657</v>
      </c>
      <c r="B3015" t="s">
        <v>572</v>
      </c>
    </row>
    <row r="3016" spans="1:2" x14ac:dyDescent="0.25">
      <c r="A3016" t="s">
        <v>3658</v>
      </c>
      <c r="B3016" t="s">
        <v>572</v>
      </c>
    </row>
    <row r="3017" spans="1:2" x14ac:dyDescent="0.25">
      <c r="A3017" t="s">
        <v>3659</v>
      </c>
      <c r="B3017" t="s">
        <v>572</v>
      </c>
    </row>
    <row r="3018" spans="1:2" x14ac:dyDescent="0.25">
      <c r="A3018" t="s">
        <v>3660</v>
      </c>
      <c r="B3018" t="s">
        <v>572</v>
      </c>
    </row>
    <row r="3019" spans="1:2" x14ac:dyDescent="0.25">
      <c r="A3019" t="s">
        <v>3661</v>
      </c>
      <c r="B3019" t="s">
        <v>572</v>
      </c>
    </row>
    <row r="3020" spans="1:2" x14ac:dyDescent="0.25">
      <c r="A3020" t="s">
        <v>3662</v>
      </c>
      <c r="B3020" t="s">
        <v>572</v>
      </c>
    </row>
    <row r="3021" spans="1:2" x14ac:dyDescent="0.25">
      <c r="A3021" t="s">
        <v>3663</v>
      </c>
      <c r="B3021" t="s">
        <v>572</v>
      </c>
    </row>
    <row r="3022" spans="1:2" x14ac:dyDescent="0.25">
      <c r="A3022" t="s">
        <v>3664</v>
      </c>
      <c r="B3022" t="s">
        <v>572</v>
      </c>
    </row>
    <row r="3023" spans="1:2" x14ac:dyDescent="0.25">
      <c r="A3023" t="s">
        <v>3665</v>
      </c>
      <c r="B3023" t="s">
        <v>572</v>
      </c>
    </row>
    <row r="3024" spans="1:2" x14ac:dyDescent="0.25">
      <c r="A3024" t="s">
        <v>3666</v>
      </c>
      <c r="B3024" t="s">
        <v>572</v>
      </c>
    </row>
    <row r="3025" spans="1:2" x14ac:dyDescent="0.25">
      <c r="A3025" t="s">
        <v>3667</v>
      </c>
      <c r="B3025" t="s">
        <v>572</v>
      </c>
    </row>
    <row r="3026" spans="1:2" x14ac:dyDescent="0.25">
      <c r="A3026" t="s">
        <v>3668</v>
      </c>
      <c r="B3026" t="s">
        <v>572</v>
      </c>
    </row>
    <row r="3027" spans="1:2" x14ac:dyDescent="0.25">
      <c r="A3027" t="s">
        <v>3669</v>
      </c>
      <c r="B3027" t="s">
        <v>572</v>
      </c>
    </row>
    <row r="3028" spans="1:2" x14ac:dyDescent="0.25">
      <c r="A3028" t="s">
        <v>3670</v>
      </c>
      <c r="B3028" t="s">
        <v>572</v>
      </c>
    </row>
    <row r="3029" spans="1:2" x14ac:dyDescent="0.25">
      <c r="A3029" t="s">
        <v>3671</v>
      </c>
      <c r="B3029" t="s">
        <v>572</v>
      </c>
    </row>
    <row r="3030" spans="1:2" x14ac:dyDescent="0.25">
      <c r="A3030" t="s">
        <v>3672</v>
      </c>
      <c r="B3030" t="s">
        <v>572</v>
      </c>
    </row>
    <row r="3031" spans="1:2" x14ac:dyDescent="0.25">
      <c r="A3031" t="s">
        <v>3673</v>
      </c>
      <c r="B3031" t="s">
        <v>572</v>
      </c>
    </row>
    <row r="3032" spans="1:2" x14ac:dyDescent="0.25">
      <c r="A3032" t="s">
        <v>3674</v>
      </c>
      <c r="B3032" t="s">
        <v>572</v>
      </c>
    </row>
    <row r="3033" spans="1:2" x14ac:dyDescent="0.25">
      <c r="A3033" t="s">
        <v>3675</v>
      </c>
      <c r="B3033" t="s">
        <v>572</v>
      </c>
    </row>
    <row r="3034" spans="1:2" x14ac:dyDescent="0.25">
      <c r="A3034" t="s">
        <v>3676</v>
      </c>
      <c r="B3034" t="s">
        <v>572</v>
      </c>
    </row>
    <row r="3035" spans="1:2" x14ac:dyDescent="0.25">
      <c r="A3035" t="s">
        <v>3677</v>
      </c>
      <c r="B3035" t="s">
        <v>572</v>
      </c>
    </row>
    <row r="3036" spans="1:2" x14ac:dyDescent="0.25">
      <c r="A3036" t="s">
        <v>3678</v>
      </c>
      <c r="B3036" t="s">
        <v>572</v>
      </c>
    </row>
    <row r="3037" spans="1:2" x14ac:dyDescent="0.25">
      <c r="A3037" t="s">
        <v>3679</v>
      </c>
      <c r="B3037" t="s">
        <v>572</v>
      </c>
    </row>
    <row r="3038" spans="1:2" x14ac:dyDescent="0.25">
      <c r="A3038" t="s">
        <v>3680</v>
      </c>
      <c r="B3038" t="s">
        <v>572</v>
      </c>
    </row>
    <row r="3039" spans="1:2" x14ac:dyDescent="0.25">
      <c r="A3039" t="s">
        <v>3681</v>
      </c>
      <c r="B3039" t="s">
        <v>572</v>
      </c>
    </row>
    <row r="3040" spans="1:2" x14ac:dyDescent="0.25">
      <c r="A3040" t="s">
        <v>3682</v>
      </c>
      <c r="B3040" t="s">
        <v>572</v>
      </c>
    </row>
    <row r="3041" spans="1:2" x14ac:dyDescent="0.25">
      <c r="A3041" t="s">
        <v>3683</v>
      </c>
      <c r="B3041" t="s">
        <v>572</v>
      </c>
    </row>
    <row r="3042" spans="1:2" x14ac:dyDescent="0.25">
      <c r="A3042" t="s">
        <v>3684</v>
      </c>
      <c r="B3042" t="s">
        <v>572</v>
      </c>
    </row>
    <row r="3043" spans="1:2" x14ac:dyDescent="0.25">
      <c r="A3043" t="s">
        <v>3685</v>
      </c>
      <c r="B3043" t="s">
        <v>572</v>
      </c>
    </row>
    <row r="3044" spans="1:2" x14ac:dyDescent="0.25">
      <c r="A3044" t="s">
        <v>3686</v>
      </c>
      <c r="B3044" t="s">
        <v>572</v>
      </c>
    </row>
    <row r="3045" spans="1:2" x14ac:dyDescent="0.25">
      <c r="A3045" t="s">
        <v>3687</v>
      </c>
      <c r="B3045" t="s">
        <v>572</v>
      </c>
    </row>
    <row r="3046" spans="1:2" x14ac:dyDescent="0.25">
      <c r="A3046" t="s">
        <v>3688</v>
      </c>
      <c r="B3046" t="s">
        <v>572</v>
      </c>
    </row>
    <row r="3047" spans="1:2" x14ac:dyDescent="0.25">
      <c r="A3047" t="s">
        <v>3689</v>
      </c>
      <c r="B3047" t="s">
        <v>572</v>
      </c>
    </row>
    <row r="3048" spans="1:2" x14ac:dyDescent="0.25">
      <c r="A3048" t="s">
        <v>3690</v>
      </c>
      <c r="B3048" t="s">
        <v>572</v>
      </c>
    </row>
    <row r="3049" spans="1:2" x14ac:dyDescent="0.25">
      <c r="A3049" t="s">
        <v>3691</v>
      </c>
      <c r="B3049" t="s">
        <v>572</v>
      </c>
    </row>
    <row r="3050" spans="1:2" x14ac:dyDescent="0.25">
      <c r="A3050" t="s">
        <v>3692</v>
      </c>
      <c r="B3050" t="s">
        <v>572</v>
      </c>
    </row>
    <row r="3051" spans="1:2" x14ac:dyDescent="0.25">
      <c r="A3051" t="s">
        <v>3693</v>
      </c>
      <c r="B3051" t="s">
        <v>572</v>
      </c>
    </row>
    <row r="3052" spans="1:2" x14ac:dyDescent="0.25">
      <c r="A3052" t="s">
        <v>3694</v>
      </c>
      <c r="B3052" t="s">
        <v>572</v>
      </c>
    </row>
    <row r="3053" spans="1:2" x14ac:dyDescent="0.25">
      <c r="A3053" t="s">
        <v>3695</v>
      </c>
      <c r="B3053" t="s">
        <v>572</v>
      </c>
    </row>
    <row r="3054" spans="1:2" x14ac:dyDescent="0.25">
      <c r="A3054" t="s">
        <v>3696</v>
      </c>
      <c r="B3054" t="s">
        <v>572</v>
      </c>
    </row>
    <row r="3055" spans="1:2" x14ac:dyDescent="0.25">
      <c r="A3055" t="s">
        <v>3697</v>
      </c>
      <c r="B3055" t="s">
        <v>572</v>
      </c>
    </row>
    <row r="3056" spans="1:2" x14ac:dyDescent="0.25">
      <c r="A3056" t="s">
        <v>3698</v>
      </c>
      <c r="B3056" t="s">
        <v>572</v>
      </c>
    </row>
    <row r="3057" spans="1:2" x14ac:dyDescent="0.25">
      <c r="A3057" t="s">
        <v>3699</v>
      </c>
      <c r="B3057" t="s">
        <v>572</v>
      </c>
    </row>
    <row r="3058" spans="1:2" x14ac:dyDescent="0.25">
      <c r="A3058" t="s">
        <v>3700</v>
      </c>
      <c r="B3058" t="s">
        <v>572</v>
      </c>
    </row>
    <row r="3059" spans="1:2" x14ac:dyDescent="0.25">
      <c r="A3059" t="s">
        <v>3701</v>
      </c>
      <c r="B3059" t="s">
        <v>572</v>
      </c>
    </row>
    <row r="3060" spans="1:2" x14ac:dyDescent="0.25">
      <c r="A3060" t="s">
        <v>3702</v>
      </c>
      <c r="B3060" t="s">
        <v>572</v>
      </c>
    </row>
    <row r="3061" spans="1:2" x14ac:dyDescent="0.25">
      <c r="A3061" t="s">
        <v>3703</v>
      </c>
      <c r="B3061" t="s">
        <v>572</v>
      </c>
    </row>
    <row r="3062" spans="1:2" x14ac:dyDescent="0.25">
      <c r="A3062" t="s">
        <v>3704</v>
      </c>
      <c r="B3062" t="s">
        <v>572</v>
      </c>
    </row>
    <row r="3063" spans="1:2" x14ac:dyDescent="0.25">
      <c r="A3063" t="s">
        <v>3705</v>
      </c>
      <c r="B3063" t="s">
        <v>572</v>
      </c>
    </row>
    <row r="3064" spans="1:2" x14ac:dyDescent="0.25">
      <c r="A3064" t="s">
        <v>3706</v>
      </c>
      <c r="B3064" t="s">
        <v>572</v>
      </c>
    </row>
    <row r="3065" spans="1:2" x14ac:dyDescent="0.25">
      <c r="A3065" t="s">
        <v>3707</v>
      </c>
      <c r="B3065" t="s">
        <v>572</v>
      </c>
    </row>
    <row r="3066" spans="1:2" x14ac:dyDescent="0.25">
      <c r="A3066" t="s">
        <v>3708</v>
      </c>
      <c r="B3066" t="s">
        <v>572</v>
      </c>
    </row>
    <row r="3067" spans="1:2" x14ac:dyDescent="0.25">
      <c r="A3067" t="s">
        <v>3709</v>
      </c>
      <c r="B3067" t="s">
        <v>572</v>
      </c>
    </row>
    <row r="3068" spans="1:2" x14ac:dyDescent="0.25">
      <c r="A3068" t="s">
        <v>3710</v>
      </c>
      <c r="B3068" t="s">
        <v>572</v>
      </c>
    </row>
    <row r="3069" spans="1:2" x14ac:dyDescent="0.25">
      <c r="A3069" t="s">
        <v>3711</v>
      </c>
      <c r="B3069" t="s">
        <v>572</v>
      </c>
    </row>
    <row r="3070" spans="1:2" x14ac:dyDescent="0.25">
      <c r="A3070" t="s">
        <v>3712</v>
      </c>
      <c r="B3070" t="s">
        <v>572</v>
      </c>
    </row>
    <row r="3071" spans="1:2" x14ac:dyDescent="0.25">
      <c r="A3071" t="s">
        <v>3713</v>
      </c>
      <c r="B3071" t="s">
        <v>572</v>
      </c>
    </row>
    <row r="3072" spans="1:2" x14ac:dyDescent="0.25">
      <c r="A3072" t="s">
        <v>3714</v>
      </c>
      <c r="B3072" t="s">
        <v>572</v>
      </c>
    </row>
    <row r="3073" spans="1:2" x14ac:dyDescent="0.25">
      <c r="A3073" t="s">
        <v>3715</v>
      </c>
      <c r="B3073" t="s">
        <v>572</v>
      </c>
    </row>
    <row r="3074" spans="1:2" x14ac:dyDescent="0.25">
      <c r="A3074" t="s">
        <v>3716</v>
      </c>
      <c r="B3074" t="s">
        <v>572</v>
      </c>
    </row>
    <row r="3075" spans="1:2" x14ac:dyDescent="0.25">
      <c r="A3075" t="s">
        <v>3717</v>
      </c>
      <c r="B3075" t="s">
        <v>572</v>
      </c>
    </row>
    <row r="3076" spans="1:2" x14ac:dyDescent="0.25">
      <c r="A3076" t="s">
        <v>3718</v>
      </c>
      <c r="B3076" t="s">
        <v>572</v>
      </c>
    </row>
    <row r="3077" spans="1:2" x14ac:dyDescent="0.25">
      <c r="A3077" t="s">
        <v>3719</v>
      </c>
      <c r="B3077" t="s">
        <v>572</v>
      </c>
    </row>
    <row r="3078" spans="1:2" x14ac:dyDescent="0.25">
      <c r="A3078" t="s">
        <v>3720</v>
      </c>
      <c r="B3078" t="s">
        <v>572</v>
      </c>
    </row>
    <row r="3079" spans="1:2" x14ac:dyDescent="0.25">
      <c r="A3079" t="s">
        <v>3721</v>
      </c>
      <c r="B3079" t="s">
        <v>572</v>
      </c>
    </row>
    <row r="3080" spans="1:2" x14ac:dyDescent="0.25">
      <c r="A3080" t="s">
        <v>3722</v>
      </c>
      <c r="B3080" t="s">
        <v>572</v>
      </c>
    </row>
    <row r="3081" spans="1:2" x14ac:dyDescent="0.25">
      <c r="A3081" t="s">
        <v>3723</v>
      </c>
      <c r="B3081" t="s">
        <v>572</v>
      </c>
    </row>
    <row r="3082" spans="1:2" x14ac:dyDescent="0.25">
      <c r="A3082" t="s">
        <v>3724</v>
      </c>
      <c r="B3082" t="s">
        <v>572</v>
      </c>
    </row>
    <row r="3083" spans="1:2" x14ac:dyDescent="0.25">
      <c r="A3083" t="s">
        <v>3725</v>
      </c>
      <c r="B3083" t="s">
        <v>572</v>
      </c>
    </row>
    <row r="3084" spans="1:2" x14ac:dyDescent="0.25">
      <c r="A3084" t="s">
        <v>3726</v>
      </c>
      <c r="B3084" t="s">
        <v>572</v>
      </c>
    </row>
    <row r="3085" spans="1:2" x14ac:dyDescent="0.25">
      <c r="A3085" t="s">
        <v>3727</v>
      </c>
      <c r="B3085" t="s">
        <v>572</v>
      </c>
    </row>
    <row r="3086" spans="1:2" x14ac:dyDescent="0.25">
      <c r="A3086" t="s">
        <v>3728</v>
      </c>
      <c r="B3086" t="s">
        <v>572</v>
      </c>
    </row>
    <row r="3087" spans="1:2" x14ac:dyDescent="0.25">
      <c r="A3087" t="s">
        <v>3729</v>
      </c>
      <c r="B3087" t="s">
        <v>572</v>
      </c>
    </row>
    <row r="3088" spans="1:2" x14ac:dyDescent="0.25">
      <c r="A3088" t="s">
        <v>3730</v>
      </c>
      <c r="B3088" t="s">
        <v>572</v>
      </c>
    </row>
    <row r="3089" spans="1:2" x14ac:dyDescent="0.25">
      <c r="A3089" t="s">
        <v>3731</v>
      </c>
      <c r="B3089" t="s">
        <v>572</v>
      </c>
    </row>
    <row r="3090" spans="1:2" x14ac:dyDescent="0.25">
      <c r="A3090" t="s">
        <v>3732</v>
      </c>
      <c r="B3090" t="s">
        <v>572</v>
      </c>
    </row>
    <row r="3091" spans="1:2" x14ac:dyDescent="0.25">
      <c r="A3091" t="s">
        <v>3733</v>
      </c>
      <c r="B3091" t="s">
        <v>572</v>
      </c>
    </row>
    <row r="3092" spans="1:2" x14ac:dyDescent="0.25">
      <c r="A3092" t="s">
        <v>3734</v>
      </c>
      <c r="B3092" t="s">
        <v>572</v>
      </c>
    </row>
    <row r="3093" spans="1:2" x14ac:dyDescent="0.25">
      <c r="A3093" t="s">
        <v>3735</v>
      </c>
      <c r="B3093" t="s">
        <v>572</v>
      </c>
    </row>
    <row r="3094" spans="1:2" x14ac:dyDescent="0.25">
      <c r="A3094" t="s">
        <v>3736</v>
      </c>
      <c r="B3094" t="s">
        <v>572</v>
      </c>
    </row>
    <row r="3095" spans="1:2" x14ac:dyDescent="0.25">
      <c r="A3095" t="s">
        <v>3737</v>
      </c>
      <c r="B3095" t="s">
        <v>572</v>
      </c>
    </row>
    <row r="3096" spans="1:2" x14ac:dyDescent="0.25">
      <c r="A3096" t="s">
        <v>3738</v>
      </c>
      <c r="B3096" t="s">
        <v>572</v>
      </c>
    </row>
    <row r="3097" spans="1:2" x14ac:dyDescent="0.25">
      <c r="A3097" t="s">
        <v>3739</v>
      </c>
      <c r="B3097" t="s">
        <v>572</v>
      </c>
    </row>
    <row r="3098" spans="1:2" x14ac:dyDescent="0.25">
      <c r="A3098" t="s">
        <v>3740</v>
      </c>
      <c r="B3098" t="s">
        <v>572</v>
      </c>
    </row>
    <row r="3099" spans="1:2" x14ac:dyDescent="0.25">
      <c r="A3099" t="s">
        <v>3741</v>
      </c>
      <c r="B3099" t="s">
        <v>572</v>
      </c>
    </row>
    <row r="3100" spans="1:2" x14ac:dyDescent="0.25">
      <c r="A3100" t="s">
        <v>3742</v>
      </c>
      <c r="B3100" t="s">
        <v>572</v>
      </c>
    </row>
    <row r="3101" spans="1:2" x14ac:dyDescent="0.25">
      <c r="A3101" t="s">
        <v>3743</v>
      </c>
      <c r="B3101" t="s">
        <v>572</v>
      </c>
    </row>
    <row r="3102" spans="1:2" x14ac:dyDescent="0.25">
      <c r="A3102" t="s">
        <v>3744</v>
      </c>
      <c r="B3102" t="s">
        <v>572</v>
      </c>
    </row>
    <row r="3103" spans="1:2" x14ac:dyDescent="0.25">
      <c r="A3103" t="s">
        <v>3745</v>
      </c>
      <c r="B3103" t="s">
        <v>572</v>
      </c>
    </row>
    <row r="3104" spans="1:2" x14ac:dyDescent="0.25">
      <c r="A3104" t="s">
        <v>3746</v>
      </c>
      <c r="B3104" t="s">
        <v>572</v>
      </c>
    </row>
    <row r="3105" spans="1:2" x14ac:dyDescent="0.25">
      <c r="A3105" t="s">
        <v>3747</v>
      </c>
      <c r="B3105" t="s">
        <v>572</v>
      </c>
    </row>
    <row r="3106" spans="1:2" x14ac:dyDescent="0.25">
      <c r="A3106" t="s">
        <v>3748</v>
      </c>
      <c r="B3106" t="s">
        <v>572</v>
      </c>
    </row>
    <row r="3107" spans="1:2" x14ac:dyDescent="0.25">
      <c r="A3107" t="s">
        <v>3749</v>
      </c>
      <c r="B3107" t="s">
        <v>572</v>
      </c>
    </row>
    <row r="3108" spans="1:2" x14ac:dyDescent="0.25">
      <c r="A3108" t="s">
        <v>3750</v>
      </c>
      <c r="B3108" t="s">
        <v>572</v>
      </c>
    </row>
    <row r="3109" spans="1:2" x14ac:dyDescent="0.25">
      <c r="A3109" t="s">
        <v>3751</v>
      </c>
      <c r="B3109" t="s">
        <v>572</v>
      </c>
    </row>
    <row r="3110" spans="1:2" x14ac:dyDescent="0.25">
      <c r="A3110" t="s">
        <v>3752</v>
      </c>
      <c r="B3110" t="s">
        <v>572</v>
      </c>
    </row>
    <row r="3111" spans="1:2" x14ac:dyDescent="0.25">
      <c r="A3111" t="s">
        <v>3753</v>
      </c>
      <c r="B3111" t="s">
        <v>572</v>
      </c>
    </row>
    <row r="3112" spans="1:2" x14ac:dyDescent="0.25">
      <c r="A3112" t="s">
        <v>3754</v>
      </c>
      <c r="B3112" t="s">
        <v>572</v>
      </c>
    </row>
    <row r="3113" spans="1:2" x14ac:dyDescent="0.25">
      <c r="A3113" t="s">
        <v>3755</v>
      </c>
      <c r="B3113" t="s">
        <v>572</v>
      </c>
    </row>
    <row r="3114" spans="1:2" x14ac:dyDescent="0.25">
      <c r="A3114" t="s">
        <v>3756</v>
      </c>
      <c r="B3114" t="s">
        <v>572</v>
      </c>
    </row>
    <row r="3115" spans="1:2" x14ac:dyDescent="0.25">
      <c r="A3115" t="s">
        <v>3757</v>
      </c>
      <c r="B3115" t="s">
        <v>572</v>
      </c>
    </row>
    <row r="3116" spans="1:2" x14ac:dyDescent="0.25">
      <c r="A3116" t="s">
        <v>3758</v>
      </c>
      <c r="B3116" t="s">
        <v>572</v>
      </c>
    </row>
    <row r="3117" spans="1:2" x14ac:dyDescent="0.25">
      <c r="A3117" t="s">
        <v>3759</v>
      </c>
      <c r="B3117" t="s">
        <v>572</v>
      </c>
    </row>
    <row r="3118" spans="1:2" x14ac:dyDescent="0.25">
      <c r="A3118" t="s">
        <v>3760</v>
      </c>
      <c r="B3118" t="s">
        <v>572</v>
      </c>
    </row>
    <row r="3119" spans="1:2" x14ac:dyDescent="0.25">
      <c r="A3119" t="s">
        <v>3761</v>
      </c>
      <c r="B3119" t="s">
        <v>572</v>
      </c>
    </row>
    <row r="3120" spans="1:2" x14ac:dyDescent="0.25">
      <c r="A3120" t="s">
        <v>3762</v>
      </c>
      <c r="B3120" t="s">
        <v>572</v>
      </c>
    </row>
    <row r="3121" spans="1:2" x14ac:dyDescent="0.25">
      <c r="A3121" t="s">
        <v>3763</v>
      </c>
      <c r="B3121" t="s">
        <v>572</v>
      </c>
    </row>
    <row r="3122" spans="1:2" x14ac:dyDescent="0.25">
      <c r="A3122" t="s">
        <v>3764</v>
      </c>
      <c r="B3122" t="s">
        <v>572</v>
      </c>
    </row>
    <row r="3123" spans="1:2" x14ac:dyDescent="0.25">
      <c r="A3123" t="s">
        <v>3765</v>
      </c>
      <c r="B3123" t="s">
        <v>572</v>
      </c>
    </row>
    <row r="3124" spans="1:2" x14ac:dyDescent="0.25">
      <c r="A3124" t="s">
        <v>3766</v>
      </c>
      <c r="B3124" t="s">
        <v>572</v>
      </c>
    </row>
    <row r="3125" spans="1:2" x14ac:dyDescent="0.25">
      <c r="A3125" t="s">
        <v>3767</v>
      </c>
      <c r="B3125" t="s">
        <v>572</v>
      </c>
    </row>
    <row r="3126" spans="1:2" x14ac:dyDescent="0.25">
      <c r="A3126" t="s">
        <v>3768</v>
      </c>
      <c r="B3126" t="s">
        <v>572</v>
      </c>
    </row>
    <row r="3127" spans="1:2" x14ac:dyDescent="0.25">
      <c r="A3127" t="s">
        <v>3769</v>
      </c>
      <c r="B3127" t="s">
        <v>572</v>
      </c>
    </row>
    <row r="3128" spans="1:2" x14ac:dyDescent="0.25">
      <c r="A3128" t="s">
        <v>3770</v>
      </c>
      <c r="B3128" t="s">
        <v>572</v>
      </c>
    </row>
    <row r="3129" spans="1:2" x14ac:dyDescent="0.25">
      <c r="A3129" t="s">
        <v>3771</v>
      </c>
      <c r="B3129" t="s">
        <v>572</v>
      </c>
    </row>
    <row r="3130" spans="1:2" x14ac:dyDescent="0.25">
      <c r="A3130" t="s">
        <v>3772</v>
      </c>
      <c r="B3130" t="s">
        <v>572</v>
      </c>
    </row>
    <row r="3131" spans="1:2" x14ac:dyDescent="0.25">
      <c r="A3131" t="s">
        <v>3773</v>
      </c>
      <c r="B3131" t="s">
        <v>572</v>
      </c>
    </row>
    <row r="3132" spans="1:2" x14ac:dyDescent="0.25">
      <c r="A3132" t="s">
        <v>3774</v>
      </c>
      <c r="B3132" t="s">
        <v>572</v>
      </c>
    </row>
    <row r="3133" spans="1:2" x14ac:dyDescent="0.25">
      <c r="A3133" t="s">
        <v>3775</v>
      </c>
      <c r="B3133" t="s">
        <v>572</v>
      </c>
    </row>
    <row r="3134" spans="1:2" x14ac:dyDescent="0.25">
      <c r="A3134" t="s">
        <v>3776</v>
      </c>
      <c r="B3134" t="s">
        <v>572</v>
      </c>
    </row>
    <row r="3135" spans="1:2" x14ac:dyDescent="0.25">
      <c r="A3135" t="s">
        <v>3777</v>
      </c>
      <c r="B3135" t="s">
        <v>572</v>
      </c>
    </row>
    <row r="3136" spans="1:2" x14ac:dyDescent="0.25">
      <c r="A3136" t="s">
        <v>3778</v>
      </c>
      <c r="B3136" t="s">
        <v>572</v>
      </c>
    </row>
    <row r="3137" spans="1:2" x14ac:dyDescent="0.25">
      <c r="A3137" t="s">
        <v>3779</v>
      </c>
      <c r="B3137" t="s">
        <v>572</v>
      </c>
    </row>
    <row r="3138" spans="1:2" x14ac:dyDescent="0.25">
      <c r="A3138" t="s">
        <v>3780</v>
      </c>
      <c r="B3138" t="s">
        <v>572</v>
      </c>
    </row>
    <row r="3139" spans="1:2" x14ac:dyDescent="0.25">
      <c r="A3139" t="s">
        <v>3781</v>
      </c>
      <c r="B3139" t="s">
        <v>572</v>
      </c>
    </row>
    <row r="3140" spans="1:2" x14ac:dyDescent="0.25">
      <c r="A3140" t="s">
        <v>3782</v>
      </c>
      <c r="B3140" t="s">
        <v>572</v>
      </c>
    </row>
    <row r="3141" spans="1:2" x14ac:dyDescent="0.25">
      <c r="A3141" t="s">
        <v>3783</v>
      </c>
      <c r="B3141" t="s">
        <v>572</v>
      </c>
    </row>
    <row r="3142" spans="1:2" x14ac:dyDescent="0.25">
      <c r="A3142" t="s">
        <v>3784</v>
      </c>
      <c r="B3142" t="s">
        <v>572</v>
      </c>
    </row>
    <row r="3143" spans="1:2" x14ac:dyDescent="0.25">
      <c r="A3143" t="s">
        <v>3785</v>
      </c>
      <c r="B3143" t="s">
        <v>572</v>
      </c>
    </row>
    <row r="3144" spans="1:2" x14ac:dyDescent="0.25">
      <c r="A3144" t="s">
        <v>3786</v>
      </c>
      <c r="B3144" t="s">
        <v>572</v>
      </c>
    </row>
    <row r="3145" spans="1:2" x14ac:dyDescent="0.25">
      <c r="A3145" t="s">
        <v>3787</v>
      </c>
      <c r="B3145" t="s">
        <v>572</v>
      </c>
    </row>
    <row r="3146" spans="1:2" x14ac:dyDescent="0.25">
      <c r="A3146" t="s">
        <v>3788</v>
      </c>
      <c r="B3146" t="s">
        <v>572</v>
      </c>
    </row>
    <row r="3147" spans="1:2" x14ac:dyDescent="0.25">
      <c r="A3147" t="s">
        <v>3789</v>
      </c>
      <c r="B3147" t="s">
        <v>572</v>
      </c>
    </row>
    <row r="3148" spans="1:2" x14ac:dyDescent="0.25">
      <c r="A3148" t="s">
        <v>3790</v>
      </c>
      <c r="B3148" t="s">
        <v>572</v>
      </c>
    </row>
    <row r="3149" spans="1:2" x14ac:dyDescent="0.25">
      <c r="A3149" t="s">
        <v>3791</v>
      </c>
      <c r="B3149" t="s">
        <v>572</v>
      </c>
    </row>
    <row r="3150" spans="1:2" x14ac:dyDescent="0.25">
      <c r="A3150" t="s">
        <v>3792</v>
      </c>
      <c r="B3150" t="s">
        <v>572</v>
      </c>
    </row>
    <row r="3151" spans="1:2" x14ac:dyDescent="0.25">
      <c r="A3151" t="s">
        <v>3793</v>
      </c>
      <c r="B3151" t="s">
        <v>572</v>
      </c>
    </row>
    <row r="3152" spans="1:2" x14ac:dyDescent="0.25">
      <c r="A3152" t="s">
        <v>3794</v>
      </c>
      <c r="B3152" t="s">
        <v>572</v>
      </c>
    </row>
    <row r="3153" spans="1:2" x14ac:dyDescent="0.25">
      <c r="A3153" t="s">
        <v>3795</v>
      </c>
      <c r="B3153" t="s">
        <v>572</v>
      </c>
    </row>
    <row r="3154" spans="1:2" x14ac:dyDescent="0.25">
      <c r="A3154" t="s">
        <v>3796</v>
      </c>
      <c r="B3154" t="s">
        <v>572</v>
      </c>
    </row>
    <row r="3155" spans="1:2" x14ac:dyDescent="0.25">
      <c r="A3155" t="s">
        <v>3797</v>
      </c>
      <c r="B3155" t="s">
        <v>572</v>
      </c>
    </row>
    <row r="3156" spans="1:2" x14ac:dyDescent="0.25">
      <c r="A3156" t="s">
        <v>3798</v>
      </c>
      <c r="B3156" t="s">
        <v>572</v>
      </c>
    </row>
    <row r="3157" spans="1:2" x14ac:dyDescent="0.25">
      <c r="A3157" t="s">
        <v>3799</v>
      </c>
      <c r="B3157" t="s">
        <v>572</v>
      </c>
    </row>
    <row r="3158" spans="1:2" x14ac:dyDescent="0.25">
      <c r="A3158" t="s">
        <v>3800</v>
      </c>
      <c r="B3158" t="s">
        <v>572</v>
      </c>
    </row>
    <row r="3159" spans="1:2" x14ac:dyDescent="0.25">
      <c r="A3159" t="s">
        <v>3801</v>
      </c>
      <c r="B3159" t="s">
        <v>572</v>
      </c>
    </row>
    <row r="3160" spans="1:2" x14ac:dyDescent="0.25">
      <c r="A3160" t="s">
        <v>3802</v>
      </c>
      <c r="B3160" t="s">
        <v>572</v>
      </c>
    </row>
    <row r="3161" spans="1:2" x14ac:dyDescent="0.25">
      <c r="A3161" t="s">
        <v>3803</v>
      </c>
      <c r="B3161" t="s">
        <v>572</v>
      </c>
    </row>
    <row r="3162" spans="1:2" x14ac:dyDescent="0.25">
      <c r="A3162" t="s">
        <v>3804</v>
      </c>
      <c r="B3162" t="s">
        <v>572</v>
      </c>
    </row>
    <row r="3163" spans="1:2" x14ac:dyDescent="0.25">
      <c r="A3163" t="s">
        <v>3805</v>
      </c>
      <c r="B3163" t="s">
        <v>572</v>
      </c>
    </row>
    <row r="3164" spans="1:2" x14ac:dyDescent="0.25">
      <c r="A3164" t="s">
        <v>3806</v>
      </c>
      <c r="B3164" t="s">
        <v>572</v>
      </c>
    </row>
    <row r="3165" spans="1:2" x14ac:dyDescent="0.25">
      <c r="A3165" t="s">
        <v>3807</v>
      </c>
      <c r="B3165" t="s">
        <v>572</v>
      </c>
    </row>
    <row r="3166" spans="1:2" x14ac:dyDescent="0.25">
      <c r="A3166" t="s">
        <v>3808</v>
      </c>
      <c r="B3166" t="s">
        <v>572</v>
      </c>
    </row>
    <row r="3167" spans="1:2" x14ac:dyDescent="0.25">
      <c r="A3167" t="s">
        <v>3809</v>
      </c>
      <c r="B3167" t="s">
        <v>572</v>
      </c>
    </row>
    <row r="3168" spans="1:2" x14ac:dyDescent="0.25">
      <c r="A3168" t="s">
        <v>305</v>
      </c>
      <c r="B3168" t="s">
        <v>229</v>
      </c>
    </row>
    <row r="3169" spans="1:2" x14ac:dyDescent="0.25">
      <c r="A3169" t="s">
        <v>1401</v>
      </c>
      <c r="B3169" t="s">
        <v>229</v>
      </c>
    </row>
    <row r="3170" spans="1:2" x14ac:dyDescent="0.25">
      <c r="A3170" t="s">
        <v>1402</v>
      </c>
      <c r="B3170" t="s">
        <v>229</v>
      </c>
    </row>
    <row r="3171" spans="1:2" x14ac:dyDescent="0.25">
      <c r="A3171" t="s">
        <v>1203</v>
      </c>
      <c r="B3171" t="s">
        <v>229</v>
      </c>
    </row>
    <row r="3172" spans="1:2" x14ac:dyDescent="0.25">
      <c r="A3172" t="s">
        <v>1204</v>
      </c>
      <c r="B3172" t="s">
        <v>229</v>
      </c>
    </row>
    <row r="3173" spans="1:2" x14ac:dyDescent="0.25">
      <c r="A3173" t="s">
        <v>1403</v>
      </c>
      <c r="B3173" t="s">
        <v>229</v>
      </c>
    </row>
    <row r="3174" spans="1:2" x14ac:dyDescent="0.25">
      <c r="A3174" t="s">
        <v>1205</v>
      </c>
      <c r="B3174" t="s">
        <v>229</v>
      </c>
    </row>
    <row r="3175" spans="1:2" x14ac:dyDescent="0.25">
      <c r="A3175" t="s">
        <v>306</v>
      </c>
      <c r="B3175" t="s">
        <v>229</v>
      </c>
    </row>
    <row r="3176" spans="1:2" x14ac:dyDescent="0.25">
      <c r="A3176" t="s">
        <v>1206</v>
      </c>
      <c r="B3176" t="s">
        <v>229</v>
      </c>
    </row>
    <row r="3177" spans="1:2" x14ac:dyDescent="0.25">
      <c r="A3177" t="s">
        <v>1207</v>
      </c>
      <c r="B3177" t="s">
        <v>229</v>
      </c>
    </row>
    <row r="3178" spans="1:2" x14ac:dyDescent="0.25">
      <c r="A3178" t="s">
        <v>1208</v>
      </c>
      <c r="B3178" t="s">
        <v>229</v>
      </c>
    </row>
    <row r="3179" spans="1:2" x14ac:dyDescent="0.25">
      <c r="A3179" t="s">
        <v>1404</v>
      </c>
      <c r="B3179" t="s">
        <v>229</v>
      </c>
    </row>
    <row r="3180" spans="1:2" x14ac:dyDescent="0.25">
      <c r="A3180" t="s">
        <v>1209</v>
      </c>
      <c r="B3180" t="s">
        <v>229</v>
      </c>
    </row>
    <row r="3181" spans="1:2" x14ac:dyDescent="0.25">
      <c r="A3181" t="s">
        <v>1405</v>
      </c>
      <c r="B3181" t="s">
        <v>229</v>
      </c>
    </row>
    <row r="3182" spans="1:2" x14ac:dyDescent="0.25">
      <c r="A3182" t="s">
        <v>1406</v>
      </c>
      <c r="B3182" t="s">
        <v>229</v>
      </c>
    </row>
    <row r="3183" spans="1:2" x14ac:dyDescent="0.25">
      <c r="A3183" t="s">
        <v>1210</v>
      </c>
      <c r="B3183" t="s">
        <v>229</v>
      </c>
    </row>
    <row r="3184" spans="1:2" x14ac:dyDescent="0.25">
      <c r="A3184" t="s">
        <v>643</v>
      </c>
      <c r="B3184" t="s">
        <v>229</v>
      </c>
    </row>
    <row r="3185" spans="1:2" x14ac:dyDescent="0.25">
      <c r="A3185" t="s">
        <v>228</v>
      </c>
      <c r="B3185" t="s">
        <v>229</v>
      </c>
    </row>
    <row r="3186" spans="1:2" x14ac:dyDescent="0.25">
      <c r="A3186" t="s">
        <v>491</v>
      </c>
      <c r="B3186" t="s">
        <v>229</v>
      </c>
    </row>
    <row r="3187" spans="1:2" x14ac:dyDescent="0.25">
      <c r="A3187" t="s">
        <v>307</v>
      </c>
      <c r="B3187" t="s">
        <v>229</v>
      </c>
    </row>
    <row r="3188" spans="1:2" x14ac:dyDescent="0.25">
      <c r="A3188" t="s">
        <v>1211</v>
      </c>
      <c r="B3188" t="s">
        <v>229</v>
      </c>
    </row>
    <row r="3189" spans="1:2" x14ac:dyDescent="0.25">
      <c r="A3189" t="s">
        <v>230</v>
      </c>
      <c r="B3189" t="s">
        <v>229</v>
      </c>
    </row>
    <row r="3190" spans="1:2" x14ac:dyDescent="0.25">
      <c r="A3190" t="s">
        <v>3810</v>
      </c>
      <c r="B3190" t="s">
        <v>1213</v>
      </c>
    </row>
    <row r="3191" spans="1:2" x14ac:dyDescent="0.25">
      <c r="A3191" t="s">
        <v>3811</v>
      </c>
      <c r="B3191" t="s">
        <v>1213</v>
      </c>
    </row>
    <row r="3192" spans="1:2" x14ac:dyDescent="0.25">
      <c r="A3192" t="s">
        <v>3812</v>
      </c>
      <c r="B3192" t="s">
        <v>232</v>
      </c>
    </row>
    <row r="3193" spans="1:2" x14ac:dyDescent="0.25">
      <c r="A3193" t="s">
        <v>3813</v>
      </c>
      <c r="B3193" t="s">
        <v>232</v>
      </c>
    </row>
    <row r="3194" spans="1:2" x14ac:dyDescent="0.25">
      <c r="A3194" t="s">
        <v>3814</v>
      </c>
      <c r="B3194" t="s">
        <v>232</v>
      </c>
    </row>
    <row r="3195" spans="1:2" x14ac:dyDescent="0.25">
      <c r="A3195" t="s">
        <v>3815</v>
      </c>
      <c r="B3195" t="s">
        <v>232</v>
      </c>
    </row>
    <row r="3196" spans="1:2" x14ac:dyDescent="0.25">
      <c r="A3196" t="s">
        <v>3816</v>
      </c>
      <c r="B3196" t="s">
        <v>232</v>
      </c>
    </row>
    <row r="3197" spans="1:2" x14ac:dyDescent="0.25">
      <c r="A3197" t="s">
        <v>3817</v>
      </c>
      <c r="B3197" t="s">
        <v>232</v>
      </c>
    </row>
    <row r="3198" spans="1:2" x14ac:dyDescent="0.25">
      <c r="A3198" t="s">
        <v>3818</v>
      </c>
      <c r="B3198" t="s">
        <v>232</v>
      </c>
    </row>
    <row r="3199" spans="1:2" x14ac:dyDescent="0.25">
      <c r="A3199" t="s">
        <v>3819</v>
      </c>
      <c r="B3199" t="s">
        <v>232</v>
      </c>
    </row>
    <row r="3200" spans="1:2" x14ac:dyDescent="0.25">
      <c r="A3200" t="s">
        <v>3820</v>
      </c>
      <c r="B3200" t="s">
        <v>232</v>
      </c>
    </row>
    <row r="3201" spans="1:2" x14ac:dyDescent="0.25">
      <c r="A3201" t="s">
        <v>3821</v>
      </c>
      <c r="B3201" t="s">
        <v>232</v>
      </c>
    </row>
    <row r="3202" spans="1:2" x14ac:dyDescent="0.25">
      <c r="A3202" t="s">
        <v>3822</v>
      </c>
      <c r="B3202" t="s">
        <v>232</v>
      </c>
    </row>
    <row r="3203" spans="1:2" x14ac:dyDescent="0.25">
      <c r="A3203" t="s">
        <v>3823</v>
      </c>
      <c r="B3203" t="s">
        <v>232</v>
      </c>
    </row>
    <row r="3204" spans="1:2" x14ac:dyDescent="0.25">
      <c r="A3204" t="s">
        <v>3824</v>
      </c>
      <c r="B3204" t="s">
        <v>232</v>
      </c>
    </row>
    <row r="3205" spans="1:2" x14ac:dyDescent="0.25">
      <c r="A3205" t="s">
        <v>3825</v>
      </c>
      <c r="B3205" t="s">
        <v>232</v>
      </c>
    </row>
    <row r="3206" spans="1:2" x14ac:dyDescent="0.25">
      <c r="A3206" t="s">
        <v>1214</v>
      </c>
      <c r="B3206" t="s">
        <v>1215</v>
      </c>
    </row>
    <row r="3207" spans="1:2" x14ac:dyDescent="0.25">
      <c r="A3207" t="s">
        <v>1407</v>
      </c>
      <c r="B3207" t="s">
        <v>1215</v>
      </c>
    </row>
    <row r="3208" spans="1:2" x14ac:dyDescent="0.25">
      <c r="A3208" t="s">
        <v>1216</v>
      </c>
      <c r="B3208" t="s">
        <v>1215</v>
      </c>
    </row>
    <row r="3209" spans="1:2" x14ac:dyDescent="0.25">
      <c r="A3209" t="s">
        <v>1217</v>
      </c>
      <c r="B3209" t="s">
        <v>1215</v>
      </c>
    </row>
    <row r="3210" spans="1:2" x14ac:dyDescent="0.25">
      <c r="A3210" t="s">
        <v>1408</v>
      </c>
      <c r="B3210" t="s">
        <v>1215</v>
      </c>
    </row>
    <row r="3211" spans="1:2" x14ac:dyDescent="0.25">
      <c r="A3211" t="s">
        <v>1218</v>
      </c>
      <c r="B3211" t="s">
        <v>1215</v>
      </c>
    </row>
    <row r="3212" spans="1:2" x14ac:dyDescent="0.25">
      <c r="A3212" t="s">
        <v>1409</v>
      </c>
      <c r="B3212" t="s">
        <v>1215</v>
      </c>
    </row>
    <row r="3213" spans="1:2" x14ac:dyDescent="0.25">
      <c r="A3213" t="s">
        <v>1410</v>
      </c>
      <c r="B3213" t="s">
        <v>1215</v>
      </c>
    </row>
    <row r="3214" spans="1:2" x14ac:dyDescent="0.25">
      <c r="A3214" t="s">
        <v>1219</v>
      </c>
      <c r="B3214" t="s">
        <v>514</v>
      </c>
    </row>
    <row r="3215" spans="1:2" x14ac:dyDescent="0.25">
      <c r="A3215" t="s">
        <v>513</v>
      </c>
      <c r="B3215" t="s">
        <v>514</v>
      </c>
    </row>
    <row r="3216" spans="1:2" x14ac:dyDescent="0.25">
      <c r="A3216" t="s">
        <v>1220</v>
      </c>
      <c r="B3216" t="s">
        <v>1221</v>
      </c>
    </row>
    <row r="3217" spans="1:2" x14ac:dyDescent="0.25">
      <c r="A3217" t="s">
        <v>3826</v>
      </c>
      <c r="B3217" t="s">
        <v>1222</v>
      </c>
    </row>
    <row r="3218" spans="1:2" x14ac:dyDescent="0.25">
      <c r="A3218" t="s">
        <v>3827</v>
      </c>
      <c r="B3218" t="s">
        <v>1222</v>
      </c>
    </row>
    <row r="3219" spans="1:2" x14ac:dyDescent="0.25">
      <c r="A3219" t="s">
        <v>3828</v>
      </c>
      <c r="B3219" t="s">
        <v>1224</v>
      </c>
    </row>
    <row r="3220" spans="1:2" x14ac:dyDescent="0.25">
      <c r="A3220" t="s">
        <v>3829</v>
      </c>
      <c r="B3220" t="s">
        <v>1225</v>
      </c>
    </row>
    <row r="3221" spans="1:2" x14ac:dyDescent="0.25">
      <c r="A3221" t="s">
        <v>1226</v>
      </c>
      <c r="B3221" t="s">
        <v>1227</v>
      </c>
    </row>
    <row r="3222" spans="1:2" x14ac:dyDescent="0.25">
      <c r="A3222" t="s">
        <v>540</v>
      </c>
      <c r="B3222" t="s">
        <v>534</v>
      </c>
    </row>
    <row r="3223" spans="1:2" x14ac:dyDescent="0.25">
      <c r="A3223" t="s">
        <v>3830</v>
      </c>
      <c r="B3223" t="s">
        <v>534</v>
      </c>
    </row>
    <row r="3224" spans="1:2" x14ac:dyDescent="0.25">
      <c r="A3224" t="s">
        <v>3831</v>
      </c>
      <c r="B3224" t="s">
        <v>534</v>
      </c>
    </row>
    <row r="3225" spans="1:2" x14ac:dyDescent="0.25">
      <c r="A3225" t="s">
        <v>3832</v>
      </c>
      <c r="B3225" t="s">
        <v>534</v>
      </c>
    </row>
    <row r="3226" spans="1:2" x14ac:dyDescent="0.25">
      <c r="A3226" t="s">
        <v>3833</v>
      </c>
      <c r="B3226" t="s">
        <v>534</v>
      </c>
    </row>
    <row r="3227" spans="1:2" x14ac:dyDescent="0.25">
      <c r="A3227" t="s">
        <v>3834</v>
      </c>
      <c r="B3227" t="s">
        <v>534</v>
      </c>
    </row>
    <row r="3228" spans="1:2" x14ac:dyDescent="0.25">
      <c r="A3228" t="s">
        <v>3835</v>
      </c>
      <c r="B3228" t="s">
        <v>534</v>
      </c>
    </row>
    <row r="3229" spans="1:2" x14ac:dyDescent="0.25">
      <c r="A3229" t="s">
        <v>1228</v>
      </c>
      <c r="B3229" t="s">
        <v>1229</v>
      </c>
    </row>
    <row r="3230" spans="1:2" x14ac:dyDescent="0.25">
      <c r="A3230" t="s">
        <v>1230</v>
      </c>
      <c r="B3230" t="s">
        <v>1231</v>
      </c>
    </row>
    <row r="3231" spans="1:2" x14ac:dyDescent="0.25">
      <c r="A3231" t="s">
        <v>1411</v>
      </c>
      <c r="B3231" t="s">
        <v>1231</v>
      </c>
    </row>
    <row r="3232" spans="1:2" x14ac:dyDescent="0.25">
      <c r="A3232" t="s">
        <v>1412</v>
      </c>
      <c r="B3232" t="s">
        <v>1231</v>
      </c>
    </row>
    <row r="3233" spans="1:2" x14ac:dyDescent="0.25">
      <c r="A3233" t="s">
        <v>1413</v>
      </c>
      <c r="B3233" t="s">
        <v>1414</v>
      </c>
    </row>
    <row r="3234" spans="1:2" x14ac:dyDescent="0.25">
      <c r="A3234" t="s">
        <v>1232</v>
      </c>
      <c r="B3234" t="s">
        <v>1233</v>
      </c>
    </row>
    <row r="3235" spans="1:2" x14ac:dyDescent="0.25">
      <c r="A3235" t="s">
        <v>3836</v>
      </c>
      <c r="B3235" t="s">
        <v>308</v>
      </c>
    </row>
    <row r="3236" spans="1:2" x14ac:dyDescent="0.25">
      <c r="A3236" t="s">
        <v>3837</v>
      </c>
      <c r="B3236" t="s">
        <v>308</v>
      </c>
    </row>
    <row r="3237" spans="1:2" x14ac:dyDescent="0.25">
      <c r="A3237" t="s">
        <v>3838</v>
      </c>
      <c r="B3237" t="s">
        <v>308</v>
      </c>
    </row>
    <row r="3238" spans="1:2" x14ac:dyDescent="0.25">
      <c r="A3238" t="s">
        <v>3839</v>
      </c>
      <c r="B3238" t="s">
        <v>308</v>
      </c>
    </row>
    <row r="3239" spans="1:2" x14ac:dyDescent="0.25">
      <c r="A3239" t="s">
        <v>3840</v>
      </c>
      <c r="B3239" t="s">
        <v>308</v>
      </c>
    </row>
    <row r="3240" spans="1:2" x14ac:dyDescent="0.25">
      <c r="A3240" t="s">
        <v>3841</v>
      </c>
      <c r="B3240" t="s">
        <v>308</v>
      </c>
    </row>
    <row r="3241" spans="1:2" x14ac:dyDescent="0.25">
      <c r="A3241" t="s">
        <v>3842</v>
      </c>
      <c r="B3241" t="s">
        <v>308</v>
      </c>
    </row>
    <row r="3242" spans="1:2" x14ac:dyDescent="0.25">
      <c r="A3242" t="s">
        <v>3843</v>
      </c>
      <c r="B3242" t="s">
        <v>308</v>
      </c>
    </row>
    <row r="3243" spans="1:2" x14ac:dyDescent="0.25">
      <c r="A3243" t="s">
        <v>3844</v>
      </c>
      <c r="B3243" t="s">
        <v>308</v>
      </c>
    </row>
    <row r="3244" spans="1:2" x14ac:dyDescent="0.25">
      <c r="A3244" t="s">
        <v>3845</v>
      </c>
      <c r="B3244" t="s">
        <v>308</v>
      </c>
    </row>
    <row r="3245" spans="1:2" x14ac:dyDescent="0.25">
      <c r="A3245" t="s">
        <v>3846</v>
      </c>
      <c r="B3245" t="s">
        <v>308</v>
      </c>
    </row>
    <row r="3246" spans="1:2" x14ac:dyDescent="0.25">
      <c r="A3246" t="s">
        <v>3847</v>
      </c>
      <c r="B3246" t="s">
        <v>308</v>
      </c>
    </row>
    <row r="3247" spans="1:2" x14ac:dyDescent="0.25">
      <c r="A3247" t="s">
        <v>3848</v>
      </c>
      <c r="B3247" t="s">
        <v>308</v>
      </c>
    </row>
    <row r="3248" spans="1:2" x14ac:dyDescent="0.25">
      <c r="A3248" t="s">
        <v>3849</v>
      </c>
      <c r="B3248" t="s">
        <v>308</v>
      </c>
    </row>
    <row r="3249" spans="1:2" x14ac:dyDescent="0.25">
      <c r="A3249" t="s">
        <v>3850</v>
      </c>
      <c r="B3249" t="s">
        <v>308</v>
      </c>
    </row>
    <row r="3250" spans="1:2" x14ac:dyDescent="0.25">
      <c r="A3250" t="s">
        <v>3851</v>
      </c>
      <c r="B3250" t="s">
        <v>308</v>
      </c>
    </row>
    <row r="3251" spans="1:2" x14ac:dyDescent="0.25">
      <c r="A3251" t="s">
        <v>3852</v>
      </c>
      <c r="B3251" t="s">
        <v>308</v>
      </c>
    </row>
    <row r="3252" spans="1:2" x14ac:dyDescent="0.25">
      <c r="A3252" t="s">
        <v>3853</v>
      </c>
      <c r="B3252" t="s">
        <v>308</v>
      </c>
    </row>
    <row r="3253" spans="1:2" x14ac:dyDescent="0.25">
      <c r="A3253" t="s">
        <v>3854</v>
      </c>
      <c r="B3253" t="s">
        <v>308</v>
      </c>
    </row>
    <row r="3254" spans="1:2" x14ac:dyDescent="0.25">
      <c r="A3254" t="s">
        <v>3855</v>
      </c>
      <c r="B3254" t="s">
        <v>308</v>
      </c>
    </row>
    <row r="3255" spans="1:2" x14ac:dyDescent="0.25">
      <c r="A3255" t="s">
        <v>3856</v>
      </c>
      <c r="B3255" t="s">
        <v>308</v>
      </c>
    </row>
    <row r="3256" spans="1:2" x14ac:dyDescent="0.25">
      <c r="A3256" t="s">
        <v>3857</v>
      </c>
      <c r="B3256" t="s">
        <v>308</v>
      </c>
    </row>
    <row r="3257" spans="1:2" x14ac:dyDescent="0.25">
      <c r="A3257" t="s">
        <v>3858</v>
      </c>
      <c r="B3257" t="s">
        <v>308</v>
      </c>
    </row>
    <row r="3258" spans="1:2" x14ac:dyDescent="0.25">
      <c r="A3258" t="s">
        <v>3859</v>
      </c>
      <c r="B3258" t="s">
        <v>308</v>
      </c>
    </row>
    <row r="3259" spans="1:2" x14ac:dyDescent="0.25">
      <c r="A3259" t="s">
        <v>3860</v>
      </c>
      <c r="B3259" t="s">
        <v>308</v>
      </c>
    </row>
    <row r="3260" spans="1:2" x14ac:dyDescent="0.25">
      <c r="A3260" t="s">
        <v>3861</v>
      </c>
      <c r="B3260" t="s">
        <v>308</v>
      </c>
    </row>
    <row r="3261" spans="1:2" x14ac:dyDescent="0.25">
      <c r="A3261" t="s">
        <v>3862</v>
      </c>
      <c r="B3261" t="s">
        <v>308</v>
      </c>
    </row>
    <row r="3262" spans="1:2" x14ac:dyDescent="0.25">
      <c r="A3262" t="s">
        <v>3863</v>
      </c>
      <c r="B3262" t="s">
        <v>308</v>
      </c>
    </row>
    <row r="3263" spans="1:2" x14ac:dyDescent="0.25">
      <c r="A3263" t="s">
        <v>3864</v>
      </c>
      <c r="B3263" t="s">
        <v>308</v>
      </c>
    </row>
    <row r="3264" spans="1:2" x14ac:dyDescent="0.25">
      <c r="A3264" t="s">
        <v>3865</v>
      </c>
      <c r="B3264" t="s">
        <v>308</v>
      </c>
    </row>
    <row r="3265" spans="1:2" x14ac:dyDescent="0.25">
      <c r="A3265" t="s">
        <v>3866</v>
      </c>
      <c r="B3265" t="s">
        <v>308</v>
      </c>
    </row>
    <row r="3266" spans="1:2" x14ac:dyDescent="0.25">
      <c r="A3266" t="s">
        <v>3867</v>
      </c>
      <c r="B3266" t="s">
        <v>308</v>
      </c>
    </row>
    <row r="3267" spans="1:2" x14ac:dyDescent="0.25">
      <c r="A3267" t="s">
        <v>3868</v>
      </c>
      <c r="B3267" t="s">
        <v>308</v>
      </c>
    </row>
    <row r="3268" spans="1:2" x14ac:dyDescent="0.25">
      <c r="A3268" t="s">
        <v>3869</v>
      </c>
      <c r="B3268" t="s">
        <v>308</v>
      </c>
    </row>
    <row r="3269" spans="1:2" x14ac:dyDescent="0.25">
      <c r="A3269" t="s">
        <v>3870</v>
      </c>
      <c r="B3269" t="s">
        <v>308</v>
      </c>
    </row>
    <row r="3270" spans="1:2" x14ac:dyDescent="0.25">
      <c r="A3270" t="s">
        <v>3871</v>
      </c>
      <c r="B3270" t="s">
        <v>308</v>
      </c>
    </row>
    <row r="3271" spans="1:2" x14ac:dyDescent="0.25">
      <c r="A3271" t="s">
        <v>3872</v>
      </c>
      <c r="B3271" t="s">
        <v>308</v>
      </c>
    </row>
    <row r="3272" spans="1:2" x14ac:dyDescent="0.25">
      <c r="A3272" t="s">
        <v>3873</v>
      </c>
      <c r="B3272" t="s">
        <v>308</v>
      </c>
    </row>
    <row r="3273" spans="1:2" x14ac:dyDescent="0.25">
      <c r="A3273" t="s">
        <v>3874</v>
      </c>
      <c r="B3273" t="s">
        <v>308</v>
      </c>
    </row>
    <row r="3274" spans="1:2" x14ac:dyDescent="0.25">
      <c r="A3274" t="s">
        <v>3875</v>
      </c>
      <c r="B3274" t="s">
        <v>308</v>
      </c>
    </row>
    <row r="3275" spans="1:2" x14ac:dyDescent="0.25">
      <c r="A3275" t="s">
        <v>3876</v>
      </c>
      <c r="B3275" t="s">
        <v>308</v>
      </c>
    </row>
    <row r="3276" spans="1:2" x14ac:dyDescent="0.25">
      <c r="A3276" t="s">
        <v>3877</v>
      </c>
      <c r="B3276" t="s">
        <v>308</v>
      </c>
    </row>
    <row r="3277" spans="1:2" x14ac:dyDescent="0.25">
      <c r="A3277" t="s">
        <v>3878</v>
      </c>
      <c r="B3277" t="s">
        <v>308</v>
      </c>
    </row>
    <row r="3278" spans="1:2" x14ac:dyDescent="0.25">
      <c r="A3278" t="s">
        <v>3879</v>
      </c>
      <c r="B3278" t="s">
        <v>308</v>
      </c>
    </row>
    <row r="3279" spans="1:2" x14ac:dyDescent="0.25">
      <c r="A3279" t="s">
        <v>3880</v>
      </c>
      <c r="B3279" t="s">
        <v>308</v>
      </c>
    </row>
    <row r="3280" spans="1:2" x14ac:dyDescent="0.25">
      <c r="A3280" t="s">
        <v>3881</v>
      </c>
      <c r="B3280" t="s">
        <v>308</v>
      </c>
    </row>
    <row r="3281" spans="1:2" x14ac:dyDescent="0.25">
      <c r="A3281" t="s">
        <v>3882</v>
      </c>
      <c r="B3281" t="s">
        <v>308</v>
      </c>
    </row>
    <row r="3282" spans="1:2" x14ac:dyDescent="0.25">
      <c r="A3282" t="s">
        <v>3883</v>
      </c>
      <c r="B3282" t="s">
        <v>308</v>
      </c>
    </row>
    <row r="3283" spans="1:2" x14ac:dyDescent="0.25">
      <c r="A3283" t="s">
        <v>3884</v>
      </c>
      <c r="B3283" t="s">
        <v>308</v>
      </c>
    </row>
    <row r="3284" spans="1:2" x14ac:dyDescent="0.25">
      <c r="A3284" t="s">
        <v>3885</v>
      </c>
      <c r="B3284" t="s">
        <v>308</v>
      </c>
    </row>
    <row r="3285" spans="1:2" x14ac:dyDescent="0.25">
      <c r="A3285" t="s">
        <v>3886</v>
      </c>
      <c r="B3285" t="s">
        <v>308</v>
      </c>
    </row>
    <row r="3286" spans="1:2" x14ac:dyDescent="0.25">
      <c r="A3286" t="s">
        <v>3887</v>
      </c>
      <c r="B3286" t="s">
        <v>308</v>
      </c>
    </row>
    <row r="3287" spans="1:2" x14ac:dyDescent="0.25">
      <c r="A3287" t="s">
        <v>3888</v>
      </c>
      <c r="B3287" t="s">
        <v>308</v>
      </c>
    </row>
    <row r="3288" spans="1:2" x14ac:dyDescent="0.25">
      <c r="A3288" t="s">
        <v>3889</v>
      </c>
      <c r="B3288" t="s">
        <v>308</v>
      </c>
    </row>
    <row r="3289" spans="1:2" x14ac:dyDescent="0.25">
      <c r="A3289" t="s">
        <v>3890</v>
      </c>
      <c r="B3289" t="s">
        <v>308</v>
      </c>
    </row>
    <row r="3290" spans="1:2" x14ac:dyDescent="0.25">
      <c r="A3290" t="s">
        <v>3891</v>
      </c>
      <c r="B3290" t="s">
        <v>308</v>
      </c>
    </row>
    <row r="3291" spans="1:2" x14ac:dyDescent="0.25">
      <c r="A3291" t="s">
        <v>3892</v>
      </c>
      <c r="B3291" t="s">
        <v>308</v>
      </c>
    </row>
    <row r="3292" spans="1:2" x14ac:dyDescent="0.25">
      <c r="A3292" t="s">
        <v>3893</v>
      </c>
      <c r="B3292" t="s">
        <v>308</v>
      </c>
    </row>
    <row r="3293" spans="1:2" x14ac:dyDescent="0.25">
      <c r="A3293" t="s">
        <v>3894</v>
      </c>
      <c r="B3293" t="s">
        <v>308</v>
      </c>
    </row>
    <row r="3294" spans="1:2" x14ac:dyDescent="0.25">
      <c r="A3294" t="s">
        <v>3895</v>
      </c>
      <c r="B3294" t="s">
        <v>308</v>
      </c>
    </row>
    <row r="3295" spans="1:2" x14ac:dyDescent="0.25">
      <c r="A3295" t="s">
        <v>3896</v>
      </c>
      <c r="B3295" t="s">
        <v>308</v>
      </c>
    </row>
    <row r="3296" spans="1:2" x14ac:dyDescent="0.25">
      <c r="A3296" t="s">
        <v>3897</v>
      </c>
      <c r="B3296" t="s">
        <v>308</v>
      </c>
    </row>
    <row r="3297" spans="1:2" x14ac:dyDescent="0.25">
      <c r="A3297" t="s">
        <v>3898</v>
      </c>
      <c r="B3297" t="s">
        <v>308</v>
      </c>
    </row>
    <row r="3298" spans="1:2" x14ac:dyDescent="0.25">
      <c r="A3298" t="s">
        <v>3899</v>
      </c>
      <c r="B3298" t="s">
        <v>308</v>
      </c>
    </row>
    <row r="3299" spans="1:2" x14ac:dyDescent="0.25">
      <c r="A3299" t="s">
        <v>3900</v>
      </c>
      <c r="B3299" t="s">
        <v>308</v>
      </c>
    </row>
    <row r="3300" spans="1:2" x14ac:dyDescent="0.25">
      <c r="A3300" t="s">
        <v>3901</v>
      </c>
      <c r="B3300" t="s">
        <v>308</v>
      </c>
    </row>
    <row r="3301" spans="1:2" x14ac:dyDescent="0.25">
      <c r="A3301" t="s">
        <v>3902</v>
      </c>
      <c r="B3301" t="s">
        <v>308</v>
      </c>
    </row>
    <row r="3302" spans="1:2" x14ac:dyDescent="0.25">
      <c r="A3302" t="s">
        <v>3903</v>
      </c>
      <c r="B3302" t="s">
        <v>308</v>
      </c>
    </row>
    <row r="3303" spans="1:2" x14ac:dyDescent="0.25">
      <c r="A3303" t="s">
        <v>3904</v>
      </c>
      <c r="B3303" t="s">
        <v>308</v>
      </c>
    </row>
    <row r="3304" spans="1:2" x14ac:dyDescent="0.25">
      <c r="A3304" t="s">
        <v>3905</v>
      </c>
      <c r="B3304" t="s">
        <v>308</v>
      </c>
    </row>
    <row r="3305" spans="1:2" x14ac:dyDescent="0.25">
      <c r="A3305" t="s">
        <v>3906</v>
      </c>
      <c r="B3305" t="s">
        <v>308</v>
      </c>
    </row>
    <row r="3306" spans="1:2" x14ac:dyDescent="0.25">
      <c r="A3306" t="s">
        <v>3907</v>
      </c>
      <c r="B3306" t="s">
        <v>308</v>
      </c>
    </row>
    <row r="3307" spans="1:2" x14ac:dyDescent="0.25">
      <c r="A3307" t="s">
        <v>3908</v>
      </c>
      <c r="B3307" t="s">
        <v>308</v>
      </c>
    </row>
    <row r="3308" spans="1:2" x14ac:dyDescent="0.25">
      <c r="A3308" t="s">
        <v>3909</v>
      </c>
      <c r="B3308" t="s">
        <v>308</v>
      </c>
    </row>
    <row r="3309" spans="1:2" x14ac:dyDescent="0.25">
      <c r="A3309" t="s">
        <v>3910</v>
      </c>
      <c r="B3309" t="s">
        <v>308</v>
      </c>
    </row>
    <row r="3310" spans="1:2" x14ac:dyDescent="0.25">
      <c r="A3310" t="s">
        <v>3911</v>
      </c>
      <c r="B3310" t="s">
        <v>308</v>
      </c>
    </row>
    <row r="3311" spans="1:2" x14ac:dyDescent="0.25">
      <c r="A3311" t="s">
        <v>3912</v>
      </c>
      <c r="B3311" t="s">
        <v>308</v>
      </c>
    </row>
    <row r="3312" spans="1:2" x14ac:dyDescent="0.25">
      <c r="A3312" t="s">
        <v>3913</v>
      </c>
      <c r="B3312" t="s">
        <v>308</v>
      </c>
    </row>
    <row r="3313" spans="1:2" x14ac:dyDescent="0.25">
      <c r="A3313" t="s">
        <v>3914</v>
      </c>
      <c r="B3313" t="s">
        <v>308</v>
      </c>
    </row>
    <row r="3314" spans="1:2" x14ac:dyDescent="0.25">
      <c r="A3314" t="s">
        <v>3915</v>
      </c>
      <c r="B3314" t="s">
        <v>308</v>
      </c>
    </row>
    <row r="3315" spans="1:2" x14ac:dyDescent="0.25">
      <c r="A3315" t="s">
        <v>3916</v>
      </c>
      <c r="B3315" t="s">
        <v>308</v>
      </c>
    </row>
    <row r="3316" spans="1:2" x14ac:dyDescent="0.25">
      <c r="A3316" t="s">
        <v>3917</v>
      </c>
      <c r="B3316" t="s">
        <v>308</v>
      </c>
    </row>
    <row r="3317" spans="1:2" x14ac:dyDescent="0.25">
      <c r="A3317" t="s">
        <v>3918</v>
      </c>
      <c r="B3317" t="s">
        <v>308</v>
      </c>
    </row>
    <row r="3318" spans="1:2" x14ac:dyDescent="0.25">
      <c r="A3318" t="s">
        <v>3919</v>
      </c>
      <c r="B3318" t="s">
        <v>308</v>
      </c>
    </row>
    <row r="3319" spans="1:2" x14ac:dyDescent="0.25">
      <c r="A3319" t="s">
        <v>3920</v>
      </c>
      <c r="B3319" t="s">
        <v>308</v>
      </c>
    </row>
    <row r="3320" spans="1:2" x14ac:dyDescent="0.25">
      <c r="A3320" t="s">
        <v>3921</v>
      </c>
      <c r="B3320" t="s">
        <v>308</v>
      </c>
    </row>
    <row r="3321" spans="1:2" x14ac:dyDescent="0.25">
      <c r="A3321" t="s">
        <v>3922</v>
      </c>
      <c r="B3321" t="s">
        <v>308</v>
      </c>
    </row>
    <row r="3322" spans="1:2" x14ac:dyDescent="0.25">
      <c r="A3322" t="s">
        <v>3923</v>
      </c>
      <c r="B3322" t="s">
        <v>308</v>
      </c>
    </row>
    <row r="3323" spans="1:2" x14ac:dyDescent="0.25">
      <c r="A3323" t="s">
        <v>3924</v>
      </c>
      <c r="B3323" t="s">
        <v>308</v>
      </c>
    </row>
    <row r="3324" spans="1:2" x14ac:dyDescent="0.25">
      <c r="A3324" t="s">
        <v>3925</v>
      </c>
      <c r="B3324" t="s">
        <v>308</v>
      </c>
    </row>
    <row r="3325" spans="1:2" x14ac:dyDescent="0.25">
      <c r="A3325" t="s">
        <v>3926</v>
      </c>
      <c r="B3325" t="s">
        <v>308</v>
      </c>
    </row>
    <row r="3326" spans="1:2" x14ac:dyDescent="0.25">
      <c r="A3326" t="s">
        <v>3927</v>
      </c>
      <c r="B3326" t="s">
        <v>308</v>
      </c>
    </row>
    <row r="3327" spans="1:2" x14ac:dyDescent="0.25">
      <c r="A3327" t="s">
        <v>3928</v>
      </c>
      <c r="B3327" t="s">
        <v>308</v>
      </c>
    </row>
    <row r="3328" spans="1:2" x14ac:dyDescent="0.25">
      <c r="A3328" t="s">
        <v>3929</v>
      </c>
      <c r="B3328" t="s">
        <v>308</v>
      </c>
    </row>
    <row r="3329" spans="1:2" x14ac:dyDescent="0.25">
      <c r="A3329" t="s">
        <v>3930</v>
      </c>
      <c r="B3329" t="s">
        <v>308</v>
      </c>
    </row>
    <row r="3330" spans="1:2" x14ac:dyDescent="0.25">
      <c r="A3330" t="s">
        <v>3931</v>
      </c>
      <c r="B3330" t="s">
        <v>308</v>
      </c>
    </row>
    <row r="3331" spans="1:2" x14ac:dyDescent="0.25">
      <c r="A3331" t="s">
        <v>3932</v>
      </c>
      <c r="B3331" t="s">
        <v>308</v>
      </c>
    </row>
    <row r="3332" spans="1:2" x14ac:dyDescent="0.25">
      <c r="A3332" t="s">
        <v>3933</v>
      </c>
      <c r="B3332" t="s">
        <v>308</v>
      </c>
    </row>
    <row r="3333" spans="1:2" x14ac:dyDescent="0.25">
      <c r="A3333" t="s">
        <v>3934</v>
      </c>
      <c r="B3333" t="s">
        <v>308</v>
      </c>
    </row>
    <row r="3334" spans="1:2" x14ac:dyDescent="0.25">
      <c r="A3334" t="s">
        <v>3935</v>
      </c>
      <c r="B3334" t="s">
        <v>308</v>
      </c>
    </row>
    <row r="3335" spans="1:2" x14ac:dyDescent="0.25">
      <c r="A3335" t="s">
        <v>3936</v>
      </c>
      <c r="B3335" t="s">
        <v>308</v>
      </c>
    </row>
    <row r="3336" spans="1:2" x14ac:dyDescent="0.25">
      <c r="A3336" t="s">
        <v>3937</v>
      </c>
      <c r="B3336" t="s">
        <v>308</v>
      </c>
    </row>
    <row r="3337" spans="1:2" x14ac:dyDescent="0.25">
      <c r="A3337" t="s">
        <v>3938</v>
      </c>
      <c r="B3337" t="s">
        <v>308</v>
      </c>
    </row>
    <row r="3338" spans="1:2" x14ac:dyDescent="0.25">
      <c r="A3338" t="s">
        <v>3939</v>
      </c>
      <c r="B3338" t="s">
        <v>308</v>
      </c>
    </row>
    <row r="3339" spans="1:2" x14ac:dyDescent="0.25">
      <c r="A3339" t="s">
        <v>3940</v>
      </c>
      <c r="B3339" t="s">
        <v>308</v>
      </c>
    </row>
    <row r="3340" spans="1:2" x14ac:dyDescent="0.25">
      <c r="A3340" t="s">
        <v>3941</v>
      </c>
      <c r="B3340" t="s">
        <v>308</v>
      </c>
    </row>
    <row r="3341" spans="1:2" x14ac:dyDescent="0.25">
      <c r="A3341" t="s">
        <v>3942</v>
      </c>
      <c r="B3341" t="s">
        <v>308</v>
      </c>
    </row>
    <row r="3342" spans="1:2" x14ac:dyDescent="0.25">
      <c r="A3342" t="s">
        <v>3943</v>
      </c>
      <c r="B3342" t="s">
        <v>308</v>
      </c>
    </row>
    <row r="3343" spans="1:2" x14ac:dyDescent="0.25">
      <c r="A3343" t="s">
        <v>3944</v>
      </c>
      <c r="B3343" t="s">
        <v>308</v>
      </c>
    </row>
    <row r="3344" spans="1:2" x14ac:dyDescent="0.25">
      <c r="A3344" t="s">
        <v>3945</v>
      </c>
      <c r="B3344" t="s">
        <v>308</v>
      </c>
    </row>
    <row r="3345" spans="1:2" x14ac:dyDescent="0.25">
      <c r="A3345" t="s">
        <v>3946</v>
      </c>
      <c r="B3345" t="s">
        <v>308</v>
      </c>
    </row>
    <row r="3346" spans="1:2" x14ac:dyDescent="0.25">
      <c r="A3346" t="s">
        <v>3947</v>
      </c>
      <c r="B3346" t="s">
        <v>308</v>
      </c>
    </row>
    <row r="3347" spans="1:2" x14ac:dyDescent="0.25">
      <c r="A3347" t="s">
        <v>3948</v>
      </c>
      <c r="B3347" t="s">
        <v>308</v>
      </c>
    </row>
    <row r="3348" spans="1:2" x14ac:dyDescent="0.25">
      <c r="A3348" t="s">
        <v>3949</v>
      </c>
      <c r="B3348" t="s">
        <v>308</v>
      </c>
    </row>
    <row r="3349" spans="1:2" x14ac:dyDescent="0.25">
      <c r="A3349" t="s">
        <v>3950</v>
      </c>
      <c r="B3349" t="s">
        <v>308</v>
      </c>
    </row>
    <row r="3350" spans="1:2" x14ac:dyDescent="0.25">
      <c r="A3350" t="s">
        <v>3951</v>
      </c>
      <c r="B3350" t="s">
        <v>308</v>
      </c>
    </row>
    <row r="3351" spans="1:2" x14ac:dyDescent="0.25">
      <c r="A3351" t="s">
        <v>3952</v>
      </c>
      <c r="B3351" t="s">
        <v>308</v>
      </c>
    </row>
    <row r="3352" spans="1:2" x14ac:dyDescent="0.25">
      <c r="A3352" t="s">
        <v>3953</v>
      </c>
      <c r="B3352" t="s">
        <v>308</v>
      </c>
    </row>
    <row r="3353" spans="1:2" x14ac:dyDescent="0.25">
      <c r="A3353" t="s">
        <v>3954</v>
      </c>
      <c r="B3353" t="s">
        <v>308</v>
      </c>
    </row>
    <row r="3354" spans="1:2" x14ac:dyDescent="0.25">
      <c r="A3354" t="s">
        <v>3955</v>
      </c>
      <c r="B3354" t="s">
        <v>308</v>
      </c>
    </row>
    <row r="3355" spans="1:2" x14ac:dyDescent="0.25">
      <c r="A3355" t="s">
        <v>3956</v>
      </c>
      <c r="B3355" t="s">
        <v>308</v>
      </c>
    </row>
    <row r="3356" spans="1:2" x14ac:dyDescent="0.25">
      <c r="A3356" t="s">
        <v>3957</v>
      </c>
      <c r="B3356" t="s">
        <v>308</v>
      </c>
    </row>
    <row r="3357" spans="1:2" x14ac:dyDescent="0.25">
      <c r="A3357" t="s">
        <v>3958</v>
      </c>
      <c r="B3357" t="s">
        <v>308</v>
      </c>
    </row>
    <row r="3358" spans="1:2" x14ac:dyDescent="0.25">
      <c r="A3358" t="s">
        <v>3959</v>
      </c>
      <c r="B3358" t="s">
        <v>308</v>
      </c>
    </row>
    <row r="3359" spans="1:2" x14ac:dyDescent="0.25">
      <c r="A3359" t="s">
        <v>3960</v>
      </c>
      <c r="B3359" t="s">
        <v>308</v>
      </c>
    </row>
    <row r="3360" spans="1:2" x14ac:dyDescent="0.25">
      <c r="A3360" t="s">
        <v>3961</v>
      </c>
      <c r="B3360" t="s">
        <v>308</v>
      </c>
    </row>
    <row r="3361" spans="1:2" x14ac:dyDescent="0.25">
      <c r="A3361" t="s">
        <v>3962</v>
      </c>
      <c r="B3361" t="s">
        <v>308</v>
      </c>
    </row>
    <row r="3362" spans="1:2" x14ac:dyDescent="0.25">
      <c r="A3362" t="s">
        <v>3963</v>
      </c>
      <c r="B3362" t="s">
        <v>308</v>
      </c>
    </row>
    <row r="3363" spans="1:2" x14ac:dyDescent="0.25">
      <c r="A3363" t="s">
        <v>3964</v>
      </c>
      <c r="B3363" t="s">
        <v>308</v>
      </c>
    </row>
    <row r="3364" spans="1:2" x14ac:dyDescent="0.25">
      <c r="A3364" t="s">
        <v>3965</v>
      </c>
      <c r="B3364" t="s">
        <v>308</v>
      </c>
    </row>
    <row r="3365" spans="1:2" x14ac:dyDescent="0.25">
      <c r="A3365" t="s">
        <v>3966</v>
      </c>
      <c r="B3365" t="s">
        <v>308</v>
      </c>
    </row>
    <row r="3366" spans="1:2" x14ac:dyDescent="0.25">
      <c r="A3366" t="s">
        <v>3967</v>
      </c>
      <c r="B3366" t="s">
        <v>308</v>
      </c>
    </row>
    <row r="3367" spans="1:2" x14ac:dyDescent="0.25">
      <c r="A3367" t="s">
        <v>3968</v>
      </c>
      <c r="B3367" t="s">
        <v>308</v>
      </c>
    </row>
    <row r="3368" spans="1:2" x14ac:dyDescent="0.25">
      <c r="A3368" t="s">
        <v>3969</v>
      </c>
      <c r="B3368" t="s">
        <v>308</v>
      </c>
    </row>
    <row r="3369" spans="1:2" x14ac:dyDescent="0.25">
      <c r="A3369" t="s">
        <v>3970</v>
      </c>
      <c r="B3369" t="s">
        <v>308</v>
      </c>
    </row>
    <row r="3370" spans="1:2" x14ac:dyDescent="0.25">
      <c r="A3370" t="s">
        <v>3971</v>
      </c>
      <c r="B3370" t="s">
        <v>308</v>
      </c>
    </row>
    <row r="3371" spans="1:2" x14ac:dyDescent="0.25">
      <c r="A3371" t="s">
        <v>3972</v>
      </c>
      <c r="B3371" t="s">
        <v>308</v>
      </c>
    </row>
    <row r="3372" spans="1:2" x14ac:dyDescent="0.25">
      <c r="A3372" t="s">
        <v>3973</v>
      </c>
      <c r="B3372" t="s">
        <v>308</v>
      </c>
    </row>
    <row r="3373" spans="1:2" x14ac:dyDescent="0.25">
      <c r="A3373" t="s">
        <v>3974</v>
      </c>
      <c r="B3373" t="s">
        <v>308</v>
      </c>
    </row>
    <row r="3374" spans="1:2" x14ac:dyDescent="0.25">
      <c r="A3374" t="s">
        <v>3975</v>
      </c>
      <c r="B3374" t="s">
        <v>308</v>
      </c>
    </row>
    <row r="3375" spans="1:2" x14ac:dyDescent="0.25">
      <c r="A3375" t="s">
        <v>3976</v>
      </c>
      <c r="B3375" t="s">
        <v>308</v>
      </c>
    </row>
    <row r="3376" spans="1:2" x14ac:dyDescent="0.25">
      <c r="A3376" t="s">
        <v>3977</v>
      </c>
      <c r="B3376" t="s">
        <v>308</v>
      </c>
    </row>
    <row r="3377" spans="1:2" x14ac:dyDescent="0.25">
      <c r="A3377" t="s">
        <v>3978</v>
      </c>
      <c r="B3377" t="s">
        <v>308</v>
      </c>
    </row>
    <row r="3378" spans="1:2" x14ac:dyDescent="0.25">
      <c r="A3378" t="s">
        <v>3979</v>
      </c>
      <c r="B3378" t="s">
        <v>308</v>
      </c>
    </row>
    <row r="3379" spans="1:2" x14ac:dyDescent="0.25">
      <c r="A3379" t="s">
        <v>3980</v>
      </c>
      <c r="B3379" t="s">
        <v>308</v>
      </c>
    </row>
    <row r="3380" spans="1:2" x14ac:dyDescent="0.25">
      <c r="A3380" t="s">
        <v>3981</v>
      </c>
      <c r="B3380" t="s">
        <v>308</v>
      </c>
    </row>
    <row r="3381" spans="1:2" x14ac:dyDescent="0.25">
      <c r="A3381" t="s">
        <v>3982</v>
      </c>
      <c r="B3381" t="s">
        <v>308</v>
      </c>
    </row>
    <row r="3382" spans="1:2" x14ac:dyDescent="0.25">
      <c r="A3382" t="s">
        <v>3983</v>
      </c>
      <c r="B3382" t="s">
        <v>308</v>
      </c>
    </row>
    <row r="3383" spans="1:2" x14ac:dyDescent="0.25">
      <c r="A3383" t="s">
        <v>3984</v>
      </c>
      <c r="B3383" t="s">
        <v>308</v>
      </c>
    </row>
    <row r="3384" spans="1:2" x14ac:dyDescent="0.25">
      <c r="A3384" t="s">
        <v>3985</v>
      </c>
      <c r="B3384" t="s">
        <v>308</v>
      </c>
    </row>
    <row r="3385" spans="1:2" x14ac:dyDescent="0.25">
      <c r="A3385" t="s">
        <v>3986</v>
      </c>
      <c r="B3385" t="s">
        <v>308</v>
      </c>
    </row>
    <row r="3386" spans="1:2" x14ac:dyDescent="0.25">
      <c r="A3386" t="s">
        <v>3987</v>
      </c>
      <c r="B3386" t="s">
        <v>308</v>
      </c>
    </row>
    <row r="3387" spans="1:2" x14ac:dyDescent="0.25">
      <c r="A3387" t="s">
        <v>3988</v>
      </c>
      <c r="B3387" t="s">
        <v>308</v>
      </c>
    </row>
    <row r="3388" spans="1:2" x14ac:dyDescent="0.25">
      <c r="A3388" t="s">
        <v>3989</v>
      </c>
      <c r="B3388" t="s">
        <v>308</v>
      </c>
    </row>
    <row r="3389" spans="1:2" x14ac:dyDescent="0.25">
      <c r="A3389" t="s">
        <v>3990</v>
      </c>
      <c r="B3389" t="s">
        <v>308</v>
      </c>
    </row>
    <row r="3390" spans="1:2" x14ac:dyDescent="0.25">
      <c r="A3390" t="s">
        <v>3991</v>
      </c>
      <c r="B3390" t="s">
        <v>308</v>
      </c>
    </row>
    <row r="3391" spans="1:2" x14ac:dyDescent="0.25">
      <c r="A3391" t="s">
        <v>3992</v>
      </c>
      <c r="B3391" t="s">
        <v>308</v>
      </c>
    </row>
    <row r="3392" spans="1:2" x14ac:dyDescent="0.25">
      <c r="A3392" t="s">
        <v>3993</v>
      </c>
      <c r="B3392" t="s">
        <v>308</v>
      </c>
    </row>
    <row r="3393" spans="1:2" x14ac:dyDescent="0.25">
      <c r="A3393" t="s">
        <v>3994</v>
      </c>
      <c r="B3393" t="s">
        <v>308</v>
      </c>
    </row>
    <row r="3394" spans="1:2" x14ac:dyDescent="0.25">
      <c r="A3394" t="s">
        <v>3995</v>
      </c>
      <c r="B3394" t="s">
        <v>308</v>
      </c>
    </row>
    <row r="3395" spans="1:2" x14ac:dyDescent="0.25">
      <c r="A3395" t="s">
        <v>3996</v>
      </c>
      <c r="B3395" t="s">
        <v>308</v>
      </c>
    </row>
    <row r="3396" spans="1:2" x14ac:dyDescent="0.25">
      <c r="A3396" t="s">
        <v>3997</v>
      </c>
      <c r="B3396" t="s">
        <v>308</v>
      </c>
    </row>
    <row r="3397" spans="1:2" x14ac:dyDescent="0.25">
      <c r="A3397" t="s">
        <v>3998</v>
      </c>
      <c r="B3397" t="s">
        <v>308</v>
      </c>
    </row>
    <row r="3398" spans="1:2" x14ac:dyDescent="0.25">
      <c r="A3398" t="s">
        <v>3999</v>
      </c>
      <c r="B3398" t="s">
        <v>308</v>
      </c>
    </row>
    <row r="3399" spans="1:2" x14ac:dyDescent="0.25">
      <c r="A3399" t="s">
        <v>4000</v>
      </c>
      <c r="B3399" t="s">
        <v>308</v>
      </c>
    </row>
    <row r="3400" spans="1:2" x14ac:dyDescent="0.25">
      <c r="A3400" t="s">
        <v>4001</v>
      </c>
      <c r="B3400" t="s">
        <v>308</v>
      </c>
    </row>
    <row r="3401" spans="1:2" x14ac:dyDescent="0.25">
      <c r="A3401" t="s">
        <v>4002</v>
      </c>
      <c r="B3401" t="s">
        <v>308</v>
      </c>
    </row>
    <row r="3402" spans="1:2" x14ac:dyDescent="0.25">
      <c r="A3402" t="s">
        <v>4003</v>
      </c>
      <c r="B3402" t="s">
        <v>308</v>
      </c>
    </row>
    <row r="3403" spans="1:2" x14ac:dyDescent="0.25">
      <c r="A3403" t="s">
        <v>4004</v>
      </c>
      <c r="B3403" t="s">
        <v>308</v>
      </c>
    </row>
    <row r="3404" spans="1:2" x14ac:dyDescent="0.25">
      <c r="A3404" t="s">
        <v>4005</v>
      </c>
      <c r="B3404" t="s">
        <v>308</v>
      </c>
    </row>
    <row r="3405" spans="1:2" x14ac:dyDescent="0.25">
      <c r="A3405" t="s">
        <v>4006</v>
      </c>
      <c r="B3405" t="s">
        <v>308</v>
      </c>
    </row>
    <row r="3406" spans="1:2" x14ac:dyDescent="0.25">
      <c r="A3406" t="s">
        <v>4007</v>
      </c>
      <c r="B3406" t="s">
        <v>308</v>
      </c>
    </row>
    <row r="3407" spans="1:2" x14ac:dyDescent="0.25">
      <c r="A3407" t="s">
        <v>4008</v>
      </c>
      <c r="B3407" t="s">
        <v>308</v>
      </c>
    </row>
    <row r="3408" spans="1:2" x14ac:dyDescent="0.25">
      <c r="A3408" t="s">
        <v>4009</v>
      </c>
      <c r="B3408" t="s">
        <v>308</v>
      </c>
    </row>
    <row r="3409" spans="1:2" x14ac:dyDescent="0.25">
      <c r="A3409" t="s">
        <v>4010</v>
      </c>
      <c r="B3409" t="s">
        <v>308</v>
      </c>
    </row>
    <row r="3410" spans="1:2" x14ac:dyDescent="0.25">
      <c r="A3410" t="s">
        <v>4011</v>
      </c>
      <c r="B3410" t="s">
        <v>308</v>
      </c>
    </row>
    <row r="3411" spans="1:2" x14ac:dyDescent="0.25">
      <c r="A3411" t="s">
        <v>4012</v>
      </c>
      <c r="B3411" t="s">
        <v>308</v>
      </c>
    </row>
    <row r="3412" spans="1:2" x14ac:dyDescent="0.25">
      <c r="A3412" t="s">
        <v>4013</v>
      </c>
      <c r="B3412" t="s">
        <v>308</v>
      </c>
    </row>
    <row r="3413" spans="1:2" x14ac:dyDescent="0.25">
      <c r="A3413" t="s">
        <v>4014</v>
      </c>
      <c r="B3413" t="s">
        <v>308</v>
      </c>
    </row>
    <row r="3414" spans="1:2" x14ac:dyDescent="0.25">
      <c r="A3414" t="s">
        <v>4015</v>
      </c>
      <c r="B3414" t="s">
        <v>308</v>
      </c>
    </row>
    <row r="3415" spans="1:2" x14ac:dyDescent="0.25">
      <c r="A3415" t="s">
        <v>4016</v>
      </c>
      <c r="B3415" t="s">
        <v>308</v>
      </c>
    </row>
    <row r="3416" spans="1:2" x14ac:dyDescent="0.25">
      <c r="A3416" t="s">
        <v>4017</v>
      </c>
      <c r="B3416" t="s">
        <v>308</v>
      </c>
    </row>
    <row r="3417" spans="1:2" x14ac:dyDescent="0.25">
      <c r="A3417" t="s">
        <v>4018</v>
      </c>
      <c r="B3417" t="s">
        <v>308</v>
      </c>
    </row>
    <row r="3418" spans="1:2" x14ac:dyDescent="0.25">
      <c r="A3418" t="s">
        <v>4019</v>
      </c>
      <c r="B3418" t="s">
        <v>308</v>
      </c>
    </row>
    <row r="3419" spans="1:2" x14ac:dyDescent="0.25">
      <c r="A3419" t="s">
        <v>1246</v>
      </c>
      <c r="B3419" t="s">
        <v>1247</v>
      </c>
    </row>
    <row r="3420" spans="1:2" x14ac:dyDescent="0.25">
      <c r="A3420" t="s">
        <v>1248</v>
      </c>
      <c r="B3420" t="s">
        <v>1247</v>
      </c>
    </row>
    <row r="3421" spans="1:2" x14ac:dyDescent="0.25">
      <c r="A3421" t="s">
        <v>1249</v>
      </c>
      <c r="B3421" t="s">
        <v>1247</v>
      </c>
    </row>
    <row r="3422" spans="1:2" x14ac:dyDescent="0.25">
      <c r="A3422" t="s">
        <v>1250</v>
      </c>
      <c r="B3422" t="s">
        <v>1251</v>
      </c>
    </row>
    <row r="3423" spans="1:2" x14ac:dyDescent="0.25">
      <c r="A3423" t="s">
        <v>1252</v>
      </c>
      <c r="B3423" t="s">
        <v>1251</v>
      </c>
    </row>
    <row r="3424" spans="1:2" x14ac:dyDescent="0.25">
      <c r="A3424" t="s">
        <v>4020</v>
      </c>
      <c r="B3424" t="s">
        <v>1416</v>
      </c>
    </row>
    <row r="3425" spans="1:2" x14ac:dyDescent="0.25">
      <c r="A3425" t="s">
        <v>4021</v>
      </c>
      <c r="B3425" t="s">
        <v>1416</v>
      </c>
    </row>
    <row r="3426" spans="1:2" x14ac:dyDescent="0.25">
      <c r="A3426" t="s">
        <v>4022</v>
      </c>
      <c r="B3426" t="s">
        <v>1253</v>
      </c>
    </row>
    <row r="3427" spans="1:2" x14ac:dyDescent="0.25">
      <c r="A3427" t="s">
        <v>4023</v>
      </c>
      <c r="B3427" t="s">
        <v>1254</v>
      </c>
    </row>
    <row r="3428" spans="1:2" x14ac:dyDescent="0.25">
      <c r="A3428" t="s">
        <v>1417</v>
      </c>
      <c r="B3428" t="s">
        <v>1418</v>
      </c>
    </row>
    <row r="3429" spans="1:2" x14ac:dyDescent="0.25">
      <c r="A3429" t="s">
        <v>4024</v>
      </c>
      <c r="B3429" t="s">
        <v>310</v>
      </c>
    </row>
    <row r="3430" spans="1:2" x14ac:dyDescent="0.25">
      <c r="A3430" t="s">
        <v>568</v>
      </c>
      <c r="B3430" t="s">
        <v>310</v>
      </c>
    </row>
    <row r="3431" spans="1:2" x14ac:dyDescent="0.25">
      <c r="A3431" t="s">
        <v>1419</v>
      </c>
      <c r="B3431" t="s">
        <v>310</v>
      </c>
    </row>
    <row r="3432" spans="1:2" x14ac:dyDescent="0.25">
      <c r="A3432" t="s">
        <v>309</v>
      </c>
      <c r="B3432" t="s">
        <v>310</v>
      </c>
    </row>
    <row r="3433" spans="1:2" x14ac:dyDescent="0.25">
      <c r="A3433" t="s">
        <v>569</v>
      </c>
      <c r="B3433" t="s">
        <v>310</v>
      </c>
    </row>
    <row r="3434" spans="1:2" x14ac:dyDescent="0.25">
      <c r="A3434" t="s">
        <v>1420</v>
      </c>
      <c r="B3434" t="s">
        <v>310</v>
      </c>
    </row>
    <row r="3435" spans="1:2" x14ac:dyDescent="0.25">
      <c r="A3435" t="s">
        <v>570</v>
      </c>
      <c r="B3435" t="s">
        <v>310</v>
      </c>
    </row>
    <row r="3436" spans="1:2" x14ac:dyDescent="0.25">
      <c r="A3436" t="s">
        <v>1255</v>
      </c>
      <c r="B3436" t="s">
        <v>310</v>
      </c>
    </row>
    <row r="3437" spans="1:2" x14ac:dyDescent="0.25">
      <c r="A3437" t="s">
        <v>4025</v>
      </c>
      <c r="B3437" t="s">
        <v>310</v>
      </c>
    </row>
    <row r="3438" spans="1:2" x14ac:dyDescent="0.25">
      <c r="A3438" t="s">
        <v>557</v>
      </c>
      <c r="B3438" t="s">
        <v>310</v>
      </c>
    </row>
    <row r="3439" spans="1:2" x14ac:dyDescent="0.25">
      <c r="A3439" t="s">
        <v>4026</v>
      </c>
      <c r="B3439" t="s">
        <v>310</v>
      </c>
    </row>
    <row r="3440" spans="1:2" x14ac:dyDescent="0.25">
      <c r="A3440" t="s">
        <v>1257</v>
      </c>
      <c r="B3440" t="s">
        <v>310</v>
      </c>
    </row>
    <row r="3441" spans="1:2" x14ac:dyDescent="0.25">
      <c r="A3441" t="s">
        <v>1258</v>
      </c>
      <c r="B3441" t="s">
        <v>310</v>
      </c>
    </row>
    <row r="3442" spans="1:2" x14ac:dyDescent="0.25">
      <c r="A3442" t="s">
        <v>311</v>
      </c>
      <c r="B3442" t="s">
        <v>310</v>
      </c>
    </row>
    <row r="3443" spans="1:2" x14ac:dyDescent="0.25">
      <c r="A3443" t="s">
        <v>1421</v>
      </c>
      <c r="B3443" t="s">
        <v>310</v>
      </c>
    </row>
    <row r="3444" spans="1:2" x14ac:dyDescent="0.25">
      <c r="A3444" t="s">
        <v>1259</v>
      </c>
      <c r="B3444" t="s">
        <v>4133</v>
      </c>
    </row>
    <row r="3445" spans="1:2" x14ac:dyDescent="0.25">
      <c r="A3445" t="s">
        <v>1261</v>
      </c>
      <c r="B3445" t="s">
        <v>4133</v>
      </c>
    </row>
    <row r="3446" spans="1:2" x14ac:dyDescent="0.25">
      <c r="A3446" t="s">
        <v>1263</v>
      </c>
      <c r="B3446" t="s">
        <v>4133</v>
      </c>
    </row>
    <row r="3447" spans="1:2" x14ac:dyDescent="0.25">
      <c r="A3447" t="s">
        <v>1264</v>
      </c>
      <c r="B3447" t="s">
        <v>310</v>
      </c>
    </row>
    <row r="3448" spans="1:2" x14ac:dyDescent="0.25">
      <c r="A3448" t="s">
        <v>4027</v>
      </c>
      <c r="B3448" t="s">
        <v>310</v>
      </c>
    </row>
    <row r="3449" spans="1:2" x14ac:dyDescent="0.25">
      <c r="A3449" t="s">
        <v>1521</v>
      </c>
      <c r="B3449" t="s">
        <v>310</v>
      </c>
    </row>
    <row r="3450" spans="1:2" x14ac:dyDescent="0.25">
      <c r="A3450" t="s">
        <v>1422</v>
      </c>
      <c r="B3450" t="s">
        <v>310</v>
      </c>
    </row>
    <row r="3451" spans="1:2" x14ac:dyDescent="0.25">
      <c r="A3451" t="s">
        <v>1265</v>
      </c>
      <c r="B3451" t="s">
        <v>4133</v>
      </c>
    </row>
    <row r="3452" spans="1:2" x14ac:dyDescent="0.25">
      <c r="A3452" t="s">
        <v>1423</v>
      </c>
      <c r="B3452" t="s">
        <v>1268</v>
      </c>
    </row>
    <row r="3453" spans="1:2" x14ac:dyDescent="0.25">
      <c r="A3453" t="s">
        <v>1267</v>
      </c>
      <c r="B3453" t="s">
        <v>1268</v>
      </c>
    </row>
    <row r="3454" spans="1:2" x14ac:dyDescent="0.25">
      <c r="A3454" t="s">
        <v>1424</v>
      </c>
      <c r="B3454" t="s">
        <v>1270</v>
      </c>
    </row>
    <row r="3455" spans="1:2" x14ac:dyDescent="0.25">
      <c r="A3455" t="s">
        <v>1425</v>
      </c>
      <c r="B3455" t="s">
        <v>1270</v>
      </c>
    </row>
    <row r="3456" spans="1:2" x14ac:dyDescent="0.25">
      <c r="A3456" t="s">
        <v>1269</v>
      </c>
      <c r="B3456" t="s">
        <v>1270</v>
      </c>
    </row>
    <row r="3457" spans="1:2" x14ac:dyDescent="0.25">
      <c r="A3457" t="s">
        <v>1426</v>
      </c>
      <c r="B3457" t="s">
        <v>1270</v>
      </c>
    </row>
    <row r="3458" spans="1:2" x14ac:dyDescent="0.25">
      <c r="A3458" t="s">
        <v>517</v>
      </c>
      <c r="B3458" t="s">
        <v>518</v>
      </c>
    </row>
    <row r="3459" spans="1:2" x14ac:dyDescent="0.25">
      <c r="A3459" t="s">
        <v>4028</v>
      </c>
      <c r="B3459" t="s">
        <v>518</v>
      </c>
    </row>
    <row r="3460" spans="1:2" x14ac:dyDescent="0.25">
      <c r="A3460" t="s">
        <v>4029</v>
      </c>
      <c r="B3460" t="s">
        <v>518</v>
      </c>
    </row>
    <row r="3461" spans="1:2" x14ac:dyDescent="0.25">
      <c r="A3461" t="s">
        <v>4030</v>
      </c>
    </row>
    <row r="3462" spans="1:2" x14ac:dyDescent="0.25">
      <c r="A3462" t="s">
        <v>4031</v>
      </c>
    </row>
    <row r="3463" spans="1:2" x14ac:dyDescent="0.25">
      <c r="A3463" t="s">
        <v>4032</v>
      </c>
    </row>
    <row r="3464" spans="1:2" x14ac:dyDescent="0.25">
      <c r="A3464" t="s">
        <v>635</v>
      </c>
      <c r="B3464" t="s">
        <v>518</v>
      </c>
    </row>
    <row r="3465" spans="1:2" x14ac:dyDescent="0.25">
      <c r="A3465" t="s">
        <v>525</v>
      </c>
      <c r="B3465" t="s">
        <v>518</v>
      </c>
    </row>
    <row r="3466" spans="1:2" x14ac:dyDescent="0.25">
      <c r="A3466" t="s">
        <v>526</v>
      </c>
      <c r="B3466" t="s">
        <v>518</v>
      </c>
    </row>
    <row r="3467" spans="1:2" x14ac:dyDescent="0.25">
      <c r="A3467" t="s">
        <v>1271</v>
      </c>
      <c r="B3467" t="s">
        <v>518</v>
      </c>
    </row>
    <row r="3468" spans="1:2" x14ac:dyDescent="0.25">
      <c r="A3468" t="s">
        <v>1272</v>
      </c>
      <c r="B3468" t="s">
        <v>518</v>
      </c>
    </row>
    <row r="3469" spans="1:2" x14ac:dyDescent="0.25">
      <c r="A3469" t="s">
        <v>1427</v>
      </c>
      <c r="B3469" t="s">
        <v>1274</v>
      </c>
    </row>
    <row r="3470" spans="1:2" x14ac:dyDescent="0.25">
      <c r="A3470" t="s">
        <v>1428</v>
      </c>
      <c r="B3470" t="s">
        <v>1274</v>
      </c>
    </row>
    <row r="3471" spans="1:2" x14ac:dyDescent="0.25">
      <c r="A3471" t="s">
        <v>1273</v>
      </c>
      <c r="B3471" t="s">
        <v>1274</v>
      </c>
    </row>
    <row r="3472" spans="1:2" x14ac:dyDescent="0.25">
      <c r="A3472" t="s">
        <v>1275</v>
      </c>
      <c r="B3472" t="s">
        <v>1274</v>
      </c>
    </row>
    <row r="3473" spans="1:2" x14ac:dyDescent="0.25">
      <c r="A3473" t="s">
        <v>1277</v>
      </c>
      <c r="B3473" t="s">
        <v>1274</v>
      </c>
    </row>
    <row r="3474" spans="1:2" x14ac:dyDescent="0.25">
      <c r="A3474" t="s">
        <v>1278</v>
      </c>
      <c r="B3474" t="s">
        <v>1274</v>
      </c>
    </row>
    <row r="3475" spans="1:2" x14ac:dyDescent="0.25">
      <c r="A3475" t="s">
        <v>1279</v>
      </c>
      <c r="B3475" t="s">
        <v>1274</v>
      </c>
    </row>
    <row r="3476" spans="1:2" x14ac:dyDescent="0.25">
      <c r="A3476" t="s">
        <v>1280</v>
      </c>
      <c r="B3476" t="s">
        <v>1274</v>
      </c>
    </row>
    <row r="3477" spans="1:2" x14ac:dyDescent="0.25">
      <c r="A3477" t="s">
        <v>1429</v>
      </c>
      <c r="B3477" t="s">
        <v>1430</v>
      </c>
    </row>
    <row r="3478" spans="1:2" x14ac:dyDescent="0.25">
      <c r="A3478" t="s">
        <v>4033</v>
      </c>
      <c r="B3478" t="s">
        <v>1276</v>
      </c>
    </row>
    <row r="3479" spans="1:2" x14ac:dyDescent="0.25">
      <c r="A3479" t="s">
        <v>4034</v>
      </c>
      <c r="B3479" t="s">
        <v>1276</v>
      </c>
    </row>
    <row r="3480" spans="1:2" x14ac:dyDescent="0.25">
      <c r="A3480" t="s">
        <v>4035</v>
      </c>
      <c r="B3480" t="s">
        <v>1276</v>
      </c>
    </row>
    <row r="3481" spans="1:2" x14ac:dyDescent="0.25">
      <c r="A3481" t="s">
        <v>4036</v>
      </c>
      <c r="B3481" t="s">
        <v>1276</v>
      </c>
    </row>
    <row r="3482" spans="1:2" x14ac:dyDescent="0.25">
      <c r="A3482" t="s">
        <v>4037</v>
      </c>
      <c r="B3482" t="s">
        <v>1276</v>
      </c>
    </row>
    <row r="3483" spans="1:2" x14ac:dyDescent="0.25">
      <c r="A3483" t="s">
        <v>4038</v>
      </c>
      <c r="B3483" t="s">
        <v>1276</v>
      </c>
    </row>
    <row r="3484" spans="1:2" x14ac:dyDescent="0.25">
      <c r="A3484" t="s">
        <v>4039</v>
      </c>
      <c r="B3484" t="s">
        <v>1276</v>
      </c>
    </row>
    <row r="3485" spans="1:2" x14ac:dyDescent="0.25">
      <c r="A3485" t="s">
        <v>4040</v>
      </c>
      <c r="B3485" t="s">
        <v>1276</v>
      </c>
    </row>
    <row r="3486" spans="1:2" x14ac:dyDescent="0.25">
      <c r="A3486" t="s">
        <v>4041</v>
      </c>
      <c r="B3486" t="s">
        <v>1276</v>
      </c>
    </row>
    <row r="3487" spans="1:2" x14ac:dyDescent="0.25">
      <c r="A3487" t="s">
        <v>4042</v>
      </c>
      <c r="B3487" t="s">
        <v>1276</v>
      </c>
    </row>
    <row r="3488" spans="1:2" x14ac:dyDescent="0.25">
      <c r="A3488" t="s">
        <v>4043</v>
      </c>
      <c r="B3488" t="s">
        <v>1276</v>
      </c>
    </row>
    <row r="3489" spans="1:2" x14ac:dyDescent="0.25">
      <c r="A3489" t="s">
        <v>4044</v>
      </c>
      <c r="B3489" t="s">
        <v>1276</v>
      </c>
    </row>
    <row r="3490" spans="1:2" x14ac:dyDescent="0.25">
      <c r="A3490" t="s">
        <v>4045</v>
      </c>
      <c r="B3490" t="s">
        <v>1276</v>
      </c>
    </row>
    <row r="3491" spans="1:2" x14ac:dyDescent="0.25">
      <c r="A3491" t="s">
        <v>4046</v>
      </c>
      <c r="B3491" t="s">
        <v>1276</v>
      </c>
    </row>
    <row r="3492" spans="1:2" x14ac:dyDescent="0.25">
      <c r="A3492" t="s">
        <v>4047</v>
      </c>
      <c r="B3492" t="s">
        <v>1276</v>
      </c>
    </row>
    <row r="3493" spans="1:2" x14ac:dyDescent="0.25">
      <c r="A3493" t="s">
        <v>4048</v>
      </c>
      <c r="B3493" t="s">
        <v>1276</v>
      </c>
    </row>
    <row r="3494" spans="1:2" x14ac:dyDescent="0.25">
      <c r="A3494" t="s">
        <v>4049</v>
      </c>
      <c r="B3494" t="s">
        <v>1276</v>
      </c>
    </row>
    <row r="3495" spans="1:2" x14ac:dyDescent="0.25">
      <c r="A3495" t="s">
        <v>4050</v>
      </c>
      <c r="B3495" t="s">
        <v>1276</v>
      </c>
    </row>
    <row r="3496" spans="1:2" x14ac:dyDescent="0.25">
      <c r="A3496" t="s">
        <v>4051</v>
      </c>
      <c r="B3496" t="s">
        <v>1276</v>
      </c>
    </row>
    <row r="3497" spans="1:2" x14ac:dyDescent="0.25">
      <c r="A3497" t="s">
        <v>4052</v>
      </c>
      <c r="B3497" t="s">
        <v>1276</v>
      </c>
    </row>
    <row r="3498" spans="1:2" x14ac:dyDescent="0.25">
      <c r="A3498" t="s">
        <v>4053</v>
      </c>
      <c r="B3498" t="s">
        <v>1276</v>
      </c>
    </row>
    <row r="3499" spans="1:2" x14ac:dyDescent="0.25">
      <c r="A3499" t="s">
        <v>4054</v>
      </c>
      <c r="B3499" t="s">
        <v>1276</v>
      </c>
    </row>
    <row r="3500" spans="1:2" x14ac:dyDescent="0.25">
      <c r="A3500" t="s">
        <v>4055</v>
      </c>
      <c r="B3500" t="s">
        <v>1276</v>
      </c>
    </row>
    <row r="3501" spans="1:2" x14ac:dyDescent="0.25">
      <c r="A3501" t="s">
        <v>4056</v>
      </c>
      <c r="B3501" t="s">
        <v>1276</v>
      </c>
    </row>
    <row r="3502" spans="1:2" x14ac:dyDescent="0.25">
      <c r="A3502" t="s">
        <v>4057</v>
      </c>
      <c r="B3502" t="s">
        <v>1276</v>
      </c>
    </row>
    <row r="3503" spans="1:2" x14ac:dyDescent="0.25">
      <c r="A3503" t="s">
        <v>4058</v>
      </c>
      <c r="B3503" t="s">
        <v>1276</v>
      </c>
    </row>
    <row r="3504" spans="1:2" x14ac:dyDescent="0.25">
      <c r="A3504" t="s">
        <v>4059</v>
      </c>
      <c r="B3504" t="s">
        <v>1276</v>
      </c>
    </row>
    <row r="3505" spans="1:2" x14ac:dyDescent="0.25">
      <c r="A3505" t="s">
        <v>4060</v>
      </c>
      <c r="B3505" t="s">
        <v>1276</v>
      </c>
    </row>
    <row r="3506" spans="1:2" x14ac:dyDescent="0.25">
      <c r="A3506" t="s">
        <v>4061</v>
      </c>
      <c r="B3506" t="s">
        <v>1276</v>
      </c>
    </row>
    <row r="3507" spans="1:2" x14ac:dyDescent="0.25">
      <c r="A3507" t="s">
        <v>4062</v>
      </c>
      <c r="B3507" t="s">
        <v>1276</v>
      </c>
    </row>
    <row r="3508" spans="1:2" x14ac:dyDescent="0.25">
      <c r="A3508" t="s">
        <v>4063</v>
      </c>
      <c r="B3508" t="s">
        <v>1276</v>
      </c>
    </row>
    <row r="3509" spans="1:2" x14ac:dyDescent="0.25">
      <c r="A3509" t="s">
        <v>4064</v>
      </c>
      <c r="B3509" t="s">
        <v>1276</v>
      </c>
    </row>
    <row r="3510" spans="1:2" x14ac:dyDescent="0.25">
      <c r="A3510" t="s">
        <v>4065</v>
      </c>
      <c r="B3510" t="s">
        <v>1276</v>
      </c>
    </row>
    <row r="3511" spans="1:2" x14ac:dyDescent="0.25">
      <c r="A3511" t="s">
        <v>4066</v>
      </c>
      <c r="B3511" t="s">
        <v>1276</v>
      </c>
    </row>
    <row r="3512" spans="1:2" x14ac:dyDescent="0.25">
      <c r="A3512" t="s">
        <v>4067</v>
      </c>
      <c r="B3512" t="s">
        <v>1276</v>
      </c>
    </row>
    <row r="3513" spans="1:2" x14ac:dyDescent="0.25">
      <c r="A3513" t="s">
        <v>4068</v>
      </c>
      <c r="B3513" t="s">
        <v>1276</v>
      </c>
    </row>
    <row r="3514" spans="1:2" x14ac:dyDescent="0.25">
      <c r="A3514" t="s">
        <v>4069</v>
      </c>
      <c r="B3514" t="s">
        <v>1276</v>
      </c>
    </row>
    <row r="3515" spans="1:2" x14ac:dyDescent="0.25">
      <c r="A3515" t="s">
        <v>4070</v>
      </c>
      <c r="B3515" t="s">
        <v>1276</v>
      </c>
    </row>
    <row r="3516" spans="1:2" x14ac:dyDescent="0.25">
      <c r="A3516" t="s">
        <v>4071</v>
      </c>
      <c r="B3516" t="s">
        <v>1276</v>
      </c>
    </row>
    <row r="3517" spans="1:2" x14ac:dyDescent="0.25">
      <c r="A3517" t="s">
        <v>4072</v>
      </c>
      <c r="B3517" t="s">
        <v>1276</v>
      </c>
    </row>
    <row r="3518" spans="1:2" x14ac:dyDescent="0.25">
      <c r="A3518" t="s">
        <v>4073</v>
      </c>
      <c r="B3518" t="s">
        <v>1276</v>
      </c>
    </row>
    <row r="3519" spans="1:2" x14ac:dyDescent="0.25">
      <c r="A3519" t="s">
        <v>4074</v>
      </c>
      <c r="B3519" t="s">
        <v>1276</v>
      </c>
    </row>
    <row r="3520" spans="1:2" x14ac:dyDescent="0.25">
      <c r="A3520" t="s">
        <v>4075</v>
      </c>
      <c r="B3520" t="s">
        <v>1276</v>
      </c>
    </row>
    <row r="3521" spans="1:2" x14ac:dyDescent="0.25">
      <c r="A3521" t="s">
        <v>1431</v>
      </c>
      <c r="B3521" t="s">
        <v>234</v>
      </c>
    </row>
    <row r="3522" spans="1:2" x14ac:dyDescent="0.25">
      <c r="A3522" t="s">
        <v>1281</v>
      </c>
      <c r="B3522" t="s">
        <v>234</v>
      </c>
    </row>
    <row r="3523" spans="1:2" x14ac:dyDescent="0.25">
      <c r="A3523" t="s">
        <v>1282</v>
      </c>
      <c r="B3523" t="s">
        <v>234</v>
      </c>
    </row>
    <row r="3524" spans="1:2" x14ac:dyDescent="0.25">
      <c r="A3524" t="s">
        <v>233</v>
      </c>
      <c r="B3524" t="s">
        <v>234</v>
      </c>
    </row>
    <row r="3525" spans="1:2" x14ac:dyDescent="0.25">
      <c r="A3525" t="s">
        <v>516</v>
      </c>
      <c r="B3525" t="s">
        <v>234</v>
      </c>
    </row>
    <row r="3526" spans="1:2" x14ac:dyDescent="0.25">
      <c r="A3526" t="s">
        <v>235</v>
      </c>
      <c r="B3526" t="s">
        <v>234</v>
      </c>
    </row>
    <row r="3527" spans="1:2" x14ac:dyDescent="0.25">
      <c r="A3527" t="s">
        <v>1283</v>
      </c>
      <c r="B3527" t="s">
        <v>234</v>
      </c>
    </row>
    <row r="3528" spans="1:2" x14ac:dyDescent="0.25">
      <c r="A3528" t="s">
        <v>4076</v>
      </c>
      <c r="B3528" t="s">
        <v>234</v>
      </c>
    </row>
    <row r="3529" spans="1:2" x14ac:dyDescent="0.25">
      <c r="A3529" t="s">
        <v>1432</v>
      </c>
      <c r="B3529" t="s">
        <v>234</v>
      </c>
    </row>
    <row r="3530" spans="1:2" x14ac:dyDescent="0.25">
      <c r="A3530" t="s">
        <v>313</v>
      </c>
      <c r="B3530" t="s">
        <v>234</v>
      </c>
    </row>
    <row r="3531" spans="1:2" x14ac:dyDescent="0.25">
      <c r="A3531" t="s">
        <v>314</v>
      </c>
      <c r="B3531" t="s">
        <v>234</v>
      </c>
    </row>
    <row r="3532" spans="1:2" x14ac:dyDescent="0.25">
      <c r="A3532" t="s">
        <v>560</v>
      </c>
      <c r="B3532" t="s">
        <v>234</v>
      </c>
    </row>
    <row r="3533" spans="1:2" x14ac:dyDescent="0.25">
      <c r="A3533" t="s">
        <v>237</v>
      </c>
      <c r="B3533" t="s">
        <v>234</v>
      </c>
    </row>
    <row r="3534" spans="1:2" x14ac:dyDescent="0.25">
      <c r="A3534" t="s">
        <v>1284</v>
      </c>
      <c r="B3534" t="s">
        <v>234</v>
      </c>
    </row>
    <row r="3535" spans="1:2" x14ac:dyDescent="0.25">
      <c r="A3535" t="s">
        <v>1285</v>
      </c>
      <c r="B3535" t="s">
        <v>234</v>
      </c>
    </row>
    <row r="3536" spans="1:2" x14ac:dyDescent="0.25">
      <c r="A3536" t="s">
        <v>1433</v>
      </c>
      <c r="B3536" t="s">
        <v>234</v>
      </c>
    </row>
    <row r="3537" spans="1:2" x14ac:dyDescent="0.25">
      <c r="A3537" t="s">
        <v>1434</v>
      </c>
      <c r="B3537" t="s">
        <v>234</v>
      </c>
    </row>
    <row r="3538" spans="1:2" x14ac:dyDescent="0.25">
      <c r="A3538" t="s">
        <v>1435</v>
      </c>
      <c r="B3538" t="s">
        <v>234</v>
      </c>
    </row>
    <row r="3539" spans="1:2" x14ac:dyDescent="0.25">
      <c r="A3539" t="s">
        <v>1286</v>
      </c>
      <c r="B3539" t="s">
        <v>234</v>
      </c>
    </row>
    <row r="3540" spans="1:2" x14ac:dyDescent="0.25">
      <c r="A3540" t="s">
        <v>1288</v>
      </c>
      <c r="B3540" t="s">
        <v>234</v>
      </c>
    </row>
    <row r="3541" spans="1:2" x14ac:dyDescent="0.25">
      <c r="A3541" t="s">
        <v>1289</v>
      </c>
      <c r="B3541" t="s">
        <v>234</v>
      </c>
    </row>
    <row r="3542" spans="1:2" x14ac:dyDescent="0.25">
      <c r="A3542" t="s">
        <v>239</v>
      </c>
      <c r="B3542" t="s">
        <v>234</v>
      </c>
    </row>
    <row r="3543" spans="1:2" x14ac:dyDescent="0.25">
      <c r="A3543" t="s">
        <v>1290</v>
      </c>
      <c r="B3543" t="s">
        <v>234</v>
      </c>
    </row>
    <row r="3544" spans="1:2" x14ac:dyDescent="0.25">
      <c r="A3544" t="s">
        <v>240</v>
      </c>
      <c r="B3544" t="s">
        <v>234</v>
      </c>
    </row>
    <row r="3545" spans="1:2" x14ac:dyDescent="0.25">
      <c r="A3545" t="s">
        <v>1291</v>
      </c>
      <c r="B3545" t="s">
        <v>234</v>
      </c>
    </row>
    <row r="3546" spans="1:2" x14ac:dyDescent="0.25">
      <c r="A3546" t="s">
        <v>241</v>
      </c>
      <c r="B3546" t="s">
        <v>234</v>
      </c>
    </row>
    <row r="3547" spans="1:2" x14ac:dyDescent="0.25">
      <c r="A3547" t="s">
        <v>4077</v>
      </c>
      <c r="B3547" t="s">
        <v>234</v>
      </c>
    </row>
    <row r="3548" spans="1:2" x14ac:dyDescent="0.25">
      <c r="A3548" t="s">
        <v>558</v>
      </c>
      <c r="B3548" t="s">
        <v>234</v>
      </c>
    </row>
    <row r="3549" spans="1:2" x14ac:dyDescent="0.25">
      <c r="A3549" t="s">
        <v>1294</v>
      </c>
      <c r="B3549" t="s">
        <v>234</v>
      </c>
    </row>
    <row r="3550" spans="1:2" x14ac:dyDescent="0.25">
      <c r="A3550" t="s">
        <v>1292</v>
      </c>
      <c r="B3550" t="s">
        <v>234</v>
      </c>
    </row>
    <row r="3551" spans="1:2" x14ac:dyDescent="0.25">
      <c r="A3551" t="s">
        <v>242</v>
      </c>
      <c r="B3551" t="s">
        <v>234</v>
      </c>
    </row>
    <row r="3552" spans="1:2" x14ac:dyDescent="0.25">
      <c r="A3552" t="s">
        <v>244</v>
      </c>
      <c r="B3552" t="s">
        <v>234</v>
      </c>
    </row>
    <row r="3553" spans="1:2" x14ac:dyDescent="0.25">
      <c r="A3553" t="s">
        <v>1293</v>
      </c>
      <c r="B3553" t="s">
        <v>234</v>
      </c>
    </row>
    <row r="3554" spans="1:2" x14ac:dyDescent="0.25">
      <c r="A3554" t="s">
        <v>1436</v>
      </c>
      <c r="B3554" t="s">
        <v>234</v>
      </c>
    </row>
    <row r="3555" spans="1:2" x14ac:dyDescent="0.25">
      <c r="A3555" t="s">
        <v>1437</v>
      </c>
      <c r="B3555" t="s">
        <v>234</v>
      </c>
    </row>
    <row r="3556" spans="1:2" x14ac:dyDescent="0.25">
      <c r="A3556" t="s">
        <v>4078</v>
      </c>
      <c r="B3556" t="s">
        <v>255</v>
      </c>
    </row>
    <row r="3557" spans="1:2" x14ac:dyDescent="0.25">
      <c r="A3557" t="s">
        <v>4079</v>
      </c>
      <c r="B3557" t="s">
        <v>234</v>
      </c>
    </row>
    <row r="3558" spans="1:2" x14ac:dyDescent="0.25">
      <c r="A3558" t="s">
        <v>245</v>
      </c>
      <c r="B3558" t="s">
        <v>234</v>
      </c>
    </row>
    <row r="3559" spans="1:2" x14ac:dyDescent="0.25">
      <c r="A3559" t="s">
        <v>1438</v>
      </c>
      <c r="B3559" t="s">
        <v>234</v>
      </c>
    </row>
    <row r="3560" spans="1:2" x14ac:dyDescent="0.25">
      <c r="A3560" t="s">
        <v>1287</v>
      </c>
      <c r="B3560" t="s">
        <v>234</v>
      </c>
    </row>
    <row r="3561" spans="1:2" x14ac:dyDescent="0.25">
      <c r="A3561" t="s">
        <v>4080</v>
      </c>
      <c r="B3561" t="s">
        <v>234</v>
      </c>
    </row>
    <row r="3562" spans="1:2" x14ac:dyDescent="0.25">
      <c r="A3562" t="s">
        <v>4081</v>
      </c>
      <c r="B3562" t="s">
        <v>234</v>
      </c>
    </row>
    <row r="3563" spans="1:2" x14ac:dyDescent="0.25">
      <c r="A3563" t="s">
        <v>1439</v>
      </c>
      <c r="B3563" t="s">
        <v>234</v>
      </c>
    </row>
    <row r="3564" spans="1:2" x14ac:dyDescent="0.25">
      <c r="A3564" t="s">
        <v>1440</v>
      </c>
      <c r="B3564" t="s">
        <v>234</v>
      </c>
    </row>
    <row r="3565" spans="1:2" x14ac:dyDescent="0.25">
      <c r="A3565" t="s">
        <v>1441</v>
      </c>
      <c r="B3565" t="s">
        <v>234</v>
      </c>
    </row>
    <row r="3566" spans="1:2" x14ac:dyDescent="0.25">
      <c r="A3566" t="s">
        <v>247</v>
      </c>
      <c r="B3566" t="s">
        <v>234</v>
      </c>
    </row>
    <row r="3567" spans="1:2" x14ac:dyDescent="0.25">
      <c r="A3567" t="s">
        <v>478</v>
      </c>
      <c r="B3567" t="s">
        <v>234</v>
      </c>
    </row>
    <row r="3568" spans="1:2" x14ac:dyDescent="0.25">
      <c r="A3568" t="s">
        <v>479</v>
      </c>
      <c r="B3568" t="s">
        <v>234</v>
      </c>
    </row>
    <row r="3569" spans="1:2" x14ac:dyDescent="0.25">
      <c r="A3569" t="s">
        <v>4082</v>
      </c>
    </row>
    <row r="3570" spans="1:2" x14ac:dyDescent="0.25">
      <c r="A3570" t="s">
        <v>4083</v>
      </c>
      <c r="B3570" t="s">
        <v>151</v>
      </c>
    </row>
    <row r="3571" spans="1:2" x14ac:dyDescent="0.25">
      <c r="A3571" t="s">
        <v>4084</v>
      </c>
    </row>
    <row r="3572" spans="1:2" x14ac:dyDescent="0.25">
      <c r="A3572" t="s">
        <v>636</v>
      </c>
      <c r="B3572" t="s">
        <v>637</v>
      </c>
    </row>
    <row r="3573" spans="1:2" x14ac:dyDescent="0.25">
      <c r="A3573" t="s">
        <v>1442</v>
      </c>
      <c r="B3573" t="s">
        <v>637</v>
      </c>
    </row>
    <row r="3574" spans="1:2" x14ac:dyDescent="0.25">
      <c r="A3574" t="s">
        <v>577</v>
      </c>
      <c r="B3574" t="s">
        <v>578</v>
      </c>
    </row>
    <row r="3575" spans="1:2" x14ac:dyDescent="0.25">
      <c r="A3575" t="s">
        <v>1443</v>
      </c>
      <c r="B3575" t="s">
        <v>1445</v>
      </c>
    </row>
    <row r="3576" spans="1:2" x14ac:dyDescent="0.25">
      <c r="A3576" t="s">
        <v>1446</v>
      </c>
      <c r="B3576" t="s">
        <v>1447</v>
      </c>
    </row>
    <row r="3577" spans="1:2" x14ac:dyDescent="0.25">
      <c r="A3577" t="s">
        <v>1448</v>
      </c>
      <c r="B3577" t="s">
        <v>1447</v>
      </c>
    </row>
    <row r="3578" spans="1:2" x14ac:dyDescent="0.25">
      <c r="A3578" t="s">
        <v>1449</v>
      </c>
      <c r="B3578" t="s">
        <v>1450</v>
      </c>
    </row>
    <row r="3579" spans="1:2" x14ac:dyDescent="0.25">
      <c r="A3579" t="s">
        <v>1451</v>
      </c>
      <c r="B3579" t="s">
        <v>1450</v>
      </c>
    </row>
    <row r="3580" spans="1:2" x14ac:dyDescent="0.25">
      <c r="A3580" t="s">
        <v>1452</v>
      </c>
      <c r="B3580" t="s">
        <v>1450</v>
      </c>
    </row>
    <row r="3581" spans="1:2" x14ac:dyDescent="0.25">
      <c r="A3581" t="s">
        <v>251</v>
      </c>
      <c r="B3581" t="s">
        <v>252</v>
      </c>
    </row>
    <row r="3582" spans="1:2" x14ac:dyDescent="0.25">
      <c r="A3582" t="s">
        <v>1453</v>
      </c>
      <c r="B3582" t="s">
        <v>252</v>
      </c>
    </row>
    <row r="3583" spans="1:2" x14ac:dyDescent="0.25">
      <c r="A3583" t="s">
        <v>1454</v>
      </c>
      <c r="B3583" t="s">
        <v>252</v>
      </c>
    </row>
    <row r="3584" spans="1:2" x14ac:dyDescent="0.25">
      <c r="A3584" t="s">
        <v>4085</v>
      </c>
      <c r="B3584" t="s">
        <v>252</v>
      </c>
    </row>
    <row r="3585" spans="1:2" x14ac:dyDescent="0.25">
      <c r="A3585" t="s">
        <v>1455</v>
      </c>
      <c r="B3585" t="s">
        <v>252</v>
      </c>
    </row>
    <row r="3586" spans="1:2" x14ac:dyDescent="0.25">
      <c r="A3586" t="s">
        <v>1457</v>
      </c>
      <c r="B3586" t="s">
        <v>1458</v>
      </c>
    </row>
    <row r="3587" spans="1:2" x14ac:dyDescent="0.25">
      <c r="A3587" t="s">
        <v>1459</v>
      </c>
      <c r="B3587" t="s">
        <v>1458</v>
      </c>
    </row>
    <row r="3588" spans="1:2" x14ac:dyDescent="0.25">
      <c r="A3588" t="s">
        <v>1460</v>
      </c>
      <c r="B3588" t="s">
        <v>1461</v>
      </c>
    </row>
    <row r="3589" spans="1:2" x14ac:dyDescent="0.25">
      <c r="A3589" t="s">
        <v>1462</v>
      </c>
      <c r="B3589" t="s">
        <v>255</v>
      </c>
    </row>
    <row r="3590" spans="1:2" x14ac:dyDescent="0.25">
      <c r="A3590" t="s">
        <v>1463</v>
      </c>
      <c r="B3590" t="s">
        <v>255</v>
      </c>
    </row>
    <row r="3591" spans="1:2" x14ac:dyDescent="0.25">
      <c r="A3591" t="s">
        <v>253</v>
      </c>
      <c r="B3591" t="s">
        <v>255</v>
      </c>
    </row>
    <row r="3592" spans="1:2" x14ac:dyDescent="0.25">
      <c r="A3592" t="s">
        <v>480</v>
      </c>
      <c r="B3592" t="s">
        <v>255</v>
      </c>
    </row>
    <row r="3593" spans="1:2" x14ac:dyDescent="0.25">
      <c r="A3593" t="s">
        <v>1464</v>
      </c>
      <c r="B3593" t="s">
        <v>255</v>
      </c>
    </row>
    <row r="3594" spans="1:2" x14ac:dyDescent="0.25">
      <c r="A3594" t="s">
        <v>256</v>
      </c>
      <c r="B3594" t="s">
        <v>255</v>
      </c>
    </row>
    <row r="3595" spans="1:2" x14ac:dyDescent="0.25">
      <c r="A3595" t="s">
        <v>1465</v>
      </c>
      <c r="B3595" t="s">
        <v>255</v>
      </c>
    </row>
    <row r="3596" spans="1:2" x14ac:dyDescent="0.25">
      <c r="A3596" t="s">
        <v>1466</v>
      </c>
      <c r="B3596" t="s">
        <v>255</v>
      </c>
    </row>
    <row r="3597" spans="1:2" x14ac:dyDescent="0.25">
      <c r="A3597" t="s">
        <v>1467</v>
      </c>
      <c r="B3597" t="s">
        <v>255</v>
      </c>
    </row>
    <row r="3598" spans="1:2" x14ac:dyDescent="0.25">
      <c r="A3598" t="s">
        <v>262</v>
      </c>
      <c r="B3598" t="s">
        <v>255</v>
      </c>
    </row>
    <row r="3599" spans="1:2" x14ac:dyDescent="0.25">
      <c r="A3599" t="s">
        <v>1468</v>
      </c>
      <c r="B3599" t="s">
        <v>255</v>
      </c>
    </row>
    <row r="3600" spans="1:2" x14ac:dyDescent="0.25">
      <c r="A3600" t="s">
        <v>263</v>
      </c>
      <c r="B3600" t="s">
        <v>255</v>
      </c>
    </row>
    <row r="3601" spans="1:2" x14ac:dyDescent="0.25">
      <c r="A3601" t="s">
        <v>1469</v>
      </c>
      <c r="B3601" t="s">
        <v>255</v>
      </c>
    </row>
    <row r="3602" spans="1:2" x14ac:dyDescent="0.25">
      <c r="A3602" t="s">
        <v>4086</v>
      </c>
      <c r="B3602" t="s">
        <v>255</v>
      </c>
    </row>
    <row r="3603" spans="1:2" x14ac:dyDescent="0.25">
      <c r="A3603" t="s">
        <v>561</v>
      </c>
      <c r="B3603" t="s">
        <v>255</v>
      </c>
    </row>
    <row r="3604" spans="1:2" x14ac:dyDescent="0.25">
      <c r="A3604" t="s">
        <v>257</v>
      </c>
      <c r="B3604" t="s">
        <v>255</v>
      </c>
    </row>
    <row r="3605" spans="1:2" x14ac:dyDescent="0.25">
      <c r="A3605" t="s">
        <v>1470</v>
      </c>
      <c r="B3605" t="s">
        <v>255</v>
      </c>
    </row>
    <row r="3606" spans="1:2" x14ac:dyDescent="0.25">
      <c r="A3606" t="s">
        <v>4087</v>
      </c>
      <c r="B3606" t="s">
        <v>255</v>
      </c>
    </row>
    <row r="3607" spans="1:2" x14ac:dyDescent="0.25">
      <c r="A3607" t="s">
        <v>4088</v>
      </c>
      <c r="B3607" t="s">
        <v>255</v>
      </c>
    </row>
    <row r="3608" spans="1:2" x14ac:dyDescent="0.25">
      <c r="A3608" t="s">
        <v>4089</v>
      </c>
      <c r="B3608" t="s">
        <v>255</v>
      </c>
    </row>
    <row r="3609" spans="1:2" x14ac:dyDescent="0.25">
      <c r="A3609" t="s">
        <v>1471</v>
      </c>
      <c r="B3609" t="s">
        <v>255</v>
      </c>
    </row>
    <row r="3610" spans="1:2" x14ac:dyDescent="0.25">
      <c r="A3610" t="s">
        <v>315</v>
      </c>
      <c r="B3610" t="s">
        <v>255</v>
      </c>
    </row>
    <row r="3611" spans="1:2" x14ac:dyDescent="0.25">
      <c r="A3611" t="s">
        <v>571</v>
      </c>
      <c r="B3611" t="s">
        <v>255</v>
      </c>
    </row>
    <row r="3612" spans="1:2" x14ac:dyDescent="0.25">
      <c r="A3612" t="s">
        <v>1472</v>
      </c>
      <c r="B3612" t="s">
        <v>255</v>
      </c>
    </row>
    <row r="3613" spans="1:2" x14ac:dyDescent="0.25">
      <c r="A3613" t="s">
        <v>316</v>
      </c>
      <c r="B3613" t="s">
        <v>255</v>
      </c>
    </row>
    <row r="3614" spans="1:2" x14ac:dyDescent="0.25">
      <c r="A3614" t="s">
        <v>1473</v>
      </c>
      <c r="B3614" t="s">
        <v>255</v>
      </c>
    </row>
    <row r="3615" spans="1:2" x14ac:dyDescent="0.25">
      <c r="A3615" t="s">
        <v>638</v>
      </c>
      <c r="B3615" t="s">
        <v>255</v>
      </c>
    </row>
    <row r="3616" spans="1:2" x14ac:dyDescent="0.25">
      <c r="A3616" t="s">
        <v>258</v>
      </c>
      <c r="B3616" t="s">
        <v>255</v>
      </c>
    </row>
    <row r="3617" spans="1:2" x14ac:dyDescent="0.25">
      <c r="A3617" t="s">
        <v>639</v>
      </c>
      <c r="B3617" t="s">
        <v>255</v>
      </c>
    </row>
    <row r="3618" spans="1:2" x14ac:dyDescent="0.25">
      <c r="A3618" t="s">
        <v>1532</v>
      </c>
      <c r="B3618" t="s">
        <v>255</v>
      </c>
    </row>
    <row r="3619" spans="1:2" x14ac:dyDescent="0.25">
      <c r="A3619" t="s">
        <v>4090</v>
      </c>
      <c r="B3619" t="s">
        <v>255</v>
      </c>
    </row>
    <row r="3620" spans="1:2" x14ac:dyDescent="0.25">
      <c r="A3620" t="s">
        <v>640</v>
      </c>
      <c r="B3620" t="s">
        <v>255</v>
      </c>
    </row>
    <row r="3621" spans="1:2" x14ac:dyDescent="0.25">
      <c r="A3621" t="s">
        <v>562</v>
      </c>
      <c r="B3621" t="s">
        <v>255</v>
      </c>
    </row>
    <row r="3622" spans="1:2" x14ac:dyDescent="0.25">
      <c r="A3622" t="s">
        <v>1474</v>
      </c>
      <c r="B3622" t="s">
        <v>255</v>
      </c>
    </row>
    <row r="3623" spans="1:2" x14ac:dyDescent="0.25">
      <c r="A3623" t="s">
        <v>318</v>
      </c>
      <c r="B3623" t="s">
        <v>255</v>
      </c>
    </row>
    <row r="3624" spans="1:2" x14ac:dyDescent="0.25">
      <c r="A3624" t="s">
        <v>321</v>
      </c>
      <c r="B3624" t="s">
        <v>255</v>
      </c>
    </row>
    <row r="3625" spans="1:2" x14ac:dyDescent="0.25">
      <c r="A3625" t="s">
        <v>1475</v>
      </c>
      <c r="B3625" t="s">
        <v>255</v>
      </c>
    </row>
    <row r="3626" spans="1:2" x14ac:dyDescent="0.25">
      <c r="A3626" t="s">
        <v>319</v>
      </c>
      <c r="B3626" t="s">
        <v>255</v>
      </c>
    </row>
    <row r="3627" spans="1:2" x14ac:dyDescent="0.25">
      <c r="A3627" t="s">
        <v>259</v>
      </c>
      <c r="B3627" t="s">
        <v>255</v>
      </c>
    </row>
    <row r="3628" spans="1:2" x14ac:dyDescent="0.25">
      <c r="A3628" t="s">
        <v>1476</v>
      </c>
      <c r="B3628" t="s">
        <v>255</v>
      </c>
    </row>
    <row r="3629" spans="1:2" x14ac:dyDescent="0.25">
      <c r="A3629" t="s">
        <v>482</v>
      </c>
      <c r="B3629" t="s">
        <v>255</v>
      </c>
    </row>
    <row r="3630" spans="1:2" x14ac:dyDescent="0.25">
      <c r="A3630" t="s">
        <v>563</v>
      </c>
      <c r="B3630" t="s">
        <v>255</v>
      </c>
    </row>
    <row r="3631" spans="1:2" x14ac:dyDescent="0.25">
      <c r="A3631" t="s">
        <v>320</v>
      </c>
      <c r="B3631" t="s">
        <v>255</v>
      </c>
    </row>
    <row r="3632" spans="1:2" x14ac:dyDescent="0.25">
      <c r="A3632" t="s">
        <v>1477</v>
      </c>
      <c r="B3632" t="s">
        <v>255</v>
      </c>
    </row>
    <row r="3633" spans="1:2" x14ac:dyDescent="0.25">
      <c r="A3633" t="s">
        <v>260</v>
      </c>
      <c r="B3633" t="s">
        <v>255</v>
      </c>
    </row>
    <row r="3634" spans="1:2" x14ac:dyDescent="0.25">
      <c r="A3634" t="s">
        <v>564</v>
      </c>
      <c r="B3634" t="s">
        <v>255</v>
      </c>
    </row>
    <row r="3635" spans="1:2" x14ac:dyDescent="0.25">
      <c r="A3635" t="s">
        <v>1478</v>
      </c>
      <c r="B3635" t="s">
        <v>255</v>
      </c>
    </row>
    <row r="3636" spans="1:2" x14ac:dyDescent="0.25">
      <c r="A3636" t="s">
        <v>559</v>
      </c>
      <c r="B3636" t="s">
        <v>255</v>
      </c>
    </row>
    <row r="3637" spans="1:2" x14ac:dyDescent="0.25">
      <c r="A3637" t="s">
        <v>4091</v>
      </c>
      <c r="B3637" t="s">
        <v>269</v>
      </c>
    </row>
    <row r="3638" spans="1:2" x14ac:dyDescent="0.25">
      <c r="A3638" t="s">
        <v>4092</v>
      </c>
      <c r="B3638" t="s">
        <v>269</v>
      </c>
    </row>
    <row r="3639" spans="1:2" x14ac:dyDescent="0.25">
      <c r="A3639" t="s">
        <v>4093</v>
      </c>
      <c r="B3639" t="s">
        <v>269</v>
      </c>
    </row>
    <row r="3640" spans="1:2" x14ac:dyDescent="0.25">
      <c r="A3640" t="s">
        <v>4094</v>
      </c>
      <c r="B3640" t="s">
        <v>269</v>
      </c>
    </row>
    <row r="3641" spans="1:2" x14ac:dyDescent="0.25">
      <c r="A3641" t="s">
        <v>322</v>
      </c>
      <c r="B3641" t="s">
        <v>323</v>
      </c>
    </row>
    <row r="3642" spans="1:2" x14ac:dyDescent="0.25">
      <c r="A3642" t="s">
        <v>4095</v>
      </c>
      <c r="B3642" t="s">
        <v>323</v>
      </c>
    </row>
    <row r="3643" spans="1:2" x14ac:dyDescent="0.25">
      <c r="A3643" t="s">
        <v>1479</v>
      </c>
      <c r="B3643" t="s">
        <v>323</v>
      </c>
    </row>
    <row r="3644" spans="1:2" x14ac:dyDescent="0.25">
      <c r="A3644" t="s">
        <v>1480</v>
      </c>
      <c r="B3644" t="s">
        <v>1481</v>
      </c>
    </row>
    <row r="3645" spans="1:2" x14ac:dyDescent="0.25">
      <c r="A3645" t="s">
        <v>1482</v>
      </c>
      <c r="B3645" t="s">
        <v>1483</v>
      </c>
    </row>
    <row r="3646" spans="1:2" x14ac:dyDescent="0.25">
      <c r="A3646" t="s">
        <v>4096</v>
      </c>
      <c r="B3646" t="s">
        <v>1484</v>
      </c>
    </row>
    <row r="3647" spans="1:2" x14ac:dyDescent="0.25">
      <c r="A3647" t="s">
        <v>4097</v>
      </c>
      <c r="B3647" t="s">
        <v>270</v>
      </c>
    </row>
    <row r="3648" spans="1:2" x14ac:dyDescent="0.25">
      <c r="A3648" t="s">
        <v>271</v>
      </c>
      <c r="B3648" t="s">
        <v>270</v>
      </c>
    </row>
    <row r="3649" spans="1:2" x14ac:dyDescent="0.25">
      <c r="A3649" t="s">
        <v>273</v>
      </c>
      <c r="B3649" t="s">
        <v>270</v>
      </c>
    </row>
    <row r="3650" spans="1:2" x14ac:dyDescent="0.25">
      <c r="A3650" t="s">
        <v>324</v>
      </c>
      <c r="B3650" t="s">
        <v>270</v>
      </c>
    </row>
    <row r="3651" spans="1:2" x14ac:dyDescent="0.25">
      <c r="A3651" t="s">
        <v>4098</v>
      </c>
      <c r="B3651" t="s">
        <v>270</v>
      </c>
    </row>
    <row r="3652" spans="1:2" x14ac:dyDescent="0.25">
      <c r="A3652" t="s">
        <v>1485</v>
      </c>
      <c r="B3652" t="s">
        <v>270</v>
      </c>
    </row>
    <row r="3653" spans="1:2" x14ac:dyDescent="0.25">
      <c r="A3653" t="s">
        <v>1486</v>
      </c>
      <c r="B3653" t="s">
        <v>270</v>
      </c>
    </row>
    <row r="3654" spans="1:2" x14ac:dyDescent="0.25">
      <c r="A3654" t="s">
        <v>1487</v>
      </c>
      <c r="B3654" t="s">
        <v>270</v>
      </c>
    </row>
    <row r="3655" spans="1:2" x14ac:dyDescent="0.25">
      <c r="A3655" t="s">
        <v>1488</v>
      </c>
      <c r="B3655" t="s">
        <v>1489</v>
      </c>
    </row>
    <row r="3656" spans="1:2" x14ac:dyDescent="0.25">
      <c r="A3656" t="s">
        <v>1490</v>
      </c>
      <c r="B3656" t="s">
        <v>1489</v>
      </c>
    </row>
    <row r="3657" spans="1:2" x14ac:dyDescent="0.25">
      <c r="A3657" t="s">
        <v>4099</v>
      </c>
      <c r="B3657" t="s">
        <v>1491</v>
      </c>
    </row>
    <row r="3658" spans="1:2" x14ac:dyDescent="0.25">
      <c r="A3658" t="s">
        <v>4100</v>
      </c>
      <c r="B3658" t="s">
        <v>1491</v>
      </c>
    </row>
    <row r="3659" spans="1:2" x14ac:dyDescent="0.25">
      <c r="A3659" t="s">
        <v>4101</v>
      </c>
      <c r="B3659" t="s">
        <v>1491</v>
      </c>
    </row>
    <row r="3660" spans="1:2" x14ac:dyDescent="0.25">
      <c r="A3660" t="s">
        <v>4102</v>
      </c>
      <c r="B3660" t="s">
        <v>1491</v>
      </c>
    </row>
    <row r="3661" spans="1:2" x14ac:dyDescent="0.25">
      <c r="A3661" t="s">
        <v>4103</v>
      </c>
      <c r="B3661" t="s">
        <v>1491</v>
      </c>
    </row>
    <row r="3662" spans="1:2" x14ac:dyDescent="0.25">
      <c r="A3662" t="s">
        <v>4104</v>
      </c>
      <c r="B3662" t="s">
        <v>1491</v>
      </c>
    </row>
    <row r="3663" spans="1:2" x14ac:dyDescent="0.25">
      <c r="A3663" t="s">
        <v>4105</v>
      </c>
      <c r="B3663" t="s">
        <v>1491</v>
      </c>
    </row>
    <row r="3664" spans="1:2" x14ac:dyDescent="0.25">
      <c r="A3664" t="s">
        <v>4106</v>
      </c>
      <c r="B3664" t="s">
        <v>1491</v>
      </c>
    </row>
    <row r="3665" spans="1:2" x14ac:dyDescent="0.25">
      <c r="A3665" t="s">
        <v>565</v>
      </c>
      <c r="B3665" t="s">
        <v>567</v>
      </c>
    </row>
    <row r="3666" spans="1:2" x14ac:dyDescent="0.25">
      <c r="A3666" t="s">
        <v>1493</v>
      </c>
      <c r="B3666" t="s">
        <v>1494</v>
      </c>
    </row>
    <row r="3667" spans="1:2" x14ac:dyDescent="0.25">
      <c r="A3667" t="s">
        <v>1495</v>
      </c>
      <c r="B3667" t="s">
        <v>250</v>
      </c>
    </row>
    <row r="3668" spans="1:2" x14ac:dyDescent="0.25">
      <c r="A3668" t="s">
        <v>641</v>
      </c>
      <c r="B3668" t="s">
        <v>250</v>
      </c>
    </row>
    <row r="3669" spans="1:2" x14ac:dyDescent="0.25">
      <c r="A3669" t="s">
        <v>4107</v>
      </c>
      <c r="B3669" t="s">
        <v>250</v>
      </c>
    </row>
    <row r="3670" spans="1:2" x14ac:dyDescent="0.25">
      <c r="A3670" t="s">
        <v>4108</v>
      </c>
      <c r="B3670" t="s">
        <v>250</v>
      </c>
    </row>
    <row r="3671" spans="1:2" x14ac:dyDescent="0.25">
      <c r="A3671" t="s">
        <v>4109</v>
      </c>
      <c r="B3671" t="s">
        <v>250</v>
      </c>
    </row>
    <row r="3672" spans="1:2" x14ac:dyDescent="0.25">
      <c r="A3672" t="s">
        <v>535</v>
      </c>
      <c r="B3672" t="s">
        <v>250</v>
      </c>
    </row>
    <row r="3673" spans="1:2" x14ac:dyDescent="0.25">
      <c r="A3673" t="s">
        <v>642</v>
      </c>
      <c r="B3673" t="s">
        <v>250</v>
      </c>
    </row>
    <row r="3674" spans="1:2" x14ac:dyDescent="0.25">
      <c r="A3674" t="s">
        <v>4110</v>
      </c>
      <c r="B3674" t="s">
        <v>250</v>
      </c>
    </row>
    <row r="3675" spans="1:2" x14ac:dyDescent="0.25">
      <c r="A3675" t="s">
        <v>4111</v>
      </c>
      <c r="B3675" t="s">
        <v>250</v>
      </c>
    </row>
    <row r="3676" spans="1:2" x14ac:dyDescent="0.25">
      <c r="A3676" t="s">
        <v>1497</v>
      </c>
      <c r="B3676" t="s">
        <v>250</v>
      </c>
    </row>
    <row r="3677" spans="1:2" x14ac:dyDescent="0.25">
      <c r="A3677" t="s">
        <v>1498</v>
      </c>
      <c r="B3677" t="s">
        <v>250</v>
      </c>
    </row>
    <row r="3678" spans="1:2" x14ac:dyDescent="0.25">
      <c r="A3678" t="s">
        <v>325</v>
      </c>
      <c r="B3678" t="s">
        <v>250</v>
      </c>
    </row>
    <row r="3679" spans="1:2" x14ac:dyDescent="0.25">
      <c r="A3679" t="s">
        <v>531</v>
      </c>
      <c r="B3679" t="s">
        <v>250</v>
      </c>
    </row>
    <row r="3680" spans="1:2" x14ac:dyDescent="0.25">
      <c r="A3680" t="s">
        <v>248</v>
      </c>
      <c r="B3680" t="s">
        <v>250</v>
      </c>
    </row>
    <row r="3681" spans="1:2" x14ac:dyDescent="0.25">
      <c r="A3681" t="s">
        <v>4112</v>
      </c>
      <c r="B3681" t="s">
        <v>250</v>
      </c>
    </row>
    <row r="3682" spans="1:2" x14ac:dyDescent="0.25">
      <c r="A3682" t="s">
        <v>4113</v>
      </c>
      <c r="B3682" t="s">
        <v>250</v>
      </c>
    </row>
    <row r="3683" spans="1:2" x14ac:dyDescent="0.25">
      <c r="A3683" t="s">
        <v>4114</v>
      </c>
      <c r="B3683" t="s">
        <v>250</v>
      </c>
    </row>
    <row r="3684" spans="1:2" x14ac:dyDescent="0.25">
      <c r="A3684" t="s">
        <v>1492</v>
      </c>
      <c r="B3684" t="s">
        <v>250</v>
      </c>
    </row>
    <row r="3685" spans="1:2" x14ac:dyDescent="0.25">
      <c r="A3685" t="s">
        <v>4115</v>
      </c>
      <c r="B3685" t="s">
        <v>250</v>
      </c>
    </row>
    <row r="3686" spans="1:2" x14ac:dyDescent="0.25">
      <c r="A3686" t="s">
        <v>4116</v>
      </c>
      <c r="B3686" t="s">
        <v>250</v>
      </c>
    </row>
    <row r="3687" spans="1:2" x14ac:dyDescent="0.25">
      <c r="A3687" t="s">
        <v>1499</v>
      </c>
      <c r="B3687" t="s">
        <v>250</v>
      </c>
    </row>
    <row r="3688" spans="1:2" x14ac:dyDescent="0.25">
      <c r="A3688" t="s">
        <v>326</v>
      </c>
      <c r="B3688" t="s">
        <v>250</v>
      </c>
    </row>
    <row r="3689" spans="1:2" x14ac:dyDescent="0.25">
      <c r="A3689" t="s">
        <v>327</v>
      </c>
      <c r="B3689" t="s">
        <v>250</v>
      </c>
    </row>
    <row r="3690" spans="1:2" x14ac:dyDescent="0.25">
      <c r="A3690" t="s">
        <v>1500</v>
      </c>
      <c r="B3690" t="s">
        <v>250</v>
      </c>
    </row>
    <row r="3691" spans="1:2" x14ac:dyDescent="0.25">
      <c r="A3691" t="s">
        <v>1501</v>
      </c>
      <c r="B3691" t="s">
        <v>250</v>
      </c>
    </row>
    <row r="3692" spans="1:2" x14ac:dyDescent="0.25">
      <c r="A3692" t="s">
        <v>1502</v>
      </c>
      <c r="B3692" t="s">
        <v>250</v>
      </c>
    </row>
    <row r="3693" spans="1:2" x14ac:dyDescent="0.25">
      <c r="A3693" t="s">
        <v>1503</v>
      </c>
      <c r="B3693" t="s">
        <v>250</v>
      </c>
    </row>
    <row r="3694" spans="1:2" x14ac:dyDescent="0.25">
      <c r="A3694" t="s">
        <v>512</v>
      </c>
      <c r="B3694" t="s">
        <v>250</v>
      </c>
    </row>
    <row r="3695" spans="1:2" x14ac:dyDescent="0.25">
      <c r="A3695" t="s">
        <v>4117</v>
      </c>
      <c r="B3695" t="s">
        <v>1504</v>
      </c>
    </row>
    <row r="3696" spans="1:2" x14ac:dyDescent="0.25">
      <c r="A3696" t="s">
        <v>4118</v>
      </c>
      <c r="B3696" t="s">
        <v>1505</v>
      </c>
    </row>
    <row r="3697" spans="1:2" x14ac:dyDescent="0.25">
      <c r="A3697" t="s">
        <v>1506</v>
      </c>
      <c r="B3697" t="s">
        <v>265</v>
      </c>
    </row>
    <row r="3698" spans="1:2" x14ac:dyDescent="0.25">
      <c r="A3698" t="s">
        <v>264</v>
      </c>
      <c r="B3698" t="s">
        <v>265</v>
      </c>
    </row>
    <row r="3699" spans="1:2" x14ac:dyDescent="0.25">
      <c r="A3699" t="s">
        <v>4119</v>
      </c>
      <c r="B3699" t="s">
        <v>265</v>
      </c>
    </row>
    <row r="3700" spans="1:2" x14ac:dyDescent="0.25">
      <c r="A3700" t="s">
        <v>4120</v>
      </c>
      <c r="B3700" t="s">
        <v>265</v>
      </c>
    </row>
    <row r="3701" spans="1:2" x14ac:dyDescent="0.25">
      <c r="A3701" t="s">
        <v>4121</v>
      </c>
      <c r="B3701" t="s">
        <v>265</v>
      </c>
    </row>
    <row r="3702" spans="1:2" x14ac:dyDescent="0.25">
      <c r="A3702" t="s">
        <v>4122</v>
      </c>
      <c r="B3702" t="s">
        <v>265</v>
      </c>
    </row>
    <row r="3703" spans="1:2" x14ac:dyDescent="0.25">
      <c r="A3703" t="s">
        <v>4123</v>
      </c>
      <c r="B3703" t="s">
        <v>265</v>
      </c>
    </row>
    <row r="3704" spans="1:2" x14ac:dyDescent="0.25">
      <c r="A3704" t="s">
        <v>4124</v>
      </c>
      <c r="B3704" t="s">
        <v>265</v>
      </c>
    </row>
    <row r="3705" spans="1:2" x14ac:dyDescent="0.25">
      <c r="A3705" t="s">
        <v>1507</v>
      </c>
      <c r="B3705" t="s">
        <v>1508</v>
      </c>
    </row>
    <row r="3706" spans="1:2" x14ac:dyDescent="0.25">
      <c r="A3706" t="s">
        <v>1509</v>
      </c>
      <c r="B3706" t="s">
        <v>1510</v>
      </c>
    </row>
    <row r="3707" spans="1:2" x14ac:dyDescent="0.25">
      <c r="A3707" t="s">
        <v>328</v>
      </c>
      <c r="B3707" t="s">
        <v>268</v>
      </c>
    </row>
    <row r="3708" spans="1:2" x14ac:dyDescent="0.25">
      <c r="A3708" t="s">
        <v>266</v>
      </c>
      <c r="B3708" t="s">
        <v>268</v>
      </c>
    </row>
    <row r="3709" spans="1:2" x14ac:dyDescent="0.25">
      <c r="A3709" t="s">
        <v>4125</v>
      </c>
      <c r="B3709" t="s">
        <v>268</v>
      </c>
    </row>
    <row r="3710" spans="1:2" x14ac:dyDescent="0.25">
      <c r="A3710" t="s">
        <v>4126</v>
      </c>
      <c r="B3710" t="s">
        <v>268</v>
      </c>
    </row>
    <row r="3711" spans="1:2" x14ac:dyDescent="0.25">
      <c r="A3711" t="s">
        <v>1511</v>
      </c>
      <c r="B3711" t="s">
        <v>1513</v>
      </c>
    </row>
    <row r="3712" spans="1:2" x14ac:dyDescent="0.25">
      <c r="A3712" t="s">
        <v>4127</v>
      </c>
      <c r="B3712" t="s">
        <v>4134</v>
      </c>
    </row>
    <row r="3713" spans="1:2" x14ac:dyDescent="0.25">
      <c r="A3713" t="s">
        <v>4128</v>
      </c>
      <c r="B3713" t="s">
        <v>4134</v>
      </c>
    </row>
    <row r="3714" spans="1:2" x14ac:dyDescent="0.25">
      <c r="A3714" t="s">
        <v>1514</v>
      </c>
      <c r="B3714" t="s">
        <v>1515</v>
      </c>
    </row>
    <row r="3715" spans="1:2" x14ac:dyDescent="0.25">
      <c r="A3715" t="s">
        <v>1516</v>
      </c>
      <c r="B3715" t="s">
        <v>1515</v>
      </c>
    </row>
    <row r="3716" spans="1:2" x14ac:dyDescent="0.25">
      <c r="A3716" t="s">
        <v>1517</v>
      </c>
      <c r="B3716" t="s">
        <v>1515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B1CC-AECF-4DAC-A1C4-3021432A2D65}">
  <dimension ref="A1:AC188"/>
  <sheetViews>
    <sheetView workbookViewId="0">
      <selection activeCell="B14" sqref="B14"/>
    </sheetView>
  </sheetViews>
  <sheetFormatPr defaultColWidth="10" defaultRowHeight="15" x14ac:dyDescent="0.25"/>
  <cols>
    <col min="1" max="1" width="25.85546875" bestFit="1" customWidth="1"/>
    <col min="2" max="2" width="34.85546875" customWidth="1"/>
    <col min="3" max="3" width="10.7109375" customWidth="1"/>
    <col min="4" max="4" width="20.85546875" customWidth="1"/>
    <col min="5" max="5" width="17.5703125" customWidth="1"/>
    <col min="6" max="6" width="28" customWidth="1"/>
    <col min="7" max="7" width="22.42578125" customWidth="1"/>
    <col min="8" max="8" width="34.140625" customWidth="1"/>
    <col min="9" max="9" width="33.85546875" style="13" customWidth="1"/>
    <col min="10" max="10" width="46.140625" customWidth="1"/>
    <col min="11" max="11" width="19.42578125" customWidth="1"/>
    <col min="12" max="12" width="18.42578125" customWidth="1"/>
    <col min="13" max="13" width="39.85546875" style="9" bestFit="1" customWidth="1"/>
    <col min="14" max="14" width="14.28515625" customWidth="1"/>
    <col min="15" max="15" width="24.5703125" customWidth="1"/>
    <col min="16" max="16" width="38" customWidth="1"/>
    <col min="17" max="17" width="50.7109375" customWidth="1"/>
    <col min="18" max="18" width="24.42578125" customWidth="1"/>
    <col min="19" max="19" width="31.28515625" customWidth="1"/>
    <col min="20" max="20" width="44.140625" customWidth="1"/>
    <col min="21" max="21" width="15.85546875" customWidth="1"/>
    <col min="22" max="22" width="27.140625" customWidth="1"/>
    <col min="23" max="23" width="15.5703125" customWidth="1"/>
    <col min="24" max="24" width="26.5703125" customWidth="1"/>
    <col min="25" max="25" width="11.5703125" customWidth="1"/>
    <col min="26" max="26" width="18.5703125" customWidth="1"/>
    <col min="28" max="29" width="11.140625" customWidth="1"/>
  </cols>
  <sheetData>
    <row r="1" spans="1:29" ht="30" x14ac:dyDescent="0.25">
      <c r="A1" s="8" t="s">
        <v>1</v>
      </c>
      <c r="B1" s="9" t="s">
        <v>4150</v>
      </c>
      <c r="C1" s="8" t="s">
        <v>5</v>
      </c>
      <c r="D1" s="9" t="s">
        <v>4151</v>
      </c>
      <c r="E1" s="8" t="s">
        <v>6</v>
      </c>
      <c r="F1" s="9" t="s">
        <v>4152</v>
      </c>
      <c r="G1" s="8" t="s">
        <v>7</v>
      </c>
      <c r="H1" s="9" t="s">
        <v>4153</v>
      </c>
      <c r="I1" s="10" t="s">
        <v>10</v>
      </c>
      <c r="J1" s="9" t="s">
        <v>4154</v>
      </c>
      <c r="K1" s="8" t="s">
        <v>12</v>
      </c>
      <c r="L1" s="8" t="s">
        <v>4155</v>
      </c>
      <c r="M1" s="9" t="s">
        <v>4156</v>
      </c>
      <c r="N1" s="8" t="s">
        <v>14</v>
      </c>
      <c r="O1" s="9" t="s">
        <v>4157</v>
      </c>
      <c r="P1" s="8" t="s">
        <v>17</v>
      </c>
      <c r="Q1" s="9" t="s">
        <v>4158</v>
      </c>
      <c r="R1" s="8" t="s">
        <v>18</v>
      </c>
      <c r="S1" s="8" t="s">
        <v>23</v>
      </c>
      <c r="T1" s="9" t="s">
        <v>4159</v>
      </c>
      <c r="U1" s="11" t="s">
        <v>44</v>
      </c>
      <c r="V1" s="9" t="s">
        <v>4160</v>
      </c>
      <c r="W1" s="11" t="s">
        <v>45</v>
      </c>
      <c r="X1" s="9" t="s">
        <v>4161</v>
      </c>
      <c r="Y1" t="s">
        <v>27</v>
      </c>
      <c r="Z1" t="s">
        <v>4162</v>
      </c>
      <c r="AA1" t="s">
        <v>4163</v>
      </c>
      <c r="AB1" t="s">
        <v>4164</v>
      </c>
      <c r="AC1" t="s">
        <v>4165</v>
      </c>
    </row>
    <row r="2" spans="1:29" x14ac:dyDescent="0.25">
      <c r="A2" t="s">
        <v>4166</v>
      </c>
      <c r="B2" s="12" t="s">
        <v>4167</v>
      </c>
      <c r="C2">
        <v>-1</v>
      </c>
      <c r="D2" s="12" t="s">
        <v>4168</v>
      </c>
      <c r="E2">
        <v>0</v>
      </c>
      <c r="F2" s="12" t="s">
        <v>4169</v>
      </c>
      <c r="G2" t="s">
        <v>90</v>
      </c>
      <c r="H2" s="12" t="s">
        <v>4170</v>
      </c>
      <c r="I2" s="13" t="s">
        <v>4171</v>
      </c>
      <c r="J2" s="12" t="s">
        <v>4172</v>
      </c>
      <c r="K2" t="s">
        <v>84</v>
      </c>
      <c r="L2" t="s">
        <v>4173</v>
      </c>
      <c r="M2" s="14" t="s">
        <v>4174</v>
      </c>
      <c r="N2">
        <v>0</v>
      </c>
      <c r="O2" s="15" t="s">
        <v>4175</v>
      </c>
      <c r="P2">
        <v>0</v>
      </c>
      <c r="Q2" s="9" t="s">
        <v>4169</v>
      </c>
      <c r="R2">
        <v>0</v>
      </c>
      <c r="S2">
        <v>0</v>
      </c>
      <c r="T2" s="12" t="s">
        <v>4176</v>
      </c>
      <c r="U2">
        <v>0</v>
      </c>
      <c r="V2" s="9" t="s">
        <v>4177</v>
      </c>
      <c r="W2">
        <v>0</v>
      </c>
      <c r="X2" s="9" t="s">
        <v>4177</v>
      </c>
      <c r="Y2" t="s">
        <v>85</v>
      </c>
      <c r="AA2" t="s">
        <v>179</v>
      </c>
    </row>
    <row r="3" spans="1:29" x14ac:dyDescent="0.25">
      <c r="A3" t="s">
        <v>92</v>
      </c>
      <c r="B3" s="12" t="s">
        <v>4178</v>
      </c>
      <c r="C3">
        <v>0</v>
      </c>
      <c r="D3" s="12" t="s">
        <v>4169</v>
      </c>
      <c r="E3">
        <v>1</v>
      </c>
      <c r="F3" s="12" t="s">
        <v>4179</v>
      </c>
      <c r="G3" t="s">
        <v>83</v>
      </c>
      <c r="H3" s="12" t="s">
        <v>83</v>
      </c>
      <c r="I3" s="13" t="s">
        <v>4180</v>
      </c>
      <c r="J3" s="12" t="s">
        <v>4181</v>
      </c>
      <c r="L3" t="s">
        <v>1557</v>
      </c>
      <c r="M3" s="15" t="s">
        <v>4176</v>
      </c>
      <c r="N3">
        <v>1</v>
      </c>
      <c r="O3" s="15" t="s">
        <v>4182</v>
      </c>
      <c r="P3">
        <v>1</v>
      </c>
      <c r="Q3" s="9" t="s">
        <v>4179</v>
      </c>
      <c r="R3">
        <v>1</v>
      </c>
      <c r="S3">
        <v>1</v>
      </c>
      <c r="T3" s="12" t="s">
        <v>4183</v>
      </c>
      <c r="U3">
        <v>1</v>
      </c>
      <c r="V3" s="9" t="s">
        <v>4184</v>
      </c>
      <c r="W3">
        <v>1</v>
      </c>
      <c r="X3" s="9" t="s">
        <v>4184</v>
      </c>
      <c r="Y3" t="s">
        <v>91</v>
      </c>
      <c r="Z3" t="s">
        <v>582</v>
      </c>
      <c r="AA3" t="s">
        <v>88</v>
      </c>
    </row>
    <row r="4" spans="1:29" x14ac:dyDescent="0.25">
      <c r="A4" t="s">
        <v>4185</v>
      </c>
      <c r="B4" s="12" t="s">
        <v>4186</v>
      </c>
      <c r="C4">
        <v>1</v>
      </c>
      <c r="D4" s="12" t="s">
        <v>4179</v>
      </c>
      <c r="L4" t="s">
        <v>4187</v>
      </c>
      <c r="M4" s="15" t="s">
        <v>4176</v>
      </c>
      <c r="N4" t="s">
        <v>4188</v>
      </c>
      <c r="O4" s="15" t="s">
        <v>4189</v>
      </c>
      <c r="P4" t="s">
        <v>1556</v>
      </c>
      <c r="Q4" s="9" t="s">
        <v>4190</v>
      </c>
      <c r="Y4" t="s">
        <v>4191</v>
      </c>
      <c r="Z4" t="s">
        <v>249</v>
      </c>
      <c r="AA4" t="s">
        <v>180</v>
      </c>
    </row>
    <row r="5" spans="1:29" x14ac:dyDescent="0.25">
      <c r="A5" t="s">
        <v>4192</v>
      </c>
      <c r="B5" s="12" t="s">
        <v>4193</v>
      </c>
      <c r="L5" t="s">
        <v>4194</v>
      </c>
      <c r="M5" s="15" t="s">
        <v>4176</v>
      </c>
      <c r="Q5" s="9"/>
      <c r="Y5" t="s">
        <v>95</v>
      </c>
      <c r="Z5" t="s">
        <v>123</v>
      </c>
    </row>
    <row r="6" spans="1:29" x14ac:dyDescent="0.25">
      <c r="A6" t="s">
        <v>4195</v>
      </c>
      <c r="B6" s="12" t="s">
        <v>4196</v>
      </c>
      <c r="M6" s="15"/>
      <c r="Q6" s="9"/>
      <c r="Y6" t="s">
        <v>97</v>
      </c>
      <c r="Z6" t="s">
        <v>86</v>
      </c>
    </row>
    <row r="7" spans="1:29" x14ac:dyDescent="0.25">
      <c r="A7" t="s">
        <v>82</v>
      </c>
      <c r="B7" s="12" t="s">
        <v>4176</v>
      </c>
      <c r="M7" s="15"/>
      <c r="Q7" s="9"/>
      <c r="Y7" t="s">
        <v>4197</v>
      </c>
      <c r="Z7" t="s">
        <v>521</v>
      </c>
    </row>
    <row r="8" spans="1:29" x14ac:dyDescent="0.25">
      <c r="A8" t="s">
        <v>89</v>
      </c>
      <c r="B8" s="12" t="s">
        <v>4183</v>
      </c>
      <c r="M8" s="15"/>
      <c r="Q8" s="9"/>
      <c r="Y8" t="s">
        <v>103</v>
      </c>
      <c r="Z8" t="s">
        <v>488</v>
      </c>
    </row>
    <row r="9" spans="1:29" x14ac:dyDescent="0.25">
      <c r="A9" t="s">
        <v>4198</v>
      </c>
      <c r="B9" s="12" t="s">
        <v>4183</v>
      </c>
      <c r="M9" s="15"/>
      <c r="Y9" t="s">
        <v>4199</v>
      </c>
      <c r="Z9" t="s">
        <v>1</v>
      </c>
    </row>
    <row r="10" spans="1:29" x14ac:dyDescent="0.25">
      <c r="A10" t="s">
        <v>4200</v>
      </c>
      <c r="B10" s="12" t="s">
        <v>4183</v>
      </c>
      <c r="M10" s="15"/>
      <c r="Y10" t="s">
        <v>4201</v>
      </c>
      <c r="Z10" t="s">
        <v>771</v>
      </c>
    </row>
    <row r="11" spans="1:29" x14ac:dyDescent="0.25">
      <c r="A11" t="s">
        <v>4202</v>
      </c>
      <c r="B11" s="12" t="s">
        <v>4183</v>
      </c>
      <c r="M11" s="15"/>
      <c r="Y11" t="s">
        <v>111</v>
      </c>
      <c r="Z11" t="s">
        <v>647</v>
      </c>
    </row>
    <row r="12" spans="1:29" x14ac:dyDescent="0.25">
      <c r="Y12" t="s">
        <v>114</v>
      </c>
      <c r="Z12" t="s">
        <v>354</v>
      </c>
    </row>
    <row r="13" spans="1:29" x14ac:dyDescent="0.25">
      <c r="Y13" t="s">
        <v>116</v>
      </c>
      <c r="Z13" t="s">
        <v>793</v>
      </c>
    </row>
    <row r="14" spans="1:29" x14ac:dyDescent="0.25">
      <c r="Y14" t="s">
        <v>4203</v>
      </c>
      <c r="Z14" t="s">
        <v>530</v>
      </c>
    </row>
    <row r="15" spans="1:29" x14ac:dyDescent="0.25">
      <c r="Y15" t="s">
        <v>117</v>
      </c>
      <c r="Z15" t="s">
        <v>825</v>
      </c>
    </row>
    <row r="16" spans="1:29" x14ac:dyDescent="0.25">
      <c r="Y16" t="s">
        <v>118</v>
      </c>
      <c r="Z16" t="s">
        <v>832</v>
      </c>
    </row>
    <row r="17" spans="25:26" x14ac:dyDescent="0.25">
      <c r="Y17" t="s">
        <v>122</v>
      </c>
      <c r="Z17" t="s">
        <v>125</v>
      </c>
    </row>
    <row r="18" spans="25:26" x14ac:dyDescent="0.25">
      <c r="Y18" t="s">
        <v>4204</v>
      </c>
      <c r="Z18" t="s">
        <v>336</v>
      </c>
    </row>
    <row r="19" spans="25:26" x14ac:dyDescent="0.25">
      <c r="Y19" t="s">
        <v>4205</v>
      </c>
      <c r="Z19" t="s">
        <v>346</v>
      </c>
    </row>
    <row r="20" spans="25:26" x14ac:dyDescent="0.25">
      <c r="Y20" t="s">
        <v>4206</v>
      </c>
      <c r="Z20" t="s">
        <v>529</v>
      </c>
    </row>
    <row r="21" spans="25:26" x14ac:dyDescent="0.25">
      <c r="Y21" t="s">
        <v>147</v>
      </c>
      <c r="Z21" t="s">
        <v>350</v>
      </c>
    </row>
    <row r="22" spans="25:26" x14ac:dyDescent="0.25">
      <c r="Y22" t="s">
        <v>4207</v>
      </c>
      <c r="Z22" t="s">
        <v>356</v>
      </c>
    </row>
    <row r="23" spans="25:26" x14ac:dyDescent="0.25">
      <c r="Y23" t="s">
        <v>4208</v>
      </c>
      <c r="Z23" t="s">
        <v>144</v>
      </c>
    </row>
    <row r="24" spans="25:26" x14ac:dyDescent="0.25">
      <c r="Y24" t="s">
        <v>154</v>
      </c>
      <c r="Z24" t="s">
        <v>150</v>
      </c>
    </row>
    <row r="25" spans="25:26" x14ac:dyDescent="0.25">
      <c r="Y25" t="s">
        <v>156</v>
      </c>
      <c r="Z25" t="s">
        <v>379</v>
      </c>
    </row>
    <row r="26" spans="25:26" x14ac:dyDescent="0.25">
      <c r="Y26" t="s">
        <v>4209</v>
      </c>
      <c r="Z26" t="s">
        <v>1118</v>
      </c>
    </row>
    <row r="27" spans="25:26" x14ac:dyDescent="0.25">
      <c r="Y27" t="s">
        <v>160</v>
      </c>
      <c r="Z27" t="s">
        <v>484</v>
      </c>
    </row>
    <row r="28" spans="25:26" x14ac:dyDescent="0.25">
      <c r="Y28" t="s">
        <v>162</v>
      </c>
      <c r="Z28" t="s">
        <v>489</v>
      </c>
    </row>
    <row r="29" spans="25:26" x14ac:dyDescent="0.25">
      <c r="Y29" t="s">
        <v>163</v>
      </c>
      <c r="Z29" t="s">
        <v>610</v>
      </c>
    </row>
    <row r="30" spans="25:26" x14ac:dyDescent="0.25">
      <c r="Y30" t="s">
        <v>4210</v>
      </c>
      <c r="Z30" t="s">
        <v>651</v>
      </c>
    </row>
    <row r="31" spans="25:26" x14ac:dyDescent="0.25">
      <c r="Y31" t="s">
        <v>169</v>
      </c>
      <c r="Z31" t="s">
        <v>372</v>
      </c>
    </row>
    <row r="32" spans="25:26" x14ac:dyDescent="0.25">
      <c r="Y32" t="s">
        <v>171</v>
      </c>
      <c r="Z32" t="s">
        <v>351</v>
      </c>
    </row>
    <row r="33" spans="25:26" x14ac:dyDescent="0.25">
      <c r="Y33" t="s">
        <v>174</v>
      </c>
      <c r="Z33" t="s">
        <v>357</v>
      </c>
    </row>
    <row r="34" spans="25:26" x14ac:dyDescent="0.25">
      <c r="Y34" t="s">
        <v>4211</v>
      </c>
      <c r="Z34" t="s">
        <v>166</v>
      </c>
    </row>
    <row r="35" spans="25:26" x14ac:dyDescent="0.25">
      <c r="Y35" t="s">
        <v>184</v>
      </c>
      <c r="Z35" t="s">
        <v>191</v>
      </c>
    </row>
    <row r="36" spans="25:26" x14ac:dyDescent="0.25">
      <c r="Y36" t="s">
        <v>186</v>
      </c>
    </row>
    <row r="37" spans="25:26" x14ac:dyDescent="0.25">
      <c r="Y37" t="s">
        <v>188</v>
      </c>
    </row>
    <row r="38" spans="25:26" x14ac:dyDescent="0.25">
      <c r="Y38" t="s">
        <v>190</v>
      </c>
    </row>
    <row r="39" spans="25:26" x14ac:dyDescent="0.25">
      <c r="Y39" t="s">
        <v>200</v>
      </c>
    </row>
    <row r="40" spans="25:26" x14ac:dyDescent="0.25">
      <c r="Y40" t="s">
        <v>205</v>
      </c>
    </row>
    <row r="41" spans="25:26" x14ac:dyDescent="0.25">
      <c r="Y41" t="s">
        <v>208</v>
      </c>
    </row>
    <row r="42" spans="25:26" x14ac:dyDescent="0.25">
      <c r="Y42" t="s">
        <v>213</v>
      </c>
    </row>
    <row r="43" spans="25:26" x14ac:dyDescent="0.25">
      <c r="Y43" t="s">
        <v>217</v>
      </c>
    </row>
    <row r="44" spans="25:26" x14ac:dyDescent="0.25">
      <c r="Y44" t="s">
        <v>226</v>
      </c>
    </row>
    <row r="45" spans="25:26" x14ac:dyDescent="0.25">
      <c r="Y45" t="s">
        <v>231</v>
      </c>
    </row>
    <row r="46" spans="25:26" x14ac:dyDescent="0.25">
      <c r="Y46" t="s">
        <v>4212</v>
      </c>
    </row>
    <row r="47" spans="25:26" x14ac:dyDescent="0.25">
      <c r="Y47" t="s">
        <v>4213</v>
      </c>
    </row>
    <row r="48" spans="25:26" x14ac:dyDescent="0.25">
      <c r="Y48" t="s">
        <v>236</v>
      </c>
    </row>
    <row r="49" spans="25:25" x14ac:dyDescent="0.25">
      <c r="Y49" t="s">
        <v>238</v>
      </c>
    </row>
    <row r="50" spans="25:25" x14ac:dyDescent="0.25">
      <c r="Y50" t="s">
        <v>4214</v>
      </c>
    </row>
    <row r="51" spans="25:25" x14ac:dyDescent="0.25">
      <c r="Y51" t="s">
        <v>243</v>
      </c>
    </row>
    <row r="52" spans="25:25" x14ac:dyDescent="0.25">
      <c r="Y52" t="s">
        <v>4215</v>
      </c>
    </row>
    <row r="53" spans="25:25" x14ac:dyDescent="0.25">
      <c r="Y53" t="s">
        <v>246</v>
      </c>
    </row>
    <row r="54" spans="25:25" x14ac:dyDescent="0.25">
      <c r="Y54" t="s">
        <v>4216</v>
      </c>
    </row>
    <row r="55" spans="25:25" x14ac:dyDescent="0.25">
      <c r="Y55" t="s">
        <v>4217</v>
      </c>
    </row>
    <row r="56" spans="25:25" x14ac:dyDescent="0.25">
      <c r="Y56" t="s">
        <v>254</v>
      </c>
    </row>
    <row r="57" spans="25:25" x14ac:dyDescent="0.25">
      <c r="Y57" t="s">
        <v>4218</v>
      </c>
    </row>
    <row r="58" spans="25:25" x14ac:dyDescent="0.25">
      <c r="Y58" t="s">
        <v>261</v>
      </c>
    </row>
    <row r="59" spans="25:25" x14ac:dyDescent="0.25">
      <c r="Y59" t="s">
        <v>267</v>
      </c>
    </row>
    <row r="60" spans="25:25" x14ac:dyDescent="0.25">
      <c r="Y60" t="s">
        <v>4219</v>
      </c>
    </row>
    <row r="61" spans="25:25" x14ac:dyDescent="0.25">
      <c r="Y61" t="s">
        <v>272</v>
      </c>
    </row>
    <row r="62" spans="25:25" x14ac:dyDescent="0.25">
      <c r="Y62" t="s">
        <v>278</v>
      </c>
    </row>
    <row r="63" spans="25:25" x14ac:dyDescent="0.25">
      <c r="Y63" t="s">
        <v>4220</v>
      </c>
    </row>
    <row r="64" spans="25:25" x14ac:dyDescent="0.25">
      <c r="Y64" t="s">
        <v>288</v>
      </c>
    </row>
    <row r="65" spans="25:25" x14ac:dyDescent="0.25">
      <c r="Y65" t="s">
        <v>312</v>
      </c>
    </row>
    <row r="66" spans="25:25" x14ac:dyDescent="0.25">
      <c r="Y66" t="s">
        <v>4221</v>
      </c>
    </row>
    <row r="67" spans="25:25" x14ac:dyDescent="0.25">
      <c r="Y67" t="s">
        <v>317</v>
      </c>
    </row>
    <row r="68" spans="25:25" x14ac:dyDescent="0.25">
      <c r="Y68" t="s">
        <v>335</v>
      </c>
    </row>
    <row r="69" spans="25:25" x14ac:dyDescent="0.25">
      <c r="Y69" t="s">
        <v>349</v>
      </c>
    </row>
    <row r="70" spans="25:25" x14ac:dyDescent="0.25">
      <c r="Y70" t="s">
        <v>4222</v>
      </c>
    </row>
    <row r="71" spans="25:25" x14ac:dyDescent="0.25">
      <c r="Y71" t="s">
        <v>4223</v>
      </c>
    </row>
    <row r="72" spans="25:25" x14ac:dyDescent="0.25">
      <c r="Y72" t="s">
        <v>366</v>
      </c>
    </row>
    <row r="73" spans="25:25" x14ac:dyDescent="0.25">
      <c r="Y73" t="s">
        <v>4224</v>
      </c>
    </row>
    <row r="74" spans="25:25" x14ac:dyDescent="0.25">
      <c r="Y74" t="s">
        <v>4225</v>
      </c>
    </row>
    <row r="75" spans="25:25" x14ac:dyDescent="0.25">
      <c r="Y75" t="s">
        <v>389</v>
      </c>
    </row>
    <row r="76" spans="25:25" x14ac:dyDescent="0.25">
      <c r="Y76" t="s">
        <v>406</v>
      </c>
    </row>
    <row r="77" spans="25:25" x14ac:dyDescent="0.25">
      <c r="Y77" t="s">
        <v>427</v>
      </c>
    </row>
    <row r="78" spans="25:25" x14ac:dyDescent="0.25">
      <c r="Y78" t="s">
        <v>437</v>
      </c>
    </row>
    <row r="79" spans="25:25" x14ac:dyDescent="0.25">
      <c r="Y79" t="s">
        <v>4226</v>
      </c>
    </row>
    <row r="80" spans="25:25" x14ac:dyDescent="0.25">
      <c r="Y80" t="s">
        <v>470</v>
      </c>
    </row>
    <row r="81" spans="25:25" x14ac:dyDescent="0.25">
      <c r="Y81" t="s">
        <v>473</v>
      </c>
    </row>
    <row r="82" spans="25:25" x14ac:dyDescent="0.25">
      <c r="Y82" t="s">
        <v>477</v>
      </c>
    </row>
    <row r="83" spans="25:25" x14ac:dyDescent="0.25">
      <c r="Y83" t="s">
        <v>4227</v>
      </c>
    </row>
    <row r="84" spans="25:25" x14ac:dyDescent="0.25">
      <c r="Y84" t="s">
        <v>483</v>
      </c>
    </row>
    <row r="85" spans="25:25" x14ac:dyDescent="0.25">
      <c r="Y85" t="s">
        <v>4228</v>
      </c>
    </row>
    <row r="86" spans="25:25" x14ac:dyDescent="0.25">
      <c r="Y86" t="s">
        <v>485</v>
      </c>
    </row>
    <row r="87" spans="25:25" x14ac:dyDescent="0.25">
      <c r="Y87" t="s">
        <v>486</v>
      </c>
    </row>
    <row r="88" spans="25:25" x14ac:dyDescent="0.25">
      <c r="Y88" t="s">
        <v>487</v>
      </c>
    </row>
    <row r="89" spans="25:25" x14ac:dyDescent="0.25">
      <c r="Y89" t="s">
        <v>505</v>
      </c>
    </row>
    <row r="90" spans="25:25" x14ac:dyDescent="0.25">
      <c r="Y90" t="s">
        <v>528</v>
      </c>
    </row>
    <row r="91" spans="25:25" x14ac:dyDescent="0.25">
      <c r="Y91" t="s">
        <v>547</v>
      </c>
    </row>
    <row r="92" spans="25:25" x14ac:dyDescent="0.25">
      <c r="Y92" t="s">
        <v>566</v>
      </c>
    </row>
    <row r="93" spans="25:25" x14ac:dyDescent="0.25">
      <c r="Y93" t="s">
        <v>4229</v>
      </c>
    </row>
    <row r="94" spans="25:25" x14ac:dyDescent="0.25">
      <c r="Y94" t="s">
        <v>573</v>
      </c>
    </row>
    <row r="95" spans="25:25" x14ac:dyDescent="0.25">
      <c r="Y95" t="s">
        <v>574</v>
      </c>
    </row>
    <row r="96" spans="25:25" x14ac:dyDescent="0.25">
      <c r="Y96" t="s">
        <v>575</v>
      </c>
    </row>
    <row r="97" spans="25:25" x14ac:dyDescent="0.25">
      <c r="Y97" t="s">
        <v>576</v>
      </c>
    </row>
    <row r="98" spans="25:25" x14ac:dyDescent="0.25">
      <c r="Y98" t="s">
        <v>4230</v>
      </c>
    </row>
    <row r="99" spans="25:25" x14ac:dyDescent="0.25">
      <c r="Y99" t="s">
        <v>4231</v>
      </c>
    </row>
    <row r="100" spans="25:25" x14ac:dyDescent="0.25">
      <c r="Y100" t="s">
        <v>580</v>
      </c>
    </row>
    <row r="101" spans="25:25" x14ac:dyDescent="0.25">
      <c r="Y101" t="s">
        <v>4232</v>
      </c>
    </row>
    <row r="102" spans="25:25" x14ac:dyDescent="0.25">
      <c r="Y102" t="s">
        <v>581</v>
      </c>
    </row>
    <row r="103" spans="25:25" x14ac:dyDescent="0.25">
      <c r="Y103" t="s">
        <v>4233</v>
      </c>
    </row>
    <row r="104" spans="25:25" x14ac:dyDescent="0.25">
      <c r="Y104" t="s">
        <v>4234</v>
      </c>
    </row>
    <row r="105" spans="25:25" x14ac:dyDescent="0.25">
      <c r="Y105" t="s">
        <v>4235</v>
      </c>
    </row>
    <row r="106" spans="25:25" x14ac:dyDescent="0.25">
      <c r="Y106" t="s">
        <v>4236</v>
      </c>
    </row>
    <row r="107" spans="25:25" x14ac:dyDescent="0.25">
      <c r="Y107" t="s">
        <v>583</v>
      </c>
    </row>
    <row r="108" spans="25:25" x14ac:dyDescent="0.25">
      <c r="Y108" t="s">
        <v>4237</v>
      </c>
    </row>
    <row r="109" spans="25:25" x14ac:dyDescent="0.25">
      <c r="Y109" t="s">
        <v>4238</v>
      </c>
    </row>
    <row r="110" spans="25:25" x14ac:dyDescent="0.25">
      <c r="Y110" t="s">
        <v>589</v>
      </c>
    </row>
    <row r="111" spans="25:25" x14ac:dyDescent="0.25">
      <c r="Y111" t="s">
        <v>4239</v>
      </c>
    </row>
    <row r="112" spans="25:25" x14ac:dyDescent="0.25">
      <c r="Y112" t="s">
        <v>4240</v>
      </c>
    </row>
    <row r="113" spans="25:25" x14ac:dyDescent="0.25">
      <c r="Y113" t="s">
        <v>644</v>
      </c>
    </row>
    <row r="114" spans="25:25" x14ac:dyDescent="0.25">
      <c r="Y114" t="s">
        <v>655</v>
      </c>
    </row>
    <row r="115" spans="25:25" x14ac:dyDescent="0.25">
      <c r="Y115" t="s">
        <v>656</v>
      </c>
    </row>
    <row r="116" spans="25:25" x14ac:dyDescent="0.25">
      <c r="Y116" t="s">
        <v>657</v>
      </c>
    </row>
    <row r="117" spans="25:25" x14ac:dyDescent="0.25">
      <c r="Y117" t="s">
        <v>658</v>
      </c>
    </row>
    <row r="118" spans="25:25" x14ac:dyDescent="0.25">
      <c r="Y118" t="s">
        <v>662</v>
      </c>
    </row>
    <row r="119" spans="25:25" x14ac:dyDescent="0.25">
      <c r="Y119" t="s">
        <v>4241</v>
      </c>
    </row>
    <row r="120" spans="25:25" x14ac:dyDescent="0.25">
      <c r="Y120" t="s">
        <v>4242</v>
      </c>
    </row>
    <row r="121" spans="25:25" x14ac:dyDescent="0.25">
      <c r="Y121" t="s">
        <v>692</v>
      </c>
    </row>
    <row r="122" spans="25:25" x14ac:dyDescent="0.25">
      <c r="Y122" t="s">
        <v>698</v>
      </c>
    </row>
    <row r="123" spans="25:25" x14ac:dyDescent="0.25">
      <c r="Y123" t="s">
        <v>711</v>
      </c>
    </row>
    <row r="124" spans="25:25" x14ac:dyDescent="0.25">
      <c r="Y124" t="s">
        <v>715</v>
      </c>
    </row>
    <row r="125" spans="25:25" x14ac:dyDescent="0.25">
      <c r="Y125" t="s">
        <v>721</v>
      </c>
    </row>
    <row r="126" spans="25:25" x14ac:dyDescent="0.25">
      <c r="Y126" t="s">
        <v>4243</v>
      </c>
    </row>
    <row r="127" spans="25:25" x14ac:dyDescent="0.25">
      <c r="Y127" t="s">
        <v>4244</v>
      </c>
    </row>
    <row r="128" spans="25:25" x14ac:dyDescent="0.25">
      <c r="Y128" t="s">
        <v>738</v>
      </c>
    </row>
    <row r="129" spans="25:25" x14ac:dyDescent="0.25">
      <c r="Y129" t="s">
        <v>740</v>
      </c>
    </row>
    <row r="130" spans="25:25" x14ac:dyDescent="0.25">
      <c r="Y130" t="s">
        <v>742</v>
      </c>
    </row>
    <row r="131" spans="25:25" x14ac:dyDescent="0.25">
      <c r="Y131" t="s">
        <v>774</v>
      </c>
    </row>
    <row r="132" spans="25:25" x14ac:dyDescent="0.25">
      <c r="Y132" t="s">
        <v>776</v>
      </c>
    </row>
    <row r="133" spans="25:25" x14ac:dyDescent="0.25">
      <c r="Y133" t="s">
        <v>816</v>
      </c>
    </row>
    <row r="134" spans="25:25" x14ac:dyDescent="0.25">
      <c r="Y134" t="s">
        <v>831</v>
      </c>
    </row>
    <row r="135" spans="25:25" x14ac:dyDescent="0.25">
      <c r="Y135" t="s">
        <v>901</v>
      </c>
    </row>
    <row r="136" spans="25:25" x14ac:dyDescent="0.25">
      <c r="Y136" t="s">
        <v>903</v>
      </c>
    </row>
    <row r="137" spans="25:25" x14ac:dyDescent="0.25">
      <c r="Y137" t="s">
        <v>905</v>
      </c>
    </row>
    <row r="138" spans="25:25" x14ac:dyDescent="0.25">
      <c r="Y138" t="s">
        <v>4245</v>
      </c>
    </row>
    <row r="139" spans="25:25" x14ac:dyDescent="0.25">
      <c r="Y139" t="s">
        <v>919</v>
      </c>
    </row>
    <row r="140" spans="25:25" x14ac:dyDescent="0.25">
      <c r="Y140" t="s">
        <v>922</v>
      </c>
    </row>
    <row r="141" spans="25:25" x14ac:dyDescent="0.25">
      <c r="Y141" t="s">
        <v>924</v>
      </c>
    </row>
    <row r="142" spans="25:25" x14ac:dyDescent="0.25">
      <c r="Y142" t="s">
        <v>4246</v>
      </c>
    </row>
    <row r="143" spans="25:25" x14ac:dyDescent="0.25">
      <c r="Y143" t="s">
        <v>943</v>
      </c>
    </row>
    <row r="144" spans="25:25" x14ac:dyDescent="0.25">
      <c r="Y144" t="s">
        <v>4247</v>
      </c>
    </row>
    <row r="145" spans="25:25" x14ac:dyDescent="0.25">
      <c r="Y145" t="s">
        <v>954</v>
      </c>
    </row>
    <row r="146" spans="25:25" x14ac:dyDescent="0.25">
      <c r="Y146" t="s">
        <v>975</v>
      </c>
    </row>
    <row r="147" spans="25:25" x14ac:dyDescent="0.25">
      <c r="Y147" t="s">
        <v>980</v>
      </c>
    </row>
    <row r="148" spans="25:25" x14ac:dyDescent="0.25">
      <c r="Y148" t="s">
        <v>4248</v>
      </c>
    </row>
    <row r="149" spans="25:25" x14ac:dyDescent="0.25">
      <c r="Y149" t="s">
        <v>1034</v>
      </c>
    </row>
    <row r="150" spans="25:25" x14ac:dyDescent="0.25">
      <c r="Y150" t="s">
        <v>1113</v>
      </c>
    </row>
    <row r="151" spans="25:25" x14ac:dyDescent="0.25">
      <c r="Y151" t="s">
        <v>1117</v>
      </c>
    </row>
    <row r="152" spans="25:25" x14ac:dyDescent="0.25">
      <c r="Y152" t="s">
        <v>1131</v>
      </c>
    </row>
    <row r="153" spans="25:25" x14ac:dyDescent="0.25">
      <c r="Y153" t="s">
        <v>1135</v>
      </c>
    </row>
    <row r="154" spans="25:25" x14ac:dyDescent="0.25">
      <c r="Y154" t="s">
        <v>1137</v>
      </c>
    </row>
    <row r="155" spans="25:25" x14ac:dyDescent="0.25">
      <c r="Y155" t="s">
        <v>1139</v>
      </c>
    </row>
    <row r="156" spans="25:25" x14ac:dyDescent="0.25">
      <c r="Y156" t="s">
        <v>1144</v>
      </c>
    </row>
    <row r="157" spans="25:25" x14ac:dyDescent="0.25">
      <c r="Y157" t="s">
        <v>1150</v>
      </c>
    </row>
    <row r="158" spans="25:25" x14ac:dyDescent="0.25">
      <c r="Y158" t="s">
        <v>1158</v>
      </c>
    </row>
    <row r="159" spans="25:25" x14ac:dyDescent="0.25">
      <c r="Y159" t="s">
        <v>1161</v>
      </c>
    </row>
    <row r="160" spans="25:25" x14ac:dyDescent="0.25">
      <c r="Y160" t="s">
        <v>4249</v>
      </c>
    </row>
    <row r="161" spans="25:25" x14ac:dyDescent="0.25">
      <c r="Y161" t="s">
        <v>4250</v>
      </c>
    </row>
    <row r="162" spans="25:25" x14ac:dyDescent="0.25">
      <c r="Y162" t="s">
        <v>1198</v>
      </c>
    </row>
    <row r="163" spans="25:25" x14ac:dyDescent="0.25">
      <c r="Y163" t="s">
        <v>1212</v>
      </c>
    </row>
    <row r="164" spans="25:25" x14ac:dyDescent="0.25">
      <c r="Y164" t="s">
        <v>1223</v>
      </c>
    </row>
    <row r="165" spans="25:25" x14ac:dyDescent="0.25">
      <c r="Y165" t="s">
        <v>1234</v>
      </c>
    </row>
    <row r="166" spans="25:25" x14ac:dyDescent="0.25">
      <c r="Y166" t="s">
        <v>4251</v>
      </c>
    </row>
    <row r="167" spans="25:25" x14ac:dyDescent="0.25">
      <c r="Y167" t="s">
        <v>1235</v>
      </c>
    </row>
    <row r="168" spans="25:25" x14ac:dyDescent="0.25">
      <c r="Y168" t="s">
        <v>4252</v>
      </c>
    </row>
    <row r="169" spans="25:25" x14ac:dyDescent="0.25">
      <c r="Y169" t="s">
        <v>4253</v>
      </c>
    </row>
    <row r="170" spans="25:25" x14ac:dyDescent="0.25">
      <c r="Y170" t="s">
        <v>1256</v>
      </c>
    </row>
    <row r="171" spans="25:25" x14ac:dyDescent="0.25">
      <c r="Y171" t="s">
        <v>1260</v>
      </c>
    </row>
    <row r="172" spans="25:25" x14ac:dyDescent="0.25">
      <c r="Y172" t="s">
        <v>1262</v>
      </c>
    </row>
    <row r="173" spans="25:25" x14ac:dyDescent="0.25">
      <c r="Y173" t="s">
        <v>1266</v>
      </c>
    </row>
    <row r="174" spans="25:25" x14ac:dyDescent="0.25">
      <c r="Y174" t="s">
        <v>1297</v>
      </c>
    </row>
    <row r="175" spans="25:25" x14ac:dyDescent="0.25">
      <c r="Y175" t="s">
        <v>1334</v>
      </c>
    </row>
    <row r="176" spans="25:25" x14ac:dyDescent="0.25">
      <c r="Y176" t="s">
        <v>1347</v>
      </c>
    </row>
    <row r="177" spans="25:25" x14ac:dyDescent="0.25">
      <c r="Y177" t="s">
        <v>1390</v>
      </c>
    </row>
    <row r="178" spans="25:25" x14ac:dyDescent="0.25">
      <c r="Y178" t="s">
        <v>4254</v>
      </c>
    </row>
    <row r="179" spans="25:25" x14ac:dyDescent="0.25">
      <c r="Y179" t="s">
        <v>4255</v>
      </c>
    </row>
    <row r="180" spans="25:25" x14ac:dyDescent="0.25">
      <c r="Y180" t="s">
        <v>4256</v>
      </c>
    </row>
    <row r="181" spans="25:25" x14ac:dyDescent="0.25">
      <c r="Y181" t="s">
        <v>1415</v>
      </c>
    </row>
    <row r="182" spans="25:25" x14ac:dyDescent="0.25">
      <c r="Y182" t="s">
        <v>4257</v>
      </c>
    </row>
    <row r="183" spans="25:25" x14ac:dyDescent="0.25">
      <c r="Y183" t="s">
        <v>4258</v>
      </c>
    </row>
    <row r="184" spans="25:25" x14ac:dyDescent="0.25">
      <c r="Y184" t="s">
        <v>1444</v>
      </c>
    </row>
    <row r="185" spans="25:25" x14ac:dyDescent="0.25">
      <c r="Y185" t="s">
        <v>1456</v>
      </c>
    </row>
    <row r="186" spans="25:25" x14ac:dyDescent="0.25">
      <c r="Y186" t="s">
        <v>1496</v>
      </c>
    </row>
    <row r="187" spans="25:25" x14ac:dyDescent="0.25">
      <c r="Y187" t="s">
        <v>4259</v>
      </c>
    </row>
    <row r="188" spans="25:25" x14ac:dyDescent="0.25">
      <c r="Y188" t="s">
        <v>1512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Para woocommerce</vt:lpstr>
      <vt:lpstr>Sistema</vt:lpstr>
      <vt:lpstr>Info</vt:lpstr>
      <vt:lpstr>Valores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Villasante</dc:creator>
  <cp:lastModifiedBy>Christopher Villasante</cp:lastModifiedBy>
  <dcterms:created xsi:type="dcterms:W3CDTF">2026-06-09T02:07:39Z</dcterms:created>
  <dcterms:modified xsi:type="dcterms:W3CDTF">2026-10-29T05:00:29Z</dcterms:modified>
</cp:coreProperties>
</file>